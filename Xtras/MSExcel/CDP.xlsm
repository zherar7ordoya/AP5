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30EAB016-776C-411C-9FFE-133C1A182ACD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40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40" l="1"/>
  <c r="F3" i="1840"/>
  <c r="F4" i="1840"/>
  <c r="F5" i="1840"/>
  <c r="F6" i="1840"/>
  <c r="F7" i="1840"/>
  <c r="F8" i="1840"/>
  <c r="F9" i="1840"/>
  <c r="F10" i="1840"/>
  <c r="F11" i="1840"/>
  <c r="F12" i="1840"/>
  <c r="F13" i="1840"/>
  <c r="F14" i="1840"/>
  <c r="F15" i="1840"/>
  <c r="F16" i="1840"/>
  <c r="F17" i="1840"/>
  <c r="F18" i="1840"/>
  <c r="F19" i="1840"/>
  <c r="F20" i="1840"/>
  <c r="F21" i="1840"/>
  <c r="F22" i="1840"/>
  <c r="F23" i="1840"/>
  <c r="F24" i="1840"/>
  <c r="F25" i="1840"/>
  <c r="F26" i="1840"/>
  <c r="F27" i="1840"/>
  <c r="F28" i="1840"/>
  <c r="F29" i="1840"/>
  <c r="F30" i="1840"/>
  <c r="F31" i="1840"/>
  <c r="F32" i="1840"/>
  <c r="F33" i="1840"/>
  <c r="F34" i="1840"/>
  <c r="F35" i="1840"/>
  <c r="F36" i="1840"/>
  <c r="F37" i="1840"/>
  <c r="F38" i="1840"/>
  <c r="F39" i="1840"/>
  <c r="F40" i="1840"/>
  <c r="F41" i="1840"/>
  <c r="F42" i="1840"/>
  <c r="F43" i="1840"/>
  <c r="F44" i="1840"/>
  <c r="F45" i="1840"/>
  <c r="F46" i="1840"/>
  <c r="F47" i="1840"/>
  <c r="F48" i="1840"/>
  <c r="F49" i="1840"/>
  <c r="F50" i="1840"/>
  <c r="F51" i="1840"/>
  <c r="F52" i="1840"/>
  <c r="F53" i="1840"/>
  <c r="F54" i="1840"/>
  <c r="F55" i="1840"/>
  <c r="F56" i="1840"/>
  <c r="F57" i="1840"/>
  <c r="F58" i="1840"/>
  <c r="F59" i="1840"/>
  <c r="F60" i="1840"/>
  <c r="F61" i="1840"/>
  <c r="F62" i="1840"/>
  <c r="F63" i="1840"/>
  <c r="F64" i="1840"/>
  <c r="F65" i="1840"/>
  <c r="F66" i="1840"/>
  <c r="F67" i="1840"/>
  <c r="F68" i="1840"/>
  <c r="F69" i="1840"/>
  <c r="F70" i="1840"/>
  <c r="F71" i="1840"/>
  <c r="F72" i="1840"/>
  <c r="F73" i="1840"/>
  <c r="F74" i="1840"/>
  <c r="F75" i="1840"/>
  <c r="F76" i="1840"/>
  <c r="F77" i="1840"/>
  <c r="F78" i="1840"/>
  <c r="F79" i="1840"/>
  <c r="F80" i="1840"/>
  <c r="F81" i="1840"/>
  <c r="F82" i="1840"/>
  <c r="F83" i="1840"/>
  <c r="F84" i="1840"/>
  <c r="F85" i="1840"/>
  <c r="F86" i="1840"/>
  <c r="F87" i="1840"/>
  <c r="F88" i="1840"/>
  <c r="F89" i="1840"/>
  <c r="F90" i="1840"/>
  <c r="F91" i="1840"/>
  <c r="F92" i="1840"/>
  <c r="F93" i="1840"/>
  <c r="F94" i="1840"/>
  <c r="F95" i="1840"/>
  <c r="F96" i="1840"/>
  <c r="F97" i="1840"/>
  <c r="F98" i="1840"/>
  <c r="F99" i="1840"/>
  <c r="F100" i="1840"/>
  <c r="F101" i="1840"/>
  <c r="F102" i="1840"/>
  <c r="F103" i="1840"/>
  <c r="F104" i="1840"/>
  <c r="F105" i="1840"/>
  <c r="F106" i="1840"/>
  <c r="F107" i="1840"/>
  <c r="F108" i="1840"/>
  <c r="F109" i="1840"/>
  <c r="F110" i="1840"/>
  <c r="F111" i="1840"/>
  <c r="F112" i="1840"/>
  <c r="F113" i="1840"/>
  <c r="F114" i="1840"/>
  <c r="F115" i="1840"/>
  <c r="F116" i="1840"/>
  <c r="F117" i="1840"/>
  <c r="F118" i="1840"/>
  <c r="F119" i="1840"/>
  <c r="F120" i="1840"/>
  <c r="F121" i="1840"/>
  <c r="F122" i="1840"/>
  <c r="F123" i="1840"/>
  <c r="F124" i="1840"/>
  <c r="F125" i="1840"/>
  <c r="F126" i="1840"/>
  <c r="F127" i="1840"/>
  <c r="F128" i="1840"/>
  <c r="F129" i="1840"/>
  <c r="F130" i="1840"/>
  <c r="F131" i="1840"/>
  <c r="F132" i="1840"/>
  <c r="F133" i="1840"/>
  <c r="F134" i="1840"/>
  <c r="F135" i="1840"/>
  <c r="F136" i="1840"/>
  <c r="F137" i="1840"/>
  <c r="F138" i="1840"/>
  <c r="F139" i="1840"/>
  <c r="F140" i="1840"/>
  <c r="F141" i="1840"/>
  <c r="F142" i="1840"/>
  <c r="F143" i="1840"/>
  <c r="F144" i="1840"/>
  <c r="F145" i="1840"/>
  <c r="F146" i="1840"/>
  <c r="F147" i="1840"/>
  <c r="F148" i="1840"/>
  <c r="F149" i="1840"/>
  <c r="F150" i="1840"/>
  <c r="F151" i="1840"/>
  <c r="F152" i="1840"/>
  <c r="F153" i="1840"/>
  <c r="F154" i="1840"/>
  <c r="F155" i="1840"/>
  <c r="F156" i="1840"/>
  <c r="F157" i="1840"/>
  <c r="F158" i="1840"/>
  <c r="F159" i="1840"/>
  <c r="F160" i="1840"/>
  <c r="F161" i="1840"/>
  <c r="F162" i="1840"/>
  <c r="F163" i="1840"/>
  <c r="F164" i="1840"/>
  <c r="F165" i="1840"/>
  <c r="F166" i="1840"/>
  <c r="F167" i="1840"/>
  <c r="F168" i="1840"/>
  <c r="F169" i="1840"/>
  <c r="F170" i="1840"/>
  <c r="F171" i="1840"/>
  <c r="F172" i="1840"/>
  <c r="F173" i="1840"/>
  <c r="F174" i="1840"/>
  <c r="F175" i="1840"/>
  <c r="F176" i="1840"/>
  <c r="F177" i="1840"/>
  <c r="F178" i="1840"/>
  <c r="F179" i="1840"/>
  <c r="F180" i="1840"/>
  <c r="R2" i="1840"/>
  <c r="S2" i="1840" s="1"/>
  <c r="R3" i="1840"/>
  <c r="S3" i="1840" s="1"/>
  <c r="R4" i="1840"/>
  <c r="S4" i="1840" s="1"/>
  <c r="R5" i="1840"/>
  <c r="S5" i="1840" s="1"/>
  <c r="R6" i="1840"/>
  <c r="S6" i="1840" s="1"/>
  <c r="R7" i="1840"/>
  <c r="S7" i="1840" s="1"/>
  <c r="R8" i="1840"/>
  <c r="S8" i="1840" s="1"/>
  <c r="R9" i="1840"/>
  <c r="S9" i="1840" s="1"/>
  <c r="R10" i="1840"/>
  <c r="S10" i="1840" s="1"/>
  <c r="R11" i="1840"/>
  <c r="S11" i="1840" s="1"/>
  <c r="R12" i="1840"/>
  <c r="S12" i="1840" s="1"/>
  <c r="R13" i="1840"/>
  <c r="S13" i="1840" s="1"/>
  <c r="R14" i="1840"/>
  <c r="S14" i="1840" s="1"/>
  <c r="R15" i="1840"/>
  <c r="S15" i="1840" s="1"/>
  <c r="R16" i="1840"/>
  <c r="S16" i="1840" s="1"/>
  <c r="R17" i="1840"/>
  <c r="S17" i="1840" s="1"/>
  <c r="R18" i="1840"/>
  <c r="S18" i="1840" s="1"/>
  <c r="R19" i="1840"/>
  <c r="S19" i="1840" s="1"/>
  <c r="R20" i="1840"/>
  <c r="S20" i="1840" s="1"/>
  <c r="R21" i="1840"/>
  <c r="S21" i="1840" s="1"/>
  <c r="R22" i="1840"/>
  <c r="S22" i="1840" s="1"/>
  <c r="R23" i="1840"/>
  <c r="S23" i="1840" s="1"/>
  <c r="R24" i="1840"/>
  <c r="S24" i="1840" s="1"/>
  <c r="R25" i="1840"/>
  <c r="S25" i="1840" s="1"/>
  <c r="R26" i="1840"/>
  <c r="S26" i="1840" s="1"/>
  <c r="R27" i="1840"/>
  <c r="S27" i="1840" s="1"/>
  <c r="R28" i="1840"/>
  <c r="S28" i="1840" s="1"/>
  <c r="R29" i="1840"/>
  <c r="S29" i="1840" s="1"/>
  <c r="R30" i="1840"/>
  <c r="S30" i="1840" s="1"/>
  <c r="R31" i="1840"/>
  <c r="S31" i="1840" s="1"/>
  <c r="R32" i="1840"/>
  <c r="S32" i="1840" s="1"/>
  <c r="R33" i="1840"/>
  <c r="S33" i="1840" s="1"/>
  <c r="R34" i="1840"/>
  <c r="S34" i="1840" s="1"/>
  <c r="R35" i="1840"/>
  <c r="S35" i="1840" s="1"/>
  <c r="R36" i="1840"/>
  <c r="S36" i="1840" s="1"/>
  <c r="R37" i="1840"/>
  <c r="S37" i="1840" s="1"/>
  <c r="R38" i="1840"/>
  <c r="S38" i="1840" s="1"/>
  <c r="R39" i="1840"/>
  <c r="S39" i="1840" s="1"/>
  <c r="R40" i="1840"/>
  <c r="S40" i="1840" s="1"/>
  <c r="R41" i="1840"/>
  <c r="S41" i="1840" s="1"/>
  <c r="R42" i="1840"/>
  <c r="S42" i="1840" s="1"/>
  <c r="R43" i="1840"/>
  <c r="S43" i="1840" s="1"/>
  <c r="R44" i="1840"/>
  <c r="S44" i="1840" s="1"/>
  <c r="R45" i="1840"/>
  <c r="S45" i="1840" s="1"/>
  <c r="R46" i="1840"/>
  <c r="S46" i="1840" s="1"/>
  <c r="R47" i="1840"/>
  <c r="S47" i="1840" s="1"/>
  <c r="R48" i="1840"/>
  <c r="S48" i="1840" s="1"/>
  <c r="R49" i="1840"/>
  <c r="S49" i="1840" s="1"/>
  <c r="R50" i="1840"/>
  <c r="S50" i="1840" s="1"/>
  <c r="R51" i="1840"/>
  <c r="S51" i="1840" s="1"/>
  <c r="R52" i="1840"/>
  <c r="S52" i="1840" s="1"/>
  <c r="R53" i="1840"/>
  <c r="S53" i="1840" s="1"/>
  <c r="R54" i="1840"/>
  <c r="S54" i="1840" s="1"/>
  <c r="R55" i="1840"/>
  <c r="S55" i="1840" s="1"/>
  <c r="R56" i="1840"/>
  <c r="S56" i="1840" s="1"/>
  <c r="R57" i="1840"/>
  <c r="S57" i="1840" s="1"/>
  <c r="R58" i="1840"/>
  <c r="S58" i="1840" s="1"/>
  <c r="R59" i="1840"/>
  <c r="S59" i="1840" s="1"/>
  <c r="R60" i="1840"/>
  <c r="S60" i="1840" s="1"/>
  <c r="R61" i="1840"/>
  <c r="S61" i="1840" s="1"/>
  <c r="R62" i="1840"/>
  <c r="S62" i="1840" s="1"/>
  <c r="R63" i="1840"/>
  <c r="S63" i="1840" s="1"/>
  <c r="R64" i="1840"/>
  <c r="S64" i="1840" s="1"/>
  <c r="R65" i="1840"/>
  <c r="S65" i="1840" s="1"/>
  <c r="R66" i="1840"/>
  <c r="S66" i="1840" s="1"/>
  <c r="R67" i="1840"/>
  <c r="S67" i="1840" s="1"/>
  <c r="R68" i="1840"/>
  <c r="S68" i="1840" s="1"/>
  <c r="R69" i="1840"/>
  <c r="S69" i="1840" s="1"/>
  <c r="R70" i="1840"/>
  <c r="S70" i="1840" s="1"/>
  <c r="R71" i="1840"/>
  <c r="S71" i="1840" s="1"/>
  <c r="R72" i="1840"/>
  <c r="S72" i="1840" s="1"/>
  <c r="R73" i="1840"/>
  <c r="S73" i="1840" s="1"/>
  <c r="R74" i="1840"/>
  <c r="S74" i="1840" s="1"/>
  <c r="R75" i="1840"/>
  <c r="S75" i="1840" s="1"/>
  <c r="R76" i="1840"/>
  <c r="S76" i="1840" s="1"/>
  <c r="R77" i="1840"/>
  <c r="S77" i="1840" s="1"/>
  <c r="R78" i="1840"/>
  <c r="S78" i="1840" s="1"/>
  <c r="R79" i="1840"/>
  <c r="S79" i="1840" s="1"/>
  <c r="R80" i="1840"/>
  <c r="S80" i="1840" s="1"/>
  <c r="R81" i="1840"/>
  <c r="S81" i="1840" s="1"/>
  <c r="R82" i="1840"/>
  <c r="S82" i="1840" s="1"/>
  <c r="R83" i="1840"/>
  <c r="S83" i="1840" s="1"/>
  <c r="R84" i="1840"/>
  <c r="S84" i="1840" s="1"/>
  <c r="R85" i="1840"/>
  <c r="S85" i="1840" s="1"/>
  <c r="R86" i="1840"/>
  <c r="S86" i="1840" s="1"/>
  <c r="R87" i="1840"/>
  <c r="S87" i="1840" s="1"/>
  <c r="R88" i="1840"/>
  <c r="S88" i="1840" s="1"/>
  <c r="R89" i="1840"/>
  <c r="S89" i="1840" s="1"/>
  <c r="R90" i="1840"/>
  <c r="S90" i="1840" s="1"/>
  <c r="R91" i="1840"/>
  <c r="S91" i="1840" s="1"/>
  <c r="R92" i="1840"/>
  <c r="S92" i="1840" s="1"/>
  <c r="R93" i="1840"/>
  <c r="S93" i="1840" s="1"/>
  <c r="R94" i="1840"/>
  <c r="S94" i="1840" s="1"/>
  <c r="R95" i="1840"/>
  <c r="S95" i="1840" s="1"/>
  <c r="R96" i="1840"/>
  <c r="S96" i="1840" s="1"/>
  <c r="R97" i="1840"/>
  <c r="S97" i="1840" s="1"/>
  <c r="R98" i="1840"/>
  <c r="S98" i="1840" s="1"/>
  <c r="R99" i="1840"/>
  <c r="S99" i="1840" s="1"/>
  <c r="R100" i="1840"/>
  <c r="S100" i="1840" s="1"/>
  <c r="R101" i="1840"/>
  <c r="S101" i="1840" s="1"/>
  <c r="R102" i="1840"/>
  <c r="S102" i="1840" s="1"/>
  <c r="R103" i="1840"/>
  <c r="S103" i="1840" s="1"/>
  <c r="R104" i="1840"/>
  <c r="S104" i="1840" s="1"/>
  <c r="R105" i="1840"/>
  <c r="S105" i="1840" s="1"/>
  <c r="R106" i="1840"/>
  <c r="S106" i="1840" s="1"/>
  <c r="R107" i="1840"/>
  <c r="S107" i="1840" s="1"/>
  <c r="R108" i="1840"/>
  <c r="S108" i="1840" s="1"/>
  <c r="R109" i="1840"/>
  <c r="S109" i="1840" s="1"/>
  <c r="R110" i="1840"/>
  <c r="S110" i="1840" s="1"/>
  <c r="R111" i="1840"/>
  <c r="S111" i="1840" s="1"/>
  <c r="R112" i="1840"/>
  <c r="S112" i="1840" s="1"/>
  <c r="R113" i="1840"/>
  <c r="S113" i="1840" s="1"/>
  <c r="R114" i="1840"/>
  <c r="S114" i="1840" s="1"/>
  <c r="R115" i="1840"/>
  <c r="S115" i="1840" s="1"/>
  <c r="R116" i="1840"/>
  <c r="S116" i="1840" s="1"/>
  <c r="R117" i="1840"/>
  <c r="S117" i="1840" s="1"/>
  <c r="R118" i="1840"/>
  <c r="S118" i="1840" s="1"/>
  <c r="R119" i="1840"/>
  <c r="S119" i="1840" s="1"/>
  <c r="R120" i="1840"/>
  <c r="S120" i="1840" s="1"/>
  <c r="R121" i="1840"/>
  <c r="S121" i="1840" s="1"/>
  <c r="R122" i="1840"/>
  <c r="S122" i="1840" s="1"/>
  <c r="R123" i="1840"/>
  <c r="S123" i="1840" s="1"/>
  <c r="R124" i="1840"/>
  <c r="S124" i="1840" s="1"/>
  <c r="R125" i="1840"/>
  <c r="S125" i="1840" s="1"/>
  <c r="R126" i="1840"/>
  <c r="S126" i="1840" s="1"/>
  <c r="R127" i="1840"/>
  <c r="S127" i="1840" s="1"/>
  <c r="R128" i="1840"/>
  <c r="S128" i="1840" s="1"/>
  <c r="R129" i="1840"/>
  <c r="S129" i="1840" s="1"/>
  <c r="R130" i="1840"/>
  <c r="S130" i="1840" s="1"/>
  <c r="R131" i="1840"/>
  <c r="S131" i="1840" s="1"/>
  <c r="R132" i="1840"/>
  <c r="S132" i="1840" s="1"/>
  <c r="R133" i="1840"/>
  <c r="S133" i="1840" s="1"/>
  <c r="R134" i="1840"/>
  <c r="S134" i="1840" s="1"/>
  <c r="R135" i="1840"/>
  <c r="S135" i="1840" s="1"/>
  <c r="R136" i="1840"/>
  <c r="S136" i="1840" s="1"/>
  <c r="R137" i="1840"/>
  <c r="S137" i="1840" s="1"/>
  <c r="R138" i="1840"/>
  <c r="S138" i="1840" s="1"/>
  <c r="R139" i="1840"/>
  <c r="S139" i="1840" s="1"/>
  <c r="R140" i="1840"/>
  <c r="S140" i="1840" s="1"/>
  <c r="R141" i="1840"/>
  <c r="S141" i="1840" s="1"/>
  <c r="R142" i="1840"/>
  <c r="S142" i="1840" s="1"/>
  <c r="R143" i="1840"/>
  <c r="S143" i="1840" s="1"/>
  <c r="R144" i="1840"/>
  <c r="S144" i="1840" s="1"/>
  <c r="R145" i="1840"/>
  <c r="S145" i="1840" s="1"/>
  <c r="R146" i="1840"/>
  <c r="S146" i="1840" s="1"/>
  <c r="R147" i="1840"/>
  <c r="S147" i="1840" s="1"/>
  <c r="R148" i="1840"/>
  <c r="S148" i="1840" s="1"/>
  <c r="R149" i="1840"/>
  <c r="S149" i="1840" s="1"/>
  <c r="R150" i="1840"/>
  <c r="S150" i="1840" s="1"/>
  <c r="R151" i="1840"/>
  <c r="S151" i="1840" s="1"/>
  <c r="R152" i="1840"/>
  <c r="S152" i="1840" s="1"/>
  <c r="R153" i="1840"/>
  <c r="S153" i="1840" s="1"/>
  <c r="R154" i="1840"/>
  <c r="S154" i="1840" s="1"/>
  <c r="R155" i="1840"/>
  <c r="S155" i="1840" s="1"/>
  <c r="R156" i="1840"/>
  <c r="S156" i="1840" s="1"/>
  <c r="R157" i="1840"/>
  <c r="S157" i="1840" s="1"/>
  <c r="R158" i="1840"/>
  <c r="S158" i="1840" s="1"/>
  <c r="R159" i="1840"/>
  <c r="S159" i="1840" s="1"/>
  <c r="R160" i="1840"/>
  <c r="S160" i="1840" s="1"/>
  <c r="R161" i="1840"/>
  <c r="S161" i="1840" s="1"/>
  <c r="R162" i="1840"/>
  <c r="S162" i="1840" s="1"/>
  <c r="R163" i="1840"/>
  <c r="S163" i="1840" s="1"/>
  <c r="R164" i="1840"/>
  <c r="S164" i="1840" s="1"/>
  <c r="R165" i="1840"/>
  <c r="S165" i="1840" s="1"/>
  <c r="R166" i="1840"/>
  <c r="S166" i="1840" s="1"/>
  <c r="R167" i="1840"/>
  <c r="S167" i="1840" s="1"/>
  <c r="R168" i="1840"/>
  <c r="S168" i="1840" s="1"/>
  <c r="R169" i="1840"/>
  <c r="S169" i="1840" s="1"/>
  <c r="R170" i="1840"/>
  <c r="S170" i="1840" s="1"/>
  <c r="R171" i="1840"/>
  <c r="S171" i="1840" s="1"/>
  <c r="R172" i="1840"/>
  <c r="S172" i="1840" s="1"/>
  <c r="R173" i="1840"/>
  <c r="S173" i="1840" s="1"/>
  <c r="R174" i="1840"/>
  <c r="S174" i="1840" s="1"/>
  <c r="R175" i="1840"/>
  <c r="S175" i="1840" s="1"/>
  <c r="R176" i="1840"/>
  <c r="S176" i="1840" s="1"/>
  <c r="R177" i="1840"/>
  <c r="S177" i="1840" s="1"/>
  <c r="R178" i="1840"/>
  <c r="S178" i="1840" s="1"/>
  <c r="R179" i="1840"/>
  <c r="S179" i="1840" s="1"/>
  <c r="R180" i="1840"/>
  <c r="S180" i="1840" s="1"/>
  <c r="Q2" i="1840"/>
  <c r="Q3" i="1840"/>
  <c r="Q4" i="1840"/>
  <c r="Q5" i="1840"/>
  <c r="Q6" i="1840"/>
  <c r="Q7" i="1840"/>
  <c r="Q8" i="1840"/>
  <c r="Q9" i="1840"/>
  <c r="Q10" i="1840"/>
  <c r="Q11" i="1840"/>
  <c r="Q12" i="1840"/>
  <c r="Q13" i="1840"/>
  <c r="Q14" i="1840"/>
  <c r="Q15" i="1840"/>
  <c r="Q16" i="1840"/>
  <c r="Q17" i="1840"/>
  <c r="Q18" i="1840"/>
  <c r="Q19" i="1840"/>
  <c r="Q20" i="1840"/>
  <c r="Q21" i="1840"/>
  <c r="Q22" i="1840"/>
  <c r="Q23" i="1840"/>
  <c r="Q24" i="1840"/>
  <c r="Q25" i="1840"/>
  <c r="Q26" i="1840"/>
  <c r="Q27" i="1840"/>
  <c r="Q28" i="1840"/>
  <c r="Q29" i="1840"/>
  <c r="Q30" i="1840"/>
  <c r="Q31" i="1840"/>
  <c r="Q32" i="1840"/>
  <c r="Q33" i="1840"/>
  <c r="Q34" i="1840"/>
  <c r="Q35" i="1840"/>
  <c r="Q36" i="1840"/>
  <c r="Q37" i="1840"/>
  <c r="Q38" i="1840"/>
  <c r="Q39" i="1840"/>
  <c r="Q40" i="1840"/>
  <c r="Q41" i="1840"/>
  <c r="Q42" i="1840"/>
  <c r="Q43" i="1840"/>
  <c r="Q44" i="1840"/>
  <c r="Q45" i="1840"/>
  <c r="Q46" i="1840"/>
  <c r="Q47" i="1840"/>
  <c r="Q48" i="1840"/>
  <c r="Q49" i="1840"/>
  <c r="Q50" i="1840"/>
  <c r="Q51" i="1840"/>
  <c r="Q52" i="1840"/>
  <c r="Q53" i="1840"/>
  <c r="Q54" i="1840"/>
  <c r="Q55" i="1840"/>
  <c r="Q56" i="1840"/>
  <c r="Q57" i="1840"/>
  <c r="Q58" i="1840"/>
  <c r="Q59" i="1840"/>
  <c r="Q60" i="1840"/>
  <c r="Q61" i="1840"/>
  <c r="Q62" i="1840"/>
  <c r="Q63" i="1840"/>
  <c r="Q64" i="1840"/>
  <c r="Q65" i="1840"/>
  <c r="Q66" i="1840"/>
  <c r="Q67" i="1840"/>
  <c r="Q68" i="1840"/>
  <c r="Q69" i="1840"/>
  <c r="Q70" i="1840"/>
  <c r="Q71" i="1840"/>
  <c r="Q72" i="1840"/>
  <c r="Q73" i="1840"/>
  <c r="Q74" i="1840"/>
  <c r="Q75" i="1840"/>
  <c r="Q76" i="1840"/>
  <c r="Q77" i="1840"/>
  <c r="Q78" i="1840"/>
  <c r="Q79" i="1840"/>
  <c r="Q80" i="1840"/>
  <c r="Q81" i="1840"/>
  <c r="Q82" i="1840"/>
  <c r="Q83" i="1840"/>
  <c r="Q84" i="1840"/>
  <c r="Q85" i="1840"/>
  <c r="Q86" i="1840"/>
  <c r="Q87" i="1840"/>
  <c r="Q88" i="1840"/>
  <c r="Q89" i="1840"/>
  <c r="Q90" i="1840"/>
  <c r="Q91" i="1840"/>
  <c r="Q92" i="1840"/>
  <c r="Q93" i="1840"/>
  <c r="Q94" i="1840"/>
  <c r="Q95" i="1840"/>
  <c r="Q96" i="1840"/>
  <c r="Q97" i="1840"/>
  <c r="Q98" i="1840"/>
  <c r="Q99" i="1840"/>
  <c r="Q100" i="1840"/>
  <c r="Q101" i="1840"/>
  <c r="Q102" i="1840"/>
  <c r="Q103" i="1840"/>
  <c r="Q104" i="1840"/>
  <c r="Q105" i="1840"/>
  <c r="Q106" i="1840"/>
  <c r="Q107" i="1840"/>
  <c r="Q108" i="1840"/>
  <c r="Q109" i="1840"/>
  <c r="Q110" i="1840"/>
  <c r="Q111" i="1840"/>
  <c r="Q112" i="1840"/>
  <c r="Q113" i="1840"/>
  <c r="Q114" i="1840"/>
  <c r="Q115" i="1840"/>
  <c r="Q116" i="1840"/>
  <c r="Q117" i="1840"/>
  <c r="Q118" i="1840"/>
  <c r="Q119" i="1840"/>
  <c r="Q120" i="1840"/>
  <c r="Q121" i="1840"/>
  <c r="Q122" i="1840"/>
  <c r="Q123" i="1840"/>
  <c r="Q124" i="1840"/>
  <c r="Q125" i="1840"/>
  <c r="Q126" i="1840"/>
  <c r="Q127" i="1840"/>
  <c r="Q128" i="1840"/>
  <c r="Q129" i="1840"/>
  <c r="Q130" i="1840"/>
  <c r="Q131" i="1840"/>
  <c r="Q132" i="1840"/>
  <c r="Q133" i="1840"/>
  <c r="Q134" i="1840"/>
  <c r="Q135" i="1840"/>
  <c r="Q136" i="1840"/>
  <c r="Q137" i="1840"/>
  <c r="Q138" i="1840"/>
  <c r="Q139" i="1840"/>
  <c r="Q140" i="1840"/>
  <c r="Q141" i="1840"/>
  <c r="Q142" i="1840"/>
  <c r="Q143" i="1840"/>
  <c r="Q144" i="1840"/>
  <c r="Q145" i="1840"/>
  <c r="Q146" i="1840"/>
  <c r="Q147" i="1840"/>
  <c r="Q148" i="1840"/>
  <c r="Q149" i="1840"/>
  <c r="Q150" i="1840"/>
  <c r="Q151" i="1840"/>
  <c r="Q152" i="1840"/>
  <c r="Q153" i="1840"/>
  <c r="Q154" i="1840"/>
  <c r="Q155" i="1840"/>
  <c r="Q156" i="1840"/>
  <c r="Q157" i="1840"/>
  <c r="Q158" i="1840"/>
  <c r="Q159" i="1840"/>
  <c r="Q160" i="1840"/>
  <c r="Q161" i="1840"/>
  <c r="Q162" i="1840"/>
  <c r="Q163" i="1840"/>
  <c r="Q164" i="1840"/>
  <c r="Q165" i="1840"/>
  <c r="Q166" i="1840"/>
  <c r="Q167" i="1840"/>
  <c r="Q168" i="1840"/>
  <c r="Q169" i="1840"/>
  <c r="Q170" i="1840"/>
  <c r="Q171" i="1840"/>
  <c r="Q172" i="1840"/>
  <c r="Q173" i="1840"/>
  <c r="Q174" i="1840"/>
  <c r="Q175" i="1840"/>
  <c r="Q176" i="1840"/>
  <c r="Q177" i="1840"/>
  <c r="Q178" i="1840"/>
  <c r="Q179" i="1840"/>
  <c r="Q180" i="1840"/>
</calcChain>
</file>

<file path=xl/sharedStrings.xml><?xml version="1.0" encoding="utf-8"?>
<sst xmlns="http://schemas.openxmlformats.org/spreadsheetml/2006/main" count="3212" uniqueCount="806">
  <si>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</si>
  <si>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</si>
  <si>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</si>
  <si>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</si>
  <si>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</si>
  <si>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</si>
  <si>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</si>
  <si>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</si>
  <si>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</si>
  <si>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</si>
  <si>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</si>
  <si>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</si>
  <si>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</si>
  <si>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</si>
  <si>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</si>
  <si>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</si>
  <si>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</si>
  <si>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</si>
  <si>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</si>
  <si>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</si>
  <si>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</si>
  <si>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</si>
  <si>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</si>
  <si>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</si>
  <si>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</si>
  <si>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</si>
  <si>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</si>
  <si>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</si>
  <si>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</si>
  <si>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</si>
  <si>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</si>
  <si>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</si>
  <si>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</si>
  <si>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</si>
  <si>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</si>
  <si>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</si>
  <si>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</si>
  <si>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</si>
  <si>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</si>
  <si>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</si>
  <si>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</si>
  <si>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</si>
  <si>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</si>
  <si>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</si>
  <si>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</si>
  <si>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</si>
  <si>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</si>
  <si>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</si>
  <si>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</si>
  <si>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</si>
  <si>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</si>
  <si>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</si>
  <si>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</si>
  <si>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</si>
  <si>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</si>
  <si>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</si>
  <si>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</si>
  <si>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</si>
  <si>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</si>
  <si>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</si>
  <si>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</si>
  <si>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</si>
  <si>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</si>
  <si>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</si>
  <si>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</si>
  <si>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</si>
  <si>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</si>
  <si>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</si>
  <si>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Romero  Gabriel</t>
  </si>
  <si>
    <t>CONSULTORIO DE PODOLOGIA Uñas encarnadas- Micosis (hongos)- ALVEAR 730 PLATA ALTA RECIBIMOS TARJETAS DE CRÉDITO8 4228088</t>
  </si>
  <si>
    <t>#</t>
  </si>
  <si>
    <t>3x10</t>
  </si>
  <si>
    <t>2x10</t>
  </si>
  <si>
    <t>Total 3</t>
  </si>
  <si>
    <t>2x02</t>
  </si>
  <si>
    <t>2x03</t>
  </si>
  <si>
    <t>2x04</t>
  </si>
  <si>
    <t>PROBLEMAS DE COLUMNA Y EXTREMIDA</t>
  </si>
  <si>
    <t>2x05</t>
  </si>
  <si>
    <t>CONSULTORIO DE PODOLOGIA Uñas en</t>
  </si>
  <si>
    <t>3x03</t>
  </si>
  <si>
    <t>5x03</t>
  </si>
  <si>
    <t>Kairuz  Juan Pio</t>
  </si>
  <si>
    <t>ESTUDIO JURIDICO MEYER ALCARAZ Te Asesoramos en Derecho Laboor - Derecho Sucesorio - Derecho Civil  Teléfono: 3885206107</t>
  </si>
  <si>
    <t>ESTUDIO JURIDICO MEYER ALCARAZ T</t>
  </si>
  <si>
    <t>Asamblea Cm- Jujuy</t>
  </si>
  <si>
    <t>JASAMB</t>
  </si>
  <si>
    <t>1-1492260-3</t>
  </si>
  <si>
    <t>Martinez  Geronimo</t>
  </si>
  <si>
    <t>Nadie supera mis trabajos porque yo nací donde se hacen los  jamás igualarme!! Cel.: 3884626046 Atención en S.S de Jujuy</t>
  </si>
  <si>
    <t>Nadie supera mis trabajos porque</t>
  </si>
  <si>
    <t>1-1492442-1</t>
  </si>
  <si>
    <t>CRUZ DIEGO FERNANDO</t>
  </si>
  <si>
    <t>LIC. DIEGO CRUZ QUIROPRAXIA  ////CAMBIAR DIRECCION///  OTERO N° 464, 1er Piso, Consultorio 9 Cel 388-154096585</t>
  </si>
  <si>
    <t>2x12</t>
  </si>
  <si>
    <t>LIC. DIEGO CRUZ QUIROPRAXIA  ///</t>
  </si>
  <si>
    <t>Burgos Claudia Belen</t>
  </si>
  <si>
    <t>Vilte  Mariana</t>
  </si>
  <si>
    <t>ASESORAMIENTO CONTABLE E IMPOSITIVO Inscripción AFIP, RENTASa 20 horas Jorge Newbery N° 914 Cel 388-4340868  388 4340868</t>
  </si>
  <si>
    <t>JGCONT</t>
  </si>
  <si>
    <t>ASESORAMIENTO CONTABLE E IMPOSIT</t>
  </si>
  <si>
    <t>1-1492623-2</t>
  </si>
  <si>
    <t>1-1492742-1</t>
  </si>
  <si>
    <t>Torres  Patricia</t>
  </si>
  <si>
    <t>///LOGO//// CENTRO AUDIFONOS  PARA OIR MEJOR VARIEDAD DE AUD a 12 y de  17 a 20 hs. Mensajes y Whatsapp 3886868919 Jujuy</t>
  </si>
  <si>
    <t>JGOTRPRO</t>
  </si>
  <si>
    <t>1-1492781-1</t>
  </si>
  <si>
    <t>Noguera  Analia</t>
  </si>
  <si>
    <t>ESTUDIO CONTABLE Monotributo - Ganancias- Bienes Personales- RENTAS- BALANCES Certificaciones Contables Tel. 388 6856144</t>
  </si>
  <si>
    <t>12-1492793-2</t>
  </si>
  <si>
    <t>ESTUDIO-JURÌDICO  DRA. CLAUDIA BELEN BURGOS               MP4372 PERICO</t>
  </si>
  <si>
    <t>ESTUDIO-JURÌDICO  DRA. CLAUDIA B</t>
  </si>
  <si>
    <t>ESTUDIO CONTABLE Monotributo - G</t>
  </si>
  <si>
    <t>///LOGO//// CENTRO AUDIFONOS  PA</t>
  </si>
  <si>
    <t>1-1493024-2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</si>
  <si>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</si>
  <si>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</si>
  <si>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</si>
  <si>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1-1493326-2</t>
  </si>
  <si>
    <t>Herrera  Crisitian</t>
  </si>
  <si>
    <t>C.P.N. CRISTIAN HERRERA M.P. 1556 Inscripciones Afip-Rentas.rtificaciones. Monotributo. Planes de pago. Cel: 388 4107749</t>
  </si>
  <si>
    <t>C.P.N. CRISTIAN HERRERA M.P. 155</t>
  </si>
  <si>
    <t>Caro Victoria</t>
  </si>
  <si>
    <t>ESTUDIO JURIDICO Dra. María de los Ángeles Caro Familia  Sucesiones  Comercial Sarmiento N° 386  Tel 388-5004018 5004015</t>
  </si>
  <si>
    <t>ESTUDIO JURIDICO Dra. María de l</t>
  </si>
  <si>
    <t>12-1493876-2</t>
  </si>
  <si>
    <t>Luis  Cabrera</t>
  </si>
  <si>
    <t>/////////////////JESUS TAROT//////// PARAPSICOLOGO   NUMERO NUEVO 388 4613315</t>
  </si>
  <si>
    <t>1-1493630-4</t>
  </si>
  <si>
    <t>3x05</t>
  </si>
  <si>
    <t>/////////////////JESUS TAROT////</t>
  </si>
  <si>
    <t>5x35</t>
  </si>
  <si>
    <t>2x07</t>
  </si>
  <si>
    <t>12-1494160-2</t>
  </si>
  <si>
    <t>Miranda Andrea</t>
  </si>
  <si>
    <t>ELENA - ESPIRITISTA</t>
  </si>
  <si>
    <t>Jairo Montes</t>
  </si>
  <si>
    <t>COSEJERO y HECHICERO DEL AMOR JAIRO 388 4670393 (Provisorio )</t>
  </si>
  <si>
    <t>1-1494086-1</t>
  </si>
  <si>
    <t>282767</t>
  </si>
  <si>
    <t>1-1494085-2</t>
  </si>
  <si>
    <t>282766</t>
  </si>
  <si>
    <t>1-1494147-1</t>
  </si>
  <si>
    <t>282855</t>
  </si>
  <si>
    <t>1-1494159-2</t>
  </si>
  <si>
    <t>259640 agosto</t>
  </si>
  <si>
    <t>1-1494153-1</t>
  </si>
  <si>
    <t>1-1494154-2</t>
  </si>
  <si>
    <t>282852</t>
  </si>
  <si>
    <t>1x06</t>
  </si>
  <si>
    <t>Total 4</t>
  </si>
  <si>
    <t>COSEJERO y HECHICERO DEL AMOR JA</t>
  </si>
  <si>
    <t>Rodriguez  Javier</t>
  </si>
  <si>
    <t>12-1494163-4</t>
  </si>
  <si>
    <t>1-1494256-2</t>
  </si>
  <si>
    <t>SEX SHOP ///AVISO ARMADO////</t>
  </si>
  <si>
    <t>1-1494185-2</t>
  </si>
  <si>
    <t>Cruz  Samuel Jose</t>
  </si>
  <si>
    <t>DA. LYNN E. CRUZ (especialista en jubilaciones y Pensiones) 8 a 21 hs.  3885884113  388685343 Independencia 607  Ciudad.</t>
  </si>
  <si>
    <t>DA. LYNN E. CRUZ (especialista e</t>
  </si>
  <si>
    <t>PAC</t>
  </si>
  <si>
    <t>Remates/Edictos Cm- Jujuy</t>
  </si>
  <si>
    <t>333364</t>
  </si>
  <si>
    <t>EL MATUTINO</t>
  </si>
  <si>
    <t>Cine Teatro Alfa S.R.L.</t>
  </si>
  <si>
    <t>123663</t>
  </si>
  <si>
    <t>CINE ALFA...</t>
  </si>
  <si>
    <t>Sup Especial</t>
  </si>
  <si>
    <t>5x13</t>
  </si>
  <si>
    <t>1-1494294-3</t>
  </si>
  <si>
    <t>Saldeño Luis Alberto</t>
  </si>
  <si>
    <t>465</t>
  </si>
  <si>
    <t>GUERRERO NEUMATICOS SRL</t>
  </si>
  <si>
    <t>JREMAT</t>
  </si>
  <si>
    <t>3x14</t>
  </si>
  <si>
    <t>10-1494524-2</t>
  </si>
  <si>
    <t>Videotel S.R.L</t>
  </si>
  <si>
    <t>SE SOLICITA PARA PUESTO TECNICO   PERSONAS MAYORES DE EDAD. EN INTERNET Y CABLEADO.   ENVIAR CV A: palpalarrhh@gmail.com</t>
  </si>
  <si>
    <t>Obituarios</t>
  </si>
  <si>
    <t>Obituario Modulo - Jujuy</t>
  </si>
  <si>
    <t>OBIMOD</t>
  </si>
  <si>
    <t>Total 15</t>
  </si>
  <si>
    <t>2x06</t>
  </si>
  <si>
    <t xml:space="preserve">SE SOLICITA PARA PUESTO TECNICO </t>
  </si>
  <si>
    <t>JEDICT</t>
  </si>
  <si>
    <t>Asoc Civil Del Sector Pasivo</t>
  </si>
  <si>
    <t>A.CI.SE.PA Asociación Civil del Sector Pasivo CONVOCATORIA Ates (art. 34 del Estatuto Social). Petrona Arias  Presidente</t>
  </si>
  <si>
    <t>1-1494449-5</t>
  </si>
  <si>
    <t>GOBIERNO  LA DRA. TULIA SNOPEK DE MORALESCONVOCATORIA PARA PARTICIPAR...</t>
  </si>
  <si>
    <t>PAG3</t>
  </si>
  <si>
    <t>GOBIERNO - CINE DE LAS ALTURASJUJUY UN DESTINO DE PELICULA</t>
  </si>
  <si>
    <t>1-1493834-1</t>
  </si>
  <si>
    <t>1-1494607-2</t>
  </si>
  <si>
    <t>3x13</t>
  </si>
  <si>
    <t>Total 7</t>
  </si>
  <si>
    <t>Total 9</t>
  </si>
  <si>
    <t>Total 31</t>
  </si>
  <si>
    <t>GOBIERNO  LA DRA. TULIA SNOPEK D</t>
  </si>
  <si>
    <t>GOBIERNO - CINE DE LAS ALTURASJU</t>
  </si>
  <si>
    <t xml:space="preserve">A.CI.SE.PA Asociación Civil del </t>
  </si>
  <si>
    <t>1-1494688-2</t>
  </si>
  <si>
    <t>Paz  Franco Ezequiel</t>
  </si>
  <si>
    <t>EDICTO  Dr. JORGE DANIEL ALSINA, Juez de la Cámara en lo CivRES (3) VECES en CINCO (5) DÍAS.-------------------8  150061</t>
  </si>
  <si>
    <t>1-1494713-2</t>
  </si>
  <si>
    <t>Torres  Jaquelina Carolina</t>
  </si>
  <si>
    <t>EDICTO DE CITACION   LA COORDINACION DE HABITAT, en el Expedde Septiembre de 2022- Coord. Sra. Ruth Liliana Gut8 0619339</t>
  </si>
  <si>
    <t>1-1494561-4</t>
  </si>
  <si>
    <t>1-1494689-2</t>
  </si>
  <si>
    <t>Centro Vecinal B° Constitucion- Palpalá- Jujuy</t>
  </si>
  <si>
    <t>CENTRO VECINAL CONSTITUCIÓN DE PALPALÁ CONVOCATORIA ASAMBLEAtar subsidios nacionales y provinciales.  COMISIÓN 8    8754</t>
  </si>
  <si>
    <t>1-1494164-5</t>
  </si>
  <si>
    <t>Editorial Comercial - Jujuy OFICIAL</t>
  </si>
  <si>
    <t>5x10</t>
  </si>
  <si>
    <t>Total 1</t>
  </si>
  <si>
    <t>Total 2</t>
  </si>
  <si>
    <t>Total 6</t>
  </si>
  <si>
    <t>Total 11</t>
  </si>
  <si>
    <t>&gt;DIFIERE&lt;</t>
  </si>
  <si>
    <t>Total 17</t>
  </si>
  <si>
    <t>Total 18</t>
  </si>
  <si>
    <t>Total 19</t>
  </si>
  <si>
    <t>Total 32</t>
  </si>
  <si>
    <t>2x20</t>
  </si>
  <si>
    <t>EDICTO DE CITACION   LA COORDINA</t>
  </si>
  <si>
    <t>EDICTO  Dr. JORGE DANIEL ALSINA,</t>
  </si>
  <si>
    <t>CENTRO VECINAL CONSTITUCIÓN DE P</t>
  </si>
  <si>
    <t>1-1494025-4</t>
  </si>
  <si>
    <t>Ascociacion civil Rotary Club Jujuy</t>
  </si>
  <si>
    <t>ASOCIACIÓN CIVIL ROTARY CLUB JUJUY CONVOCATORIA La Comisión Pedro Marcelo Sato Secretario  Sonia Isabel Palla P8   06408</t>
  </si>
  <si>
    <t>1-1494734-2</t>
  </si>
  <si>
    <t>INST. DE EDUC. SUP. IES Nº 9 JUANA AZURDUY</t>
  </si>
  <si>
    <t>INSTITUTO DE EDUCACION SUPERIOR Nº 9 “JUANA AZURDUY” CONVOCA Lic. Juan Ariel Burgos Rector   I.E.S. N° 9 “Juana8    0372</t>
  </si>
  <si>
    <t>1-1494819-3</t>
  </si>
  <si>
    <t>COOPERATIVA DE TRABAJO MANOS SOLIDARIAS LIMITADA</t>
  </si>
  <si>
    <t>LA COOPERATIVA DE TRABAJO MANOS UNIDAS SOLIDARIAS LIMITADA C de autoridades. 4-Elección de 2 socios para firmar el acta.</t>
  </si>
  <si>
    <t>1-1494016-3</t>
  </si>
  <si>
    <t>VUELVE AZULADO JUJUY FM</t>
  </si>
  <si>
    <t>1-1494853-2</t>
  </si>
  <si>
    <t xml:space="preserve"> COLSA SOCIEDAD DE RESPONSABILIDAD LIMITADA (FRIAR)</t>
  </si>
  <si>
    <t>092022colsa</t>
  </si>
  <si>
    <t>FRIAR</t>
  </si>
  <si>
    <t>1-1494829-3</t>
  </si>
  <si>
    <t>Martin Mendoza Producciones</t>
  </si>
  <si>
    <t>65321LB</t>
  </si>
  <si>
    <t>LA BRESH - 10 DE SEPTIEMBRE</t>
  </si>
  <si>
    <t>PES</t>
  </si>
  <si>
    <t>1-1493691-18</t>
  </si>
  <si>
    <t>1-1494747-4</t>
  </si>
  <si>
    <t>GOBIERNO  SOLICITADA.. A través del Decreto No 6.545, el Gobierno de la Provincia de Jujuy ordenó a Ejesa:</t>
  </si>
  <si>
    <t>1-1494535-3</t>
  </si>
  <si>
    <t>Velazquez Sonia Veronica</t>
  </si>
  <si>
    <t>TEMAS MEDICOS  SHALOM</t>
  </si>
  <si>
    <t>1-1494088-1</t>
  </si>
  <si>
    <t>Norte Servicios Sociales - Segura Ana</t>
  </si>
  <si>
    <t>282768</t>
  </si>
  <si>
    <t>NORTE SERVICIO SOCIALES ....</t>
  </si>
  <si>
    <t>OBI</t>
  </si>
  <si>
    <t>1-1490542-3</t>
  </si>
  <si>
    <t>Aguero Polito Fabiana Elisa</t>
  </si>
  <si>
    <t>282676</t>
  </si>
  <si>
    <t>NICO FIAMBRES</t>
  </si>
  <si>
    <t>1-1494403-7</t>
  </si>
  <si>
    <t>1-1494831-2</t>
  </si>
  <si>
    <t>Club Atletico Gimnasia y Esgrima</t>
  </si>
  <si>
    <t>5744</t>
  </si>
  <si>
    <t>BINGO LOBO....</t>
  </si>
  <si>
    <t>1-1494855-2</t>
  </si>
  <si>
    <t>Alberdi Sociedad Anónima</t>
  </si>
  <si>
    <t>260822c</t>
  </si>
  <si>
    <t>COMODIN mayorista</t>
  </si>
  <si>
    <t>1-1494854-2</t>
  </si>
  <si>
    <t>210822 3</t>
  </si>
  <si>
    <t>COMODIN</t>
  </si>
  <si>
    <t>CTAPA</t>
  </si>
  <si>
    <t>1-1494774-1</t>
  </si>
  <si>
    <t>1-1494808-2</t>
  </si>
  <si>
    <t>Romeo  Eduardo Jose</t>
  </si>
  <si>
    <t xml:space="preserve"> EDUARDO JOSE ROMEO            ABOGADO....... *DERECHO LABOR30 y 18.30 a 20.30 RAMIREZ DE VELAZCO 672 TEL:0388-154176693</t>
  </si>
  <si>
    <t>12-1493931-3</t>
  </si>
  <si>
    <t>Sepelios San Jose SRL.</t>
  </si>
  <si>
    <t>SEPELIOS SAN JOSE SRL SERVICIOS SOCIALES</t>
  </si>
  <si>
    <t>1-1494796-2</t>
  </si>
  <si>
    <t>282883</t>
  </si>
  <si>
    <t>CEFERINO FLORES</t>
  </si>
  <si>
    <t>1-1494809-3</t>
  </si>
  <si>
    <t>Mamani  Clemente</t>
  </si>
  <si>
    <t>+ RUBEN DANIEL MAMANI SANCHEZ “PACO” q.e.p.d. 15/9/76  9/9/2 Descansa en Paz mi Rubén sos mi Ángel!.  Clemente Tu padre.</t>
  </si>
  <si>
    <t>1-1494810-3</t>
  </si>
  <si>
    <t>+ RUBEN DANIEL MAMANI SANCHEZ “PACO” q.e.p.d. 15/9/76  9/9/2escansa en Paz hermanito querido!. Tu hermana Gloria Fabiana</t>
  </si>
  <si>
    <t>1-1494845-1</t>
  </si>
  <si>
    <t>Diaz Laura</t>
  </si>
  <si>
    <t>+ POLONIA ÁNGELA GUITIAN (Q.E.P.D.) Falleció el día 30 de ag San Francisco para pedir por el eterno descanso de su alma.</t>
  </si>
  <si>
    <t>1-1494849-2</t>
  </si>
  <si>
    <t>Asociación Gestores Del Automotor Prov. De Jujuy</t>
  </si>
  <si>
    <t>+MONTALDI MARCELA ALEJANDRA  Q.E.P.D. Falleció el día 7 de s Ruega elevar una oración por el eterno descanso de su alma.</t>
  </si>
  <si>
    <t>1-1494852-2</t>
  </si>
  <si>
    <t>Galian Gabriela</t>
  </si>
  <si>
    <t>+ PABLO ELOY GALIAN q.e.p.d. Te fuiste a la casa del Señor e2022 a horas 17 en el cementerio de la localidad de Tumbaya.</t>
  </si>
  <si>
    <t>1-1494861-2</t>
  </si>
  <si>
    <t>Cruz  Oscar Orias</t>
  </si>
  <si>
    <t>ANTONIA DIAZ  “Pelusita” Falleció en San Salvador de Jujuy ela iglesia Santa Teresita para rogar por su eterno descanso.</t>
  </si>
  <si>
    <t>1-1490649-3</t>
  </si>
  <si>
    <t>gOBIERNO TRABAJADOR ELECTRICIDADA...</t>
  </si>
  <si>
    <t>1-1490878-3</t>
  </si>
  <si>
    <t>GOBIERNO  FIESTAS PATRONALES EL CARMEN...</t>
  </si>
  <si>
    <t>1-1494850-2</t>
  </si>
  <si>
    <t>GOBIERNO   FNE  ONDA ESTUDIANTIL</t>
  </si>
  <si>
    <t>Sup La Noche</t>
  </si>
  <si>
    <t>1-1492703-5</t>
  </si>
  <si>
    <t>GIMENEZ CRISTIAN ADRIAN</t>
  </si>
  <si>
    <t>010822022</t>
  </si>
  <si>
    <t>LA CASA DE JEREMIAS</t>
  </si>
  <si>
    <t>1-1494014-4</t>
  </si>
  <si>
    <t>003</t>
  </si>
  <si>
    <t>PIZPIRETA  FM JUJUY ....</t>
  </si>
  <si>
    <t>1-1494081-2</t>
  </si>
  <si>
    <t>Siufi García Adrián Esteban</t>
  </si>
  <si>
    <t>281528  1012</t>
  </si>
  <si>
    <t>SIRIO LIBANESA</t>
  </si>
  <si>
    <t>1-1494084-2</t>
  </si>
  <si>
    <t>GRAN MONARCA ALVEAR (HERRERA, JORGE RAFAEL)</t>
  </si>
  <si>
    <t>282782</t>
  </si>
  <si>
    <t>GRAN MONARCA - ALVEAR</t>
  </si>
  <si>
    <t>1-1494790-3</t>
  </si>
  <si>
    <t>Proyección SACIFI</t>
  </si>
  <si>
    <t>agos-022</t>
  </si>
  <si>
    <t>LOLA M agosto  PNT en Radio FM SOL Rotativa en FM SOLBanner web 10 mil impresionesInfomercial Web en Redes sociales</t>
  </si>
  <si>
    <t>1-1494818-3</t>
  </si>
  <si>
    <t>IGARZABAL CLAUDIO ALEJANDRO</t>
  </si>
  <si>
    <t>LA DELIO VALDEZ</t>
  </si>
  <si>
    <t>1-1494824-2</t>
  </si>
  <si>
    <t>Arte Nativo</t>
  </si>
  <si>
    <t>APACHETA publicado el 9/08 - 25/08- carabajal + cuatro cuerdas</t>
  </si>
  <si>
    <t>1-1494826-2</t>
  </si>
  <si>
    <t>APACHETA LA YUNTA</t>
  </si>
  <si>
    <t>2x13</t>
  </si>
  <si>
    <t>3x24</t>
  </si>
  <si>
    <t>1x10</t>
  </si>
  <si>
    <t>Total 21</t>
  </si>
  <si>
    <t>Total 25</t>
  </si>
  <si>
    <t>2x08</t>
  </si>
  <si>
    <t>2x16</t>
  </si>
  <si>
    <t xml:space="preserve">GOBIERNO  FIESTAS PATRONALES EL </t>
  </si>
  <si>
    <t>gOBIERNO TRABAJADOR ELECTRICIDAD</t>
  </si>
  <si>
    <t>LOLA M agosto  PNT en Radio FM S</t>
  </si>
  <si>
    <t>APACHETA publicado el 9/08 - 25/</t>
  </si>
  <si>
    <t xml:space="preserve">SEPELIOS SAN JOSE SRL SERVICIOS </t>
  </si>
  <si>
    <t>+ POLONIA ÁNGELA GUITIAN (Q.E.P.</t>
  </si>
  <si>
    <t xml:space="preserve">+ PABLO ELOY GALIAN q.e.p.d. Te </t>
  </si>
  <si>
    <t>+ RUBEN DANIEL MAMANI SANCHEZ “P</t>
  </si>
  <si>
    <t>+MONTALDI MARCELA ALEJANDRA  Q.E</t>
  </si>
  <si>
    <t>ANTONIA DIAZ  “Pelusita” Falleci</t>
  </si>
  <si>
    <t xml:space="preserve"> EDUARDO JOSE ROMEO            A</t>
  </si>
  <si>
    <t xml:space="preserve">GOBIERNO  SOLICITADA.. A través </t>
  </si>
  <si>
    <t xml:space="preserve">LA COOPERATIVA DE TRABAJO MANOS </t>
  </si>
  <si>
    <t>ASOCIACIÓN CIVIL ROTARY CLUB JUJ</t>
  </si>
  <si>
    <t xml:space="preserve">INSTITUTO DE EDUCACION SUPERIOR </t>
  </si>
  <si>
    <t>1-1493036-1</t>
  </si>
  <si>
    <t>SEX  SHOP RINDA MAS Necochea 338 República de Siria 172  Sol superior a todo!!! TOTALMENTE NATURAL  ///logo li- chang///</t>
  </si>
  <si>
    <t>Notables - Jujuy 1 Col</t>
  </si>
  <si>
    <t>JVEN08</t>
  </si>
  <si>
    <t>1-1494334-2</t>
  </si>
  <si>
    <t>Nassr  Pablo</t>
  </si>
  <si>
    <t>VENDO HIDROLAVADORA NUEVA a explosión marca Ducati,7 HP, 220ficador de desengrasante, 5 picos de lavado. Cel 388 4096535</t>
  </si>
  <si>
    <t>1-1494584-2</t>
  </si>
  <si>
    <t>Obachi Gabriela Cecilia</t>
  </si>
  <si>
    <t>NUEVA DIRECCION - (logo GABIOTA SPORT) BELGRANO 1215- TEL. 3juego de sapo. sublimaciones - vinilo y conjuntos d8    1215</t>
  </si>
  <si>
    <t>12-1494625-2</t>
  </si>
  <si>
    <t>Castro  Ariel</t>
  </si>
  <si>
    <t>ATENCIÓN VENDO  *BOLSAS de 50 Kgs.” Nuevas para Maíz, Poroto, Choclos. Cel. 388 5730863</t>
  </si>
  <si>
    <t>1-1494099-2</t>
  </si>
  <si>
    <t>Yañez Edgardo Jesus</t>
  </si>
  <si>
    <t>282773</t>
  </si>
  <si>
    <t>PRODUGAS TALLER LEDESMA</t>
  </si>
  <si>
    <t>JVEN07</t>
  </si>
  <si>
    <t>1-1494101-2</t>
  </si>
  <si>
    <t>282774</t>
  </si>
  <si>
    <t>PRODUGAS OFERTA DE ESTE MES</t>
  </si>
  <si>
    <t>1-1494234-2</t>
  </si>
  <si>
    <t>Perez Luis Alberto.</t>
  </si>
  <si>
    <t>282786</t>
  </si>
  <si>
    <t>AUTOMOTORES PEREZ</t>
  </si>
  <si>
    <t>1-1492632-2</t>
  </si>
  <si>
    <t>Dominguez  Ana Laura</t>
  </si>
  <si>
    <t>BUSCO LICENCIA TAXI AMARILLO, P/SER TRANSFERIDA.  3886653798</t>
  </si>
  <si>
    <t>JVEN06</t>
  </si>
  <si>
    <t>1-1493327-3</t>
  </si>
  <si>
    <t>VALDIVIEZO LILA FERNANDA</t>
  </si>
  <si>
    <t>283018</t>
  </si>
  <si>
    <t>GNC MINUTO</t>
  </si>
  <si>
    <t>1-1494095-1</t>
  </si>
  <si>
    <t>BOSIO CRISTIAN HUMBERTO</t>
  </si>
  <si>
    <t>282770</t>
  </si>
  <si>
    <t>LCB POLARIZADOS ...</t>
  </si>
  <si>
    <t>1-1494098-2</t>
  </si>
  <si>
    <t>282772</t>
  </si>
  <si>
    <t>PRODUGAS TALLER PERICO</t>
  </si>
  <si>
    <t>1-1494149-2</t>
  </si>
  <si>
    <t>ARMELLA CESAR DANIEL</t>
  </si>
  <si>
    <t>282853</t>
  </si>
  <si>
    <t>GNC MYN GRAN PROMOCION...</t>
  </si>
  <si>
    <t>1-1494235-3</t>
  </si>
  <si>
    <t>Markas Sociedad Anonima</t>
  </si>
  <si>
    <t>282785</t>
  </si>
  <si>
    <t>MARKAS</t>
  </si>
  <si>
    <t>1-1494236-2</t>
  </si>
  <si>
    <t>Garrido Ahirini Isabel</t>
  </si>
  <si>
    <t>282784</t>
  </si>
  <si>
    <t>XTREME NEUMATICOS</t>
  </si>
  <si>
    <t>1-1494518-2</t>
  </si>
  <si>
    <t>Giulianotti  Juan Pablo</t>
  </si>
  <si>
    <t>DUEÑO VENDE  ECOSPORT SE 0 km.  Cel. 388-57462288 5746228</t>
  </si>
  <si>
    <t>1-1494545-2</t>
  </si>
  <si>
    <t>LOZANO GABRIELA MERCEDES</t>
  </si>
  <si>
    <t>282714</t>
  </si>
  <si>
    <t>ECOSPORT TITANIUM 1.6</t>
  </si>
  <si>
    <t>12-1493147-2</t>
  </si>
  <si>
    <t>LOPEZ DELGADO CLAUDIA TATIANA</t>
  </si>
  <si>
    <t>MARTILLERO LÓPEZ  * COMPRAS * VENTAS de CAMPOS-FINCAS Para loja - Ganadería y afines. * TASACIONES  CONTACTO 388 4084933</t>
  </si>
  <si>
    <t>JVEN03</t>
  </si>
  <si>
    <t>1-1493907-2</t>
  </si>
  <si>
    <t>Salazar Cristina</t>
  </si>
  <si>
    <t xml:space="preserve"> DUEÑO VENDE FINCA 4Has. En Los Lapachos RUTA 43 Cel. 388 43537608 4353760</t>
  </si>
  <si>
    <t>1-1493015-2</t>
  </si>
  <si>
    <t>Brandan  Mariana</t>
  </si>
  <si>
    <t>OPORTUNIDAD DUEÑO VENDE TERRENO en Cuntry Las Delicias 2000 m2 Cel 388 -154295892 / 154886288</t>
  </si>
  <si>
    <t>JVEN02</t>
  </si>
  <si>
    <t>12-1493648-4</t>
  </si>
  <si>
    <t>Reyna  Zulema Lucia</t>
  </si>
  <si>
    <t>PERICO  VENDO  LOTE (ESQ.) Bº J. PABLO II CEL.3884082595</t>
  </si>
  <si>
    <t>1-1494096-2</t>
  </si>
  <si>
    <t>Agostini Desarrollos Inmobiliarios Sociedad De Responsabilidad Limitada</t>
  </si>
  <si>
    <t>282771</t>
  </si>
  <si>
    <t>AGOSTINI DES. INMOB.</t>
  </si>
  <si>
    <t>1-1494142-2</t>
  </si>
  <si>
    <t>RODRIGUEZ QUIROGA MARTIN</t>
  </si>
  <si>
    <t>282857</t>
  </si>
  <si>
    <t>RQ VENDE</t>
  </si>
  <si>
    <t>1-1494409-2</t>
  </si>
  <si>
    <t>Caballero Horacio Manuel</t>
  </si>
  <si>
    <t>278605</t>
  </si>
  <si>
    <t>CABALLERO VENDE LOTES DETRAS YAGUAR</t>
  </si>
  <si>
    <t>1-1494413-2</t>
  </si>
  <si>
    <t>278604</t>
  </si>
  <si>
    <t>CABALLERO VENDE LOTES</t>
  </si>
  <si>
    <t>1-1494438-2</t>
  </si>
  <si>
    <t>Lopez  Jose Rafael Martin</t>
  </si>
  <si>
    <t>VENDO TERRENO  de 15x40 Higuerillas. Cel.388-155007477</t>
  </si>
  <si>
    <t>1-1494510-1</t>
  </si>
  <si>
    <t>OPORTUNIDAD!! DUEÑO VENDE  TERRENO SIN CONSTRUCCION  EN CIUDD DE NIEVA CALLE  PEDRO DEL PORTAL 10 X 40 MTS.  3885746228.</t>
  </si>
  <si>
    <t>1-1494603-1</t>
  </si>
  <si>
    <t>Roca Enrique Vicente</t>
  </si>
  <si>
    <t>2840920 1012</t>
  </si>
  <si>
    <t>CLUB DE CAMPO LA ALMONA</t>
  </si>
  <si>
    <t>10-1494615-2</t>
  </si>
  <si>
    <t>Martinez  Facundo Daniel</t>
  </si>
  <si>
    <t>LOTEO LA ARBOLADA  B° STO. CABRAL  FRENTE NUEVA TERMINAL  MEA DEL 50 % SALDO HASTA 60 CUOTAS FIJAS.  CEL. 388- 154141541</t>
  </si>
  <si>
    <t>10-1494616-2</t>
  </si>
  <si>
    <t>LOTEO VALLE VERDE  PREVENTA  A 10 MIN. DEL CENTRO DE S.SALVA $ 300.000 SALDO HASTA 84 CUOTAS FIJAS.  CEL. 388- 154141541</t>
  </si>
  <si>
    <t>10-1494621-2</t>
  </si>
  <si>
    <t>VDO. TERRENO SOBRE RUTA N9   B° LAS COLINAS  MEDIDAS  350 M2 36 CUOTAS FIJAS  LISTO PARA ESCRITURAR  CEL. 388- 154141541</t>
  </si>
  <si>
    <t>1-1494799-2</t>
  </si>
  <si>
    <t>David Ezequiel Flores</t>
  </si>
  <si>
    <t>VENDO TERRENO 8x26 en Cnel. Arias, calle Echagüe, excelente er Comodín y ½ cuadra Av. Savio, u$d 42.000. Cel 388 5026727</t>
  </si>
  <si>
    <t>12-1493148-2</t>
  </si>
  <si>
    <t>LÒPEZ  INMOBILIARIA  ESTAMOS EN TODA LA PROVINCIA  COMPRAS- S  S/ Ruta Prov.47  Santo Domingo-Perico TEL. 0388 8 4913660</t>
  </si>
  <si>
    <t>JVEN01</t>
  </si>
  <si>
    <t>1-1493646-3</t>
  </si>
  <si>
    <t>Reimundin Nugue Diego Alejandro</t>
  </si>
  <si>
    <t>PARTICULAR VENDE</t>
  </si>
  <si>
    <t>1-1493710-2</t>
  </si>
  <si>
    <t>Busigniani  Daniel</t>
  </si>
  <si>
    <t>INMOBILIARIA EXCONORT  COMPRA  VENTA ALQUILERES  Administracencia Necochea 456  Tel. 4231842  (fondo rojo letra8 4231842</t>
  </si>
  <si>
    <t>1-1493935-2</t>
  </si>
  <si>
    <t>Arnedo  Martha Fabiana</t>
  </si>
  <si>
    <t>ARNEDO VENDE DPTO. Céntrico 3 dorm. 2 baños 5to piso calle Lavalle. 388-4162167 / 388-68558898 4162167</t>
  </si>
  <si>
    <t>1-1493936-2</t>
  </si>
  <si>
    <t>ARNEDO VENDE IMPORTANTE PROPIEDAD Ciudad de Nieva a 1 cuadra de la Plaza. 388-4162167 / 388-68558898 4162167</t>
  </si>
  <si>
    <t>1-1494283-1</t>
  </si>
  <si>
    <t>Marcalain Eduardo Héctor</t>
  </si>
  <si>
    <t>MARCALAIN VENDE</t>
  </si>
  <si>
    <t>1-1494412-2</t>
  </si>
  <si>
    <t>278603</t>
  </si>
  <si>
    <t>CABALLERO VENDE LIBERTADOR</t>
  </si>
  <si>
    <t>1-1494416-2</t>
  </si>
  <si>
    <t>278606</t>
  </si>
  <si>
    <t>CABALLERO VENDE CASAS</t>
  </si>
  <si>
    <t>1-1494448-2</t>
  </si>
  <si>
    <t>Cañas  Carlos Alberto</t>
  </si>
  <si>
    <t>///LOGO////  SOLICITAMOS PROPIEDADES PARA LA VENTA Y ALQUILE PLATA.-  Tel 388-4227132 - 4233776 canasinmuebles@8 4227132</t>
  </si>
  <si>
    <t>1-1494571-2</t>
  </si>
  <si>
    <t>Bianco  Daniel</t>
  </si>
  <si>
    <t>PROPIETARIO VENDE a un paso del Centro Dúplex B° Pregón, 3 dorm, 3 baños, garaje, u$d 90.000. Cel 388-154039266</t>
  </si>
  <si>
    <t>10-1494617-2</t>
  </si>
  <si>
    <t>DUEÑO VENDE DTO. EN PALPALÁ  ZONA CENTRO / FRENTE CLÍNICA NTAR  COCINA   LAVADERO  INCLUYE COCHERA  CEL: 388 - 154141541</t>
  </si>
  <si>
    <t>1-1494693-2</t>
  </si>
  <si>
    <t>Aguado  Marina</t>
  </si>
  <si>
    <t>(LOGO)    AGUADO INMOBILIARIA                VENTA  - Dpto. juy Facebook: Aguado Inmobiliaria www.aguadoinmobil8 4265597</t>
  </si>
  <si>
    <t>1-1492644-1</t>
  </si>
  <si>
    <t>HORIZONTES ON LINE S.A.</t>
  </si>
  <si>
    <t>24894</t>
  </si>
  <si>
    <t>CUBIERTAS Y LLANTAS ORIGINALES</t>
  </si>
  <si>
    <t>JREPYA</t>
  </si>
  <si>
    <t>1-1494093-2</t>
  </si>
  <si>
    <t>El Mundo De Las Herramientas S.R.L.</t>
  </si>
  <si>
    <t>282769</t>
  </si>
  <si>
    <t>CARMOTO FERRETERIA INDUSTRIAL</t>
  </si>
  <si>
    <t>JPINTF</t>
  </si>
  <si>
    <t>1-1494143-4</t>
  </si>
  <si>
    <t>Dergam Srl</t>
  </si>
  <si>
    <t>282856</t>
  </si>
  <si>
    <t>DERGAM</t>
  </si>
  <si>
    <t>1-1494037-2</t>
  </si>
  <si>
    <t>Agropecuario SRL.</t>
  </si>
  <si>
    <t>INCORPORAMOS PEÓN GENERAL para Granja Porcina, preferentemenon movilidad propia. Enviar CV agropecuariosrl2011@gmail.com</t>
  </si>
  <si>
    <t>JPEDID</t>
  </si>
  <si>
    <t>1-1494168-2</t>
  </si>
  <si>
    <t>Cultivar S.r.l.</t>
  </si>
  <si>
    <t>020922</t>
  </si>
  <si>
    <t>empresa constructora solicita chofer transportista para camimandar curriculum al correo corporativo.rrhh2021@hotmail.com</t>
  </si>
  <si>
    <t>1-1494284-2</t>
  </si>
  <si>
    <t>El Trebol S.r.l.</t>
  </si>
  <si>
    <t>EMPRESA CONSTRUCTORA INCORPORA OFICIAL ALBAÑIL para trabajosales Nº 920 de Lunes a Viernes de 08 a 12 hs y de 14 a 18 hs</t>
  </si>
  <si>
    <t>1-1494450-2</t>
  </si>
  <si>
    <t>JUMI SRL Emprendimiento Rio Grande Sidera SRL UTE</t>
  </si>
  <si>
    <t>SE NECESITA oficiales armadores encofradores para obra en el Centro. Comunicarse al 388-4042090.8 4042090</t>
  </si>
  <si>
    <t>1-1494507-1</t>
  </si>
  <si>
    <t>Diaverum Argentina S.A.</t>
  </si>
  <si>
    <t>SE BUSCA MEDICO/A para cubrir guardias de lunes a jueves poro de Hemodiálisis. Llamar o enviar Wapp al Cel. 3888 5031101</t>
  </si>
  <si>
    <t>1-1494509-2</t>
  </si>
  <si>
    <t>URGENTE CLÍNICA SOLICITA MOVILES PARA TRASLADO DE PACIENTES  de Lunes a Viernes de 13 a 18 hs. al 388-154194387 (o wtpp)</t>
  </si>
  <si>
    <t>1-1494531-2</t>
  </si>
  <si>
    <t>G.H. S.r.l.</t>
  </si>
  <si>
    <t>IMPORTANTE EMPRESA DEL MEDIO solicita chofer de camiones, co.V. con foto de perfil actualizada a: admi.ghsrl @gmail.com.</t>
  </si>
  <si>
    <t>1-1494606-2</t>
  </si>
  <si>
    <t>Condori Celeste</t>
  </si>
  <si>
    <t>SE BUSCA JEFE DE COCINA con experiencia más de 3 años, liderables. Enviar CV a ullana.condori @gmail.com. Cel 1132273437</t>
  </si>
  <si>
    <t>1-1494650-2</t>
  </si>
  <si>
    <t>MCM CONSTRUCCIONES Y SERVICIOS SAS</t>
  </si>
  <si>
    <t>OFIAL ALBAÑIL Con experiencia en instalación electrica/sanito en Av. Senador Pérez 383 de Lunes a Viernes de 118  847927</t>
  </si>
  <si>
    <t>1-1494651-2</t>
  </si>
  <si>
    <t>VENDEDOR/A   -Con experiencia comprobable en ventas - Carneto en Av. Senador Pérez 383 de Lunes a Viernes de 118  847927</t>
  </si>
  <si>
    <t>1-1494700-2</t>
  </si>
  <si>
    <t>Supermat S A</t>
  </si>
  <si>
    <t>282729</t>
  </si>
  <si>
    <t>VENDEDOR DE SALON</t>
  </si>
  <si>
    <t>1-1494701-2</t>
  </si>
  <si>
    <t>282730</t>
  </si>
  <si>
    <t>VENDEDOR VIAJANTE</t>
  </si>
  <si>
    <t>1-1494770-3</t>
  </si>
  <si>
    <t>CAPTADOR-A/VENDEDOR-A - Capacidad concretar operaciones inmoo en Av. Senador Pérez 383 de Lunes a Viernes de 118  847927</t>
  </si>
  <si>
    <t>1-1494820-2</t>
  </si>
  <si>
    <t>Almazan  Moises</t>
  </si>
  <si>
    <t>NECESITO LIC. en Adm. De Empresas. Enviar CV al 388-58001508 5800150</t>
  </si>
  <si>
    <t>1-1494827-2</t>
  </si>
  <si>
    <t>Rodriguez Juan Angel</t>
  </si>
  <si>
    <t>282875</t>
  </si>
  <si>
    <t>EMPRESA NECESITA AYUDANTE DE DEPOSITO</t>
  </si>
  <si>
    <t>1-1494436-2</t>
  </si>
  <si>
    <t>JUBILACIÓN PARA PERSONAL DE SERVICIO DOMESTICO  Lic. Martín López  Cel. 155007477</t>
  </si>
  <si>
    <t>JPDOME</t>
  </si>
  <si>
    <t>1-1493070-2</t>
  </si>
  <si>
    <t>Antonio Noguera</t>
  </si>
  <si>
    <t>ALQUILO BAÑOS QUIMICOS, DESAGOTES (0388)156855015 - 42503528 4250352</t>
  </si>
  <si>
    <t>JOFREC</t>
  </si>
  <si>
    <t>13-1493784-2</t>
  </si>
  <si>
    <t>Vega  Rodrigo</t>
  </si>
  <si>
    <t>IMPERBEABILIZACION          DE TECHOS,  ,nos dedicamos unicaas.  Buenos precios, mejoramos presupuesto.  CEL. 3884842488</t>
  </si>
  <si>
    <t>1-1494439-1</t>
  </si>
  <si>
    <t>JUBILACION - PENSION Ama de Casa  Fallecimiento: Jubilado  T 674 Bº Chijra.  Lunes  Miércoles  y Viernes  de 17 a 21 hs.</t>
  </si>
  <si>
    <t>1-1493067-2</t>
  </si>
  <si>
    <t>ALQUILO MAQUINA RETROPALA -Zona Minería Nivelaciones Todo tipo de trabajos "EL HORNERO" Cel.156855015</t>
  </si>
  <si>
    <t>JMAQCO</t>
  </si>
  <si>
    <t>1-1494437-1</t>
  </si>
  <si>
    <t>ALQUILA: MESAS &amp; SILLAS Manteles, Vajilla, Puff. Gazebos. Ll477- Los Manantiales 674, Bº Chijra Facebook: Mesas &amp; Sillas</t>
  </si>
  <si>
    <t>JFIEST</t>
  </si>
  <si>
    <t>1-1494128-1</t>
  </si>
  <si>
    <t>Urbania S.R.L.</t>
  </si>
  <si>
    <t>281513 2021</t>
  </si>
  <si>
    <t>HORMIGONERA + DE 20 AÑOS</t>
  </si>
  <si>
    <t>JEMPCO</t>
  </si>
  <si>
    <t>1-1494129-1</t>
  </si>
  <si>
    <t>HORMIGONERA JUJUY S.R.L.</t>
  </si>
  <si>
    <t>281517 -20112</t>
  </si>
  <si>
    <t>HORMIGONERA -VENTA DE HORMIGON EN MIXER  ****NUEVO***  TEL. 4259148  ALTE BROWN Nº 19698 4259148</t>
  </si>
  <si>
    <t>1-1494131-1</t>
  </si>
  <si>
    <t>97989 2309 1</t>
  </si>
  <si>
    <t>HORMIGONERA  JUJUY S.R.L. VENTA DE ARIDOS: PIEDRA, ARENA, RIPIO.  RELLENO DE TERRENO TEL. 4259148  ALTE BROWN N8 4259148</t>
  </si>
  <si>
    <t>1-1494094-2</t>
  </si>
  <si>
    <t>Cari  Valeria Vanesa</t>
  </si>
  <si>
    <t>EDICTO - - JUZGADO DE PRIMERA INSTANCIA EN LO CIVIL Y COMERCÍAS.- - - - SAN SALVADOR DE JUJUY,   DE SEPTIEMBRE 8 0184052</t>
  </si>
  <si>
    <t>1-1494120-2</t>
  </si>
  <si>
    <t>Juarez Valeria</t>
  </si>
  <si>
    <t>EDICTO Juzgado Multifuero  Perico  Civil y Comercial., a carina Ezequiel Ricardo  Pro secretario Tecnico Administrativo.</t>
  </si>
  <si>
    <t>1-1494263-2</t>
  </si>
  <si>
    <t>Castro Reyna Maria Sofia</t>
  </si>
  <si>
    <t xml:space="preserve">  ------------------------------------ EDICTO SUCESORIO ----sto de 2022.- - - -Proc. Ana María Hoyos  Firma habilitada.-</t>
  </si>
  <si>
    <t>1-1494264-2</t>
  </si>
  <si>
    <t>Ref. Expte. Nº D-039670/2022 caratulado: "SUCESORIO AB INTEScnico de juzgado.  San Pedro de Jujuy, 30 de agosto8  039670</t>
  </si>
  <si>
    <t>1-1494303-2</t>
  </si>
  <si>
    <t>Gabriela  Cañas</t>
  </si>
  <si>
    <t>EDICTO - - - JUZGADO DE PRIMERA INSTANCIA EN LO CIVIL Y COME del Dr. SERGIO ANDRÉS ÁLVAREZ- SECRETARIO.-----------------</t>
  </si>
  <si>
    <t>1-1494304-2</t>
  </si>
  <si>
    <t>1-1494311-2</t>
  </si>
  <si>
    <t>Gonzalez  Elisa</t>
  </si>
  <si>
    <t>============== = = = = = =  EDICTO SUCESORIO ======== = = = osto de 2022. = = =Proc. Ana Maria Hoyos  Firma Hab8  204407</t>
  </si>
  <si>
    <t>1-1494339-2</t>
  </si>
  <si>
    <t>Burgos  Miguel Angel</t>
  </si>
  <si>
    <t>Ref. Expte. Nº C-203942/2022 caratulado: "SUCESORIO AB INTESnico Administrativo Archivos adjuntos: Sin archivos8  203942</t>
  </si>
  <si>
    <t>1-1494575-2</t>
  </si>
  <si>
    <t>Machado  Rodrigo</t>
  </si>
  <si>
    <t>EDICTO SUCESORIO  Juzgado Multifueros - Perico - Civil y Comdor de Jujuy. Fdo.  Dr. EZEQUIEL R. TEJERINA  Prose8  205671</t>
  </si>
  <si>
    <t>1-1494612-2</t>
  </si>
  <si>
    <t>Galindo  Lidia</t>
  </si>
  <si>
    <t xml:space="preserve"> EDICTO SUCESORIO  = = = = = = = = = = = = = = = = = = = EL -------------  = = = PROSECREARIO: DR. FABIAN CARLO8  197955</t>
  </si>
  <si>
    <t>1-1494614-2</t>
  </si>
  <si>
    <t>Carrillo  Patricio</t>
  </si>
  <si>
    <t>EDICTO EL JUZGADO DE PRIMERA INSTANCIA EN LO CIVIL Y COMERCIe de 2022.- Proc. Enzo Gerardo Ruiz  Secretario Hab8  202850</t>
  </si>
  <si>
    <t>1-1494618-2</t>
  </si>
  <si>
    <t>Castrillo  Miguel Angel</t>
  </si>
  <si>
    <t>Ref. Expte. Nº D-041772/2022 caratulado: "SUCESORIO AB INTESARIA.- Libertador General San Martín, 18 de Agosto 8  041772</t>
  </si>
  <si>
    <t>1-1494619-2</t>
  </si>
  <si>
    <t>=====================EDICTO SUCESORIO=======================yo de 2022.   ===SECRETARIA: DRA. MARIA LAURA LOPEZ8  189917</t>
  </si>
  <si>
    <t>1-1494620-2</t>
  </si>
  <si>
    <t>=====================EDICTO SUCESORIO=======================os 20 de Mayo de 2022.   Secretaria N° 4  Proc. ENZ8  196849</t>
  </si>
  <si>
    <t>1-1494627-2</t>
  </si>
  <si>
    <t>Navas Marcela</t>
  </si>
  <si>
    <t>092091 121 1</t>
  </si>
  <si>
    <t>EDICTO     JUZGADO MULTIFUERO DE PRIMERA INSTANCIA EN LO CIVIA.     Libertador General San Martin, 18 de Agosto8  041201</t>
  </si>
  <si>
    <t>1-1494690-2</t>
  </si>
  <si>
    <t>Santillan  Ana Maria</t>
  </si>
  <si>
    <t>EDICTO SUCESORIO  ------ JUZGADO DE PRIMERA INSTANCIA EN LO a Monica. - ------ SAN SALVADOR DE JUJUY, 26 agosto8  206173</t>
  </si>
  <si>
    <t>1-1494697-2</t>
  </si>
  <si>
    <t>Vargas  Maribela Clara</t>
  </si>
  <si>
    <t xml:space="preserve"> Ref. Expte. Nº C-204020/2022 caratulado: "SUCESORIO AB INTEEZEQUIEL R. TEJERINA. Ciudad Perico, 30 de Agosto d8  204020</t>
  </si>
  <si>
    <t>1-1494735-2</t>
  </si>
  <si>
    <t>99032 912</t>
  </si>
  <si>
    <t>---------------------------------------------------EDICTO---RIA.-  Libertador General San Martín, 17 de Agosto 8  041240</t>
  </si>
  <si>
    <t>1-1494743-2</t>
  </si>
  <si>
    <t>Rios  Evangelina</t>
  </si>
  <si>
    <t>EDICTO SUCESORIO  = = = JUZGADO DE PRIMERA INSTANCIA EN LO CZ. = = = SECRETARIO: PROC. ENZO RUIZ  SECRETARIO HA8  204654</t>
  </si>
  <si>
    <t>1-1494764-2</t>
  </si>
  <si>
    <t>Mamani  Viviana</t>
  </si>
  <si>
    <t xml:space="preserve">      E D ICTOS=== Juzgado de Primera Instancia en lo Civil JUEZ- ante mi Dra. MARIA BELEN DOMINGUEZ  PRO- SECR8  205566</t>
  </si>
  <si>
    <t>1-1494786-2</t>
  </si>
  <si>
    <t>Ruiz  Elizabeth</t>
  </si>
  <si>
    <t xml:space="preserve">                                              ----------- E COPIA: SAN SALVADOR DE JUJUY, 24 DE AGOSTO DE 2022.8  184487</t>
  </si>
  <si>
    <t>1-1494787-2</t>
  </si>
  <si>
    <t xml:space="preserve">           EDICTO  SUCESORIO  - - - El Juzgado Multifueros - DIAS.- - - - Dr. Ezequiel Ricardo Tejerina  Prosec8  202282</t>
  </si>
  <si>
    <t>1-1494813-2</t>
  </si>
  <si>
    <t>Cufi  Maria Eugenia</t>
  </si>
  <si>
    <t>-----------------------------------------------EDICTOS------e 2022. A cargo del DR. PROC. ENZO RUIZ FIRMA HABIL8  202689</t>
  </si>
  <si>
    <t>1-1494830-2</t>
  </si>
  <si>
    <t>Vargas  Claudia Alejandra</t>
  </si>
  <si>
    <t>EDICTO SUCESORIO .-.-JUZGADO DE PRIMERA INSTANCIA EN LO CIVIE AGOSTO DE 2022. .-.Prosecretaria: Dra. NATACHA BU8  202382</t>
  </si>
  <si>
    <t>1-1494832-4</t>
  </si>
  <si>
    <t>092091 10121 1</t>
  </si>
  <si>
    <t>EDICTO     JUZGADO MULTIFUERO DE PRIMERA INSTANCIA EN LO CIVANCIA.  Libertador General San Martin, 25 de Agosto8  041266</t>
  </si>
  <si>
    <t>1-1494132-1</t>
  </si>
  <si>
    <t>Montiel  Liliana Beatriz</t>
  </si>
  <si>
    <t>080120 1212 1</t>
  </si>
  <si>
    <t>EFECTIVO  EFECTIVO EN EL ACTO CON TODAS LAS TARJETAS DE CREDNO 775  GALERIA IMPULSO LOCAL 14 PLANTA BAJA TEL. 3886039919</t>
  </si>
  <si>
    <t>JDINER</t>
  </si>
  <si>
    <t>1-1492633-2</t>
  </si>
  <si>
    <t>909230 2</t>
  </si>
  <si>
    <t>MARCALAIN VENTAS ALQUILERES</t>
  </si>
  <si>
    <t>JCOM01</t>
  </si>
  <si>
    <t>1-1493190-3</t>
  </si>
  <si>
    <t>Aldo Sotelo</t>
  </si>
  <si>
    <t>AS SOLUCIONES INMOBILIARIA  SE REALIZAN TASACIONES EN TODA L  Perito - Administ. de alquileres - Ventas Cel. 388 4539030</t>
  </si>
  <si>
    <t>1-1493601-1</t>
  </si>
  <si>
    <t>Vilar Cristian Leandro</t>
  </si>
  <si>
    <t>CRISTIAN L. VILAR TASADOR PROFESIONAL Tel 388-4311517 / 1550112208 4311517</t>
  </si>
  <si>
    <t>1-1494070-1</t>
  </si>
  <si>
    <t>Moreno Dante</t>
  </si>
  <si>
    <t>PERITO TASADOR Profesional Matriculada Moreno Redolez MP Nº 304.  Cel. 3886650479</t>
  </si>
  <si>
    <t>1-1494118-1</t>
  </si>
  <si>
    <t>PANERO JULIO CESAR</t>
  </si>
  <si>
    <t>32 131</t>
  </si>
  <si>
    <t>JULIO PANERO</t>
  </si>
  <si>
    <t>1-1494238-2</t>
  </si>
  <si>
    <t>Marino Rotolos Susana Ivonne.</t>
  </si>
  <si>
    <t>282783</t>
  </si>
  <si>
    <t>SUSANA MARINO</t>
  </si>
  <si>
    <t>1-1494415-2</t>
  </si>
  <si>
    <t>278607</t>
  </si>
  <si>
    <t>CABALLERO PROPIEDADES</t>
  </si>
  <si>
    <t>1-1494604-1</t>
  </si>
  <si>
    <t>2849012 01012</t>
  </si>
  <si>
    <t>DESCANSA TRANQUILO</t>
  </si>
  <si>
    <t>1-1494515-2</t>
  </si>
  <si>
    <t>DUEÑO ALQUILA galpón en la Ciudad de la Quiaca, sobre ruta n° 5. Cel 388-57462288 5746228</t>
  </si>
  <si>
    <t>JALO05</t>
  </si>
  <si>
    <t>12-1493657-4</t>
  </si>
  <si>
    <t>CIUDAD PERICO  ALQUILO: OFICINAS CONSULTORIOS  CEL.3884082595</t>
  </si>
  <si>
    <t>JALO04</t>
  </si>
  <si>
    <t>1-1493698-2</t>
  </si>
  <si>
    <t>ALQUILO DPTO  TEMPORAL AMOBLADO  Centro 388-44672048 4467204</t>
  </si>
  <si>
    <t>JALO01</t>
  </si>
  <si>
    <t>1-1494155-1</t>
  </si>
  <si>
    <t>Zamar  Juan Jose</t>
  </si>
  <si>
    <t>282854</t>
  </si>
  <si>
    <t>ALQUILO DEPTO</t>
  </si>
  <si>
    <t>1-1494411-2</t>
  </si>
  <si>
    <t>278601</t>
  </si>
  <si>
    <t>CABALLERO ALQUILA CASAS</t>
  </si>
  <si>
    <t>1-1494414-2</t>
  </si>
  <si>
    <t>278602</t>
  </si>
  <si>
    <t>CABALLERO ALQUILA A EMPRESAS CHALET</t>
  </si>
  <si>
    <t>13-1494833-1</t>
  </si>
  <si>
    <t>Cruz  Manuel Joaquin</t>
  </si>
  <si>
    <t>GRACIAS SAN EXPEDITO POR LOS FAVORES RECIBIDOS.      M.J.C.</t>
  </si>
  <si>
    <t>JALMI</t>
  </si>
  <si>
    <t>13-1494834-2</t>
  </si>
  <si>
    <t>GRACIAS  SEÑOR JESUCRISTO POR LOS FAVORES RECIBIDOS.      M.J.C.</t>
  </si>
  <si>
    <t>13-1494835-1</t>
  </si>
  <si>
    <t>GRACIAS  VIRGEN DEL VALLE POR LOS FAVORES RECIBIDOS.      M.J.C.</t>
  </si>
  <si>
    <t>1x03</t>
  </si>
  <si>
    <t>1x02</t>
  </si>
  <si>
    <t>1x05</t>
  </si>
  <si>
    <t>1x08</t>
  </si>
  <si>
    <t>1x04</t>
  </si>
  <si>
    <t>1x07</t>
  </si>
  <si>
    <t>1x14</t>
  </si>
  <si>
    <t>1x15</t>
  </si>
  <si>
    <t>1x17</t>
  </si>
  <si>
    <t>1x18</t>
  </si>
  <si>
    <t>1x13</t>
  </si>
  <si>
    <t>GRACIAS  SEÑOR JESUCRISTO POR LO</t>
  </si>
  <si>
    <t>GRACIAS  VIRGEN DEL VALLE POR LO</t>
  </si>
  <si>
    <t>GRACIAS SAN EXPEDITO POR LOS FAV</t>
  </si>
  <si>
    <t xml:space="preserve">ALQUILO DPTO  TEMPORAL AMOBLADO </t>
  </si>
  <si>
    <t>CABALLERO ALQUILA A EMPRESAS CHA</t>
  </si>
  <si>
    <t>CIUDAD PERICO  ALQUILO: OFICINAS</t>
  </si>
  <si>
    <t>DUEÑO ALQUILA galpón en la Ciuda</t>
  </si>
  <si>
    <t>AS SOLUCIONES INMOBILIARIA  SE R</t>
  </si>
  <si>
    <t>CRISTIAN L. VILAR TASADOR PROFES</t>
  </si>
  <si>
    <t>PERITO TASADOR Profesional Matri</t>
  </si>
  <si>
    <t>EFECTIVO  EFECTIVO EN EL ACTO CO</t>
  </si>
  <si>
    <t>--------------------------------</t>
  </si>
  <si>
    <t>EDICTO     JUZGADO MULTIFUERO DE</t>
  </si>
  <si>
    <t xml:space="preserve">  ------------------------------</t>
  </si>
  <si>
    <t xml:space="preserve">                                </t>
  </si>
  <si>
    <t xml:space="preserve">           EDICTO  SUCESORIO  - </t>
  </si>
  <si>
    <t xml:space="preserve">      E D ICTOS=== Juzgado de Pr</t>
  </si>
  <si>
    <t xml:space="preserve"> EDICTO SUCESORIO  = = = = = = =</t>
  </si>
  <si>
    <t xml:space="preserve"> Ref. Expte. Nº C-204020/2022 ca</t>
  </si>
  <si>
    <t>============== = = = = = =  EDIC</t>
  </si>
  <si>
    <t>=====================EDICTO SUCE</t>
  </si>
  <si>
    <t xml:space="preserve">EDICTO - - - JUZGADO DE PRIMERA </t>
  </si>
  <si>
    <t>EDICTO - - JUZGADO DE PRIMERA IN</t>
  </si>
  <si>
    <t>EDICTO EL JUZGADO DE PRIMERA INS</t>
  </si>
  <si>
    <t>EDICTO Juzgado Multifuero  Peric</t>
  </si>
  <si>
    <t>EDICTO SUCESORIO  ------ JUZGADO</t>
  </si>
  <si>
    <t xml:space="preserve">EDICTO SUCESORIO  = = = JUZGADO </t>
  </si>
  <si>
    <t>EDICTO SUCESORIO  Juzgado Multif</t>
  </si>
  <si>
    <t xml:space="preserve">EDICTO SUCESORIO .-.-JUZGADO DE </t>
  </si>
  <si>
    <t>Ref. Expte. Nº C-203942/2022 car</t>
  </si>
  <si>
    <t>Ref. Expte. Nº D-039670/2022 car</t>
  </si>
  <si>
    <t>Ref. Expte. Nº D-041772/2022 car</t>
  </si>
  <si>
    <t xml:space="preserve">HORMIGONERA  JUJUY S.R.L. VENTA </t>
  </si>
  <si>
    <t>HORMIGONERA -VENTA DE HORMIGON E</t>
  </si>
  <si>
    <t>ALQUILO BAÑOS QUIMICOS, DESAGOTE</t>
  </si>
  <si>
    <t>IMPERBEABILIZACION          DE T</t>
  </si>
  <si>
    <t>JUBILACION - PENSION Ama de Casa</t>
  </si>
  <si>
    <t>NECESITO LIC. en Adm. De Empresa</t>
  </si>
  <si>
    <t xml:space="preserve">SE NECESITA oficiales armadores </t>
  </si>
  <si>
    <t>EMPRESA NECESITA AYUDANTE DE DEP</t>
  </si>
  <si>
    <t>SE BUSCA MEDICO/A para cubrir gu</t>
  </si>
  <si>
    <t>INCORPORAMOS PEÓN GENERAL para G</t>
  </si>
  <si>
    <t>SE BUSCA JEFE DE COCINA con expe</t>
  </si>
  <si>
    <t>URGENTE CLÍNICA SOLICITA MOVILES</t>
  </si>
  <si>
    <t>EMPRESA CONSTRUCTORA INCORPORA O</t>
  </si>
  <si>
    <t>OFIAL ALBAÑIL Con experiencia en</t>
  </si>
  <si>
    <t>empresa constructora solicita ch</t>
  </si>
  <si>
    <t>IMPORTANTE EMPRESA DEL MEDIO sol</t>
  </si>
  <si>
    <t>VENDEDOR/A   -Con experiencia co</t>
  </si>
  <si>
    <t>CAPTADOR-A/VENDEDOR-A - Capacida</t>
  </si>
  <si>
    <t>ARNEDO VENDE DPTO. Céntrico 3 do</t>
  </si>
  <si>
    <t>ARNEDO VENDE IMPORTANTE PROPIEDA</t>
  </si>
  <si>
    <t xml:space="preserve">PROPIETARIO VENDE a un paso del </t>
  </si>
  <si>
    <t>DUEÑO VENDE DTO. EN PALPALÁ  ZON</t>
  </si>
  <si>
    <t>INMOBILIARIA EXCONORT  COMPRA  V</t>
  </si>
  <si>
    <t xml:space="preserve">LÒPEZ  INMOBILIARIA  ESTAMOS EN </t>
  </si>
  <si>
    <t xml:space="preserve">(LOGO)    AGUADO INMOBILIARIA   </t>
  </si>
  <si>
    <t>///LOGO////  SOLICITAMOS PROPIED</t>
  </si>
  <si>
    <t xml:space="preserve">OPORTUNIDAD DUEÑO VENDE TERRENO </t>
  </si>
  <si>
    <t>VENDO TERRENO  de 15x40 Higueril</t>
  </si>
  <si>
    <t>OPORTUNIDAD!! DUEÑO VENDE  TERRE</t>
  </si>
  <si>
    <t>PERICO  VENDO  LOTE (ESQ.) Bº J.</t>
  </si>
  <si>
    <t>VENDO TERRENO 8x26 en Cnel. Aria</t>
  </si>
  <si>
    <t>CABALLERO VENDE LOTES DETRAS YAG</t>
  </si>
  <si>
    <t>LOTEO LA ARBOLADA  B° STO. CABRA</t>
  </si>
  <si>
    <t>LOTEO VALLE VERDE  PREVENTA  A 1</t>
  </si>
  <si>
    <t xml:space="preserve">VDO. TERRENO SOBRE RUTA N9   B° </t>
  </si>
  <si>
    <t xml:space="preserve"> DUEÑO VENDE FINCA 4Has. En Los </t>
  </si>
  <si>
    <t>MARTILLERO LÓPEZ  * COMPRAS * VE</t>
  </si>
  <si>
    <t>BUSCO LICENCIA TAXI AMARILLO, P/</t>
  </si>
  <si>
    <t xml:space="preserve">DUEÑO VENDE  ECOSPORT SE 0 km.  </t>
  </si>
  <si>
    <t>VENDO HIDROLAVADORA NUEVA a expl</t>
  </si>
  <si>
    <t>ATENCIÓN VENDO  *BOLSAS de 50 Kg</t>
  </si>
  <si>
    <t>SEX  SHOP RINDA MAS Necochea 338</t>
  </si>
  <si>
    <t xml:space="preserve">NUEVA DIRECCION - (logo GABIOTA </t>
  </si>
  <si>
    <t xml:space="preserve">ALQUILO MAQUINA RETROPALA -Zona </t>
  </si>
  <si>
    <t>ALQUILA: MESAS &amp; SILLAS Manteles</t>
  </si>
  <si>
    <t>JUBILACIÓN PARA PERSONAL DE SERV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</si>
</sst>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color indexed="8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2" xfId="0" pivotButton="1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6" fillId="0" borderId="4" xfId="0" applyFont="1" applyBorder="1" applyAlignment="1">
      <alignment horizontal="right" vertical="top"/>
    </xf>
    <xf numFmtId="0" fontId="6" fillId="0" borderId="7" xfId="0" applyFont="1" applyBorder="1" applyAlignment="1">
      <alignment horizontal="right" vertical="top"/>
    </xf>
    <xf numFmtId="0" fontId="7" fillId="0" borderId="8" xfId="0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6" fillId="0" borderId="8" xfId="0" applyNumberFormat="1" applyFon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6" fillId="0" borderId="2" xfId="0" applyFont="1" applyBorder="1" applyAlignment="1">
      <alignment horizontal="right" vertical="top" wrapText="1"/>
    </xf>
    <xf numFmtId="0" fontId="0" fillId="0" borderId="9" xfId="0" applyBorder="1" applyAlignment="1">
      <alignment horizontal="center" vertical="top" wrapText="1"/>
    </xf>
    <xf numFmtId="0" fontId="6" fillId="0" borderId="6" xfId="0" applyFont="1" applyBorder="1" applyAlignment="1">
      <alignment horizontal="right" vertical="top" wrapText="1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</cellXfs>
  <cellStyles count="2">
    <cellStyle name="Normal" xfId="0" builtinId="0"/>
    <cellStyle name="Normal 2" xfId="1" xr:uid="{00000000-0005-0000-0000-000001000000}"/>
  </cellStyles>
  <dxfs count="14">
    <dxf>
      <font>
        <color theme="0"/>
      </font>
    </dxf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 patternType="solid">
          <fgColor auto="1"/>
          <bgColor rgb="FFFFC000"/>
        </patternFill>
      </fill>
    </dxf>
    <dxf>
      <font>
        <b val="0"/>
        <i val="0"/>
        <strike val="0"/>
        <color auto="1"/>
      </font>
      <fill>
        <patternFill patternType="solid">
          <fgColor auto="1"/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1" formatCode="0"/>
    </dxf>
    <dxf>
      <numFmt numFmtId="3" formatCode="#,##0"/>
    </dxf>
    <dxf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13.467665625001" createdVersion="4" refreshedVersion="8" minRefreshableVersion="3" recordCount="179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3036-1"/>
        <s v="1-1494334-2"/>
        <s v="1-1494584-2"/>
        <s v="12-1494625-2"/>
        <s v="1-1494099-2"/>
        <s v="1-1494101-2"/>
        <s v="1-1494234-2"/>
        <s v="1-1492632-2"/>
        <s v="1-1493327-3"/>
        <s v="1-1494095-1"/>
        <s v="1-1494098-2"/>
        <s v="1-1494149-2"/>
        <s v="1-1494235-3"/>
        <s v="1-1494236-2"/>
        <s v="1-1494518-2"/>
        <s v="1-1494545-2"/>
        <s v="12-1493147-2"/>
        <s v="1-1493907-2"/>
        <s v="1-1493015-2"/>
        <s v="12-1493648-4"/>
        <s v="1-1494096-2"/>
        <s v="1-1494142-2"/>
        <s v="1-1494409-2"/>
        <s v="1-1494413-2"/>
        <s v="1-1494438-2"/>
        <s v="1-1494510-1"/>
        <s v="1-1494603-1"/>
        <s v="10-1494615-2"/>
        <s v="10-1494616-2"/>
        <s v="10-1494621-2"/>
        <s v="1-1494799-2"/>
        <s v="12-1493148-2"/>
        <s v="1-1493646-3"/>
        <s v="1-1493710-2"/>
        <s v="1-1493935-2"/>
        <s v="1-1493936-2"/>
        <s v="1-1494283-1"/>
        <s v="1-1494412-2"/>
        <s v="1-1494416-2"/>
        <s v="1-1494448-2"/>
        <s v="1-1494571-2"/>
        <s v="10-1494617-2"/>
        <s v="1-1494693-2"/>
        <s v="1-1492644-1"/>
        <s v="1-1494294-3"/>
        <s v="1-1494093-2"/>
        <s v="1-1494143-4"/>
        <s v="1-1494037-2"/>
        <s v="1-1494168-2"/>
        <s v="1-1494284-2"/>
        <s v="1-1494450-2"/>
        <s v="1-1494507-1"/>
        <s v="1-1494509-2"/>
        <s v="1-1494531-2"/>
        <s v="1-1494606-2"/>
        <s v="1-1494650-2"/>
        <s v="1-1494651-2"/>
        <s v="1-1494700-2"/>
        <s v="1-1494701-2"/>
        <s v="1-1494770-3"/>
        <s v="1-1494820-2"/>
        <s v="1-1494827-2"/>
        <s v="1-1494436-2"/>
        <s v="1-1493070-2"/>
        <s v="13-1493784-2"/>
        <s v="1-1494439-1"/>
        <s v="1-1493067-2"/>
        <s v="1-1494437-1"/>
        <s v="1-1494128-1"/>
        <s v="1-1494129-1"/>
        <s v="1-1494131-1"/>
        <s v="1-1494094-2"/>
        <s v="1-1494120-2"/>
        <s v="1-1494263-2"/>
        <s v="1-1494264-2"/>
        <s v="1-1494303-2"/>
        <s v="1-1494304-2"/>
        <s v="1-1494311-2"/>
        <s v="1-1494339-2"/>
        <s v="1-1494575-2"/>
        <s v="1-1494612-2"/>
        <s v="1-1494614-2"/>
        <s v="1-1494618-2"/>
        <s v="1-1494619-2"/>
        <s v="1-1494620-2"/>
        <s v="1-1494627-2"/>
        <s v="1-1494688-2"/>
        <s v="1-1494690-2"/>
        <s v="1-1494697-2"/>
        <s v="1-1494713-2"/>
        <s v="1-1494735-2"/>
        <s v="1-1494743-2"/>
        <s v="1-1494764-2"/>
        <s v="1-1494786-2"/>
        <s v="1-1494787-2"/>
        <s v="1-1494813-2"/>
        <s v="1-1494830-2"/>
        <s v="1-1494832-4"/>
        <s v="1-1494132-1"/>
        <s v="1-1492633-2"/>
        <s v="1-1493190-3"/>
        <s v="1-1493601-1"/>
        <s v="1-1494070-1"/>
        <s v="1-1494118-1"/>
        <s v="1-1494238-2"/>
        <s v="1-1494415-2"/>
        <s v="1-1494604-1"/>
        <s v="1-1494025-4"/>
        <s v="1-1494561-4"/>
        <s v="1-1494689-2"/>
        <s v="1-1494734-2"/>
        <s v="1-1494819-3"/>
        <s v="1-1494515-2"/>
        <s v="12-1493657-4"/>
        <s v="1-1493698-2"/>
        <s v="1-1494155-1"/>
        <s v="1-1494411-2"/>
        <s v="1-1494414-2"/>
        <s v="13-1494833-1"/>
        <s v="13-1494834-2"/>
        <s v="13-1494835-1"/>
        <s v="1-1492260-3"/>
        <s v="12-1493876-2"/>
        <s v="12-1494160-2"/>
        <s v="12-1494163-4"/>
        <s v="10-1494524-2"/>
        <s v="1-1494016-3"/>
        <s v="1-1494256-2"/>
        <s v="1-1494449-5"/>
        <s v="1-1494853-2"/>
        <s v="1-1494086-1"/>
        <s v="1-1494085-2"/>
        <s v="1-1494147-1"/>
        <s v="1-1494159-2"/>
        <s v="1-1494829-3"/>
        <s v="1-1493691-18"/>
        <s v="1-1494747-4"/>
        <s v="1-1494535-3"/>
        <s v="1-1494088-1"/>
        <s v="1-1490542-3"/>
        <s v="1-1494153-1"/>
        <s v="1-1494403-7"/>
        <s v="1-1494831-2"/>
        <s v="1-1494855-2"/>
        <s v="1-1494854-2"/>
        <s v="1-1492623-2"/>
        <s v="1-1493024-2"/>
        <s v="1-1492742-1"/>
        <s v="1-1492442-1"/>
        <s v="1-1493834-1"/>
        <s v="1-1494154-2"/>
        <s v="1-1492781-1"/>
        <s v="1-1493326-2"/>
        <s v="1-1494774-1"/>
        <s v="12-1492793-2"/>
        <s v="1-1493630-4"/>
        <s v="1-1494185-2"/>
        <s v="1-1494607-2"/>
        <s v="1-1494808-2"/>
        <s v="12-1493931-3"/>
        <s v="1-1494796-2"/>
        <s v="1-1494809-3"/>
        <s v="1-1494810-3"/>
        <s v="1-1494845-1"/>
        <s v="1-1494849-2"/>
        <s v="1-1494852-2"/>
        <s v="1-1494861-2"/>
        <s v="1-1494164-5"/>
        <s v="1-1490649-3"/>
        <s v="1-1490878-3"/>
        <s v="1-1494850-2"/>
        <s v="1-1492703-5"/>
        <s v="1-1494014-4"/>
        <s v="1-1494081-2"/>
        <s v="1-1494084-2"/>
        <s v="1-1494790-3"/>
        <s v="1-1494818-3"/>
        <s v="1-1494824-2"/>
        <s v="1-1494826-2"/>
        <s v="1-1447761-2" u="1"/>
        <s v="1-1463935-2" u="1"/>
        <s v="1-1467728-4" u="1"/>
        <s v="1-1487035-7" u="1"/>
        <s v="1-1465328-2" u="1"/>
        <s v="10-1453641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71127-1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35454-2" u="1"/>
        <s v="1-1439447-3" u="1"/>
        <s v="1-1455253-3" u="1"/>
        <s v="1-1459646-2" u="1"/>
        <s v="1-1475452-2" u="1"/>
        <s v="1-1479645-2" u="1"/>
        <s v="1-1491826-1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61028-2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33637-7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4499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0-1475738-3" u="1"/>
        <s v="1-1435554-4" u="1"/>
        <s v="1-1470499-2" u="1"/>
        <s v="1-1475952-2" u="1"/>
        <s v="1-1490498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452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1128-4" u="1"/>
        <s v="1-1465445-2" u="1"/>
        <s v="1-1469270-2" u="1"/>
        <s v="1-1481419-3" u="1"/>
        <s v="1-1481527-2" u="1"/>
        <s v="1-1485244-3" u="1"/>
        <s v="1-1470499-3" u="1"/>
        <s v="1-1471327-7" u="1"/>
        <s v="1-1490698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5252-3" u="1"/>
        <s v="1-1470799-2" u="1"/>
        <s v="12-1457034-2" u="1"/>
        <s v="1-1433454-2" u="1"/>
        <s v="1-1473452-2" u="1"/>
        <s v="1-1477645-2" u="1"/>
        <s v="1-1493819-2" u="1"/>
        <s v="1-1441453-2" u="1"/>
        <s v="1-1461728-2" u="1"/>
        <s v="1-1465553-2" u="1"/>
        <s v="1-1469270-3" u="1"/>
        <s v="1-1480099-2" u="1"/>
        <s v="1-1481819-2" u="1"/>
        <s v="1-1485644-2" u="1"/>
        <s v="1-1470499-4" u="1"/>
        <s v="1-1470899-2" u="1"/>
        <s v="1-1487037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1828-2" u="1"/>
        <s v="1-1465545-3" u="1"/>
        <s v="1-1465653-2" u="1"/>
        <s v="1-1469646-3" u="1"/>
        <s v="1-1481351-3" u="1"/>
        <s v="1-1485652-2" u="1"/>
        <s v="1-1485852-1" u="1"/>
        <s v="1-1487137-2" u="1"/>
        <s v="1-1437847-2" u="1"/>
        <s v="1-1453653-2" u="1"/>
        <s v="1-1493651-2" u="1"/>
        <s v="1-1455046-2" u="1"/>
        <s v="1-1459039-3" u="1"/>
        <s v="1-1492140-14" u="1"/>
        <s v="1-1445954-1" u="1"/>
        <s v="1-1449671-2" u="1"/>
        <s v="1-1461652-2" u="1"/>
        <s v="1-1461728-3" u="1"/>
        <s v="1-1481927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32379-21" u="1"/>
        <s v="1-1429048-7" u="1"/>
        <s v="1-1445654-3" u="1"/>
        <s v="1-1445946-2" u="1"/>
        <s v="1-1481827-3" u="1"/>
        <s v="1-1487337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29780-2" u="1"/>
        <s v="1-1441853-2" u="1"/>
        <s v="1-1445954-2" u="1"/>
        <s v="1-1449471-4" u="1"/>
        <s v="1-1461728-4" u="1"/>
        <s v="1-1485952-2" u="1"/>
        <s v="1-1463245-2" u="1"/>
        <s v="1-1467070-2" u="1"/>
        <s v="1-1467238-3" u="1"/>
        <s v="1-1470899-4" u="1"/>
        <s v="1-1487237-3" u="1"/>
        <s v="1-1473752-3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36464-23" u="1"/>
        <s v="1-1461728-5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0-1481067-2" u="1"/>
        <s v="1-1480799-2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61728-6" u="1"/>
        <s v="1-1443646-2" u="1"/>
        <s v="1-1447471-2" u="1"/>
        <s v="1-1463645-2" u="1"/>
        <s v="1-1467838-2" u="1"/>
        <s v="1-1487837-2" u="1"/>
        <s v="1-1463062-17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33047-2" u="1"/>
        <s v="1-1461728-7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57139-3" u="1"/>
        <s v="1-1473145-2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33047-3" u="1"/>
        <s v="1-1457071-2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33047-4" u="1"/>
        <s v="1-1433171-2" u="1"/>
        <s v="1-1453446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346-3" u="1"/>
        <s v="1-1453546-2" u="1"/>
        <s v="1-1453638-2" u="1"/>
        <s v="1-1457171-3" u="1"/>
        <s v="1-1457263-3" u="1"/>
        <s v="1-1457371-2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047-5" u="1"/>
        <s v="1-1433539-3" u="1"/>
        <s v="1-1433739-2" u="1"/>
        <s v="1-1437472-2" u="1"/>
        <s v="1-1453370-2" u="1"/>
        <s v="1-1457363-3" u="1"/>
        <s v="1-1473645-2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346-4" u="1"/>
        <s v="1-1453470-2" u="1"/>
        <s v="1-1453838-2" u="1"/>
        <s v="1-1457663-2" u="1"/>
        <s v="1-1473745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847-2" u="1"/>
        <s v="1-1433939-2" u="1"/>
        <s v="1-1457671-2" u="1"/>
        <s v="1-1473937-2" u="1"/>
        <s v="1-1471137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457971-2" u="1"/>
        <s v="10-1485134-2" u="1"/>
        <s v="1-1431439-2" u="1"/>
        <s v="1-1439457-2" u="1"/>
        <s v="1-1451038-4" u="1"/>
        <s v="1-1441470-4" u="1"/>
        <s v="1-1485337-7" u="1"/>
        <s v="1-1443139-4" u="1"/>
        <s v="1-1443463-1" u="1"/>
        <s v="1-1463170-2" u="1"/>
        <s v="1-1463738-1" u="1"/>
        <s v="1-1467563-1" u="1"/>
        <s v="1-1457671-4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0-1485133-2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-1493861-2" u="1"/>
        <s v="1-1435457-1" u="1"/>
        <s v="1-1455056-3" u="1"/>
        <s v="1-1455180-1" u="1"/>
        <s v="1-1459249-3" u="1"/>
        <s v="1-147106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1464-1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1363-2" u="1"/>
        <s v="1-1459181-3" u="1"/>
        <s v="1-1459749-2" u="1"/>
        <s v="1-1471162-3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1262-3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662-2" u="1"/>
        <s v="1-1471754-2" u="1"/>
        <s v="1-1471862-1" u="1"/>
        <s v="1-1475855-2" u="1"/>
        <s v="1-1479480-3" u="1"/>
        <s v="1-1491461-3" u="1"/>
        <s v="1-1491661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763-2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1664-3" u="1"/>
        <s v="1-1431864-2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69973-2" u="1"/>
        <s v="1-1489972-2" u="1"/>
        <s v="1-1443349-2" u="1"/>
        <s v="1-1463072-2" u="1"/>
        <s v="1-1467173-2" u="1"/>
        <s v="1-1483071-2" u="1"/>
        <s v="1-1487172-2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081-3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50300-2" u="1"/>
        <s v="1-1469873-5" u="1"/>
        <s v="1-1481454-7" u="1"/>
        <s v="1-1443481-2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0-1470897-2" u="1"/>
        <s v="12-1455138-3" u="1"/>
        <s v="1-1430701-2" u="1"/>
        <s v="1-1433174-2" u="1"/>
        <s v="1-1437367-2" u="1"/>
        <s v="1-1450700-2" u="1"/>
        <s v="1-1443481-4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4398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80569-1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45891-2" u="1"/>
        <s v="1-1454103-2" u="1"/>
        <s v="1-1458204-2" u="1"/>
        <s v="1-1465690-3" u="1"/>
        <s v="1-1465890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0-1474866-3" u="1"/>
        <s v="1-1435384-4" u="1"/>
        <s v="1-1439977-2" u="1"/>
        <s v="1-1451358-5" u="1"/>
        <s v="1-1437177-2" u="1"/>
        <s v="1-1454903-1" u="1"/>
        <s v="1-1458004-6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54903-4" u="1"/>
        <s v="1-1473582-2" u="1"/>
        <s v="1-1478803-5" u="1"/>
        <s v="1-1470606-36" u="1"/>
        <s v="13-1455037-2" u="1"/>
        <s v="1-1452503-2" u="1"/>
        <s v="1-1472702-1" u="1"/>
        <s v="1-1475067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38905-5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75867-2" u="1"/>
        <s v="1-1479968-2" u="1"/>
        <s v="1-1491673-2" u="1"/>
        <s v="1-1491949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41168-3" u="1"/>
        <s v="1-1449294-2" u="1"/>
        <s v="1-1466620-3" u="1"/>
        <s v="1-1485191-2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29995-2" u="1"/>
        <s v="1-1449994-2" u="1"/>
        <s v="1-1454013-2" u="1"/>
        <s v="1-1458114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38215-2" u="1"/>
        <s v="1-1441968-3" u="1"/>
        <s v="1-1458014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55186-2" u="1"/>
        <s v="1-1459379-2" u="1"/>
        <s v="1-147108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52006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32107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52006-3" u="1"/>
        <s v="1-1452206-2" u="1"/>
        <s v="1-1452406-1" u="1"/>
        <s v="1-1464805-7" u="1"/>
        <s v="1-1472205-2" u="1"/>
        <s v="1-1476030-2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32107-3" u="1"/>
        <s v="1-1456023-3" u="1"/>
        <s v="1-1456131-2" u="1"/>
        <s v="1-1467978-4" u="1"/>
        <s v="1-1492104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32407-2" u="1"/>
        <s v="1-1452006-4" u="1"/>
        <s v="1-1456323-2" u="1"/>
        <s v="1-1476030-3" u="1"/>
        <s v="1-1476230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32107-4" u="1"/>
        <s v="1-1432507-2" u="1"/>
        <s v="1-1456331-2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2607-2" u="1"/>
        <s v="1-1436524-2" u="1"/>
        <s v="1-1452206-4" u="1"/>
        <s v="1-1452330-2" u="1"/>
        <s v="1-1456431-2" u="1"/>
        <s v="1-1464805-9" u="1"/>
        <s v="1-1472605-2" u="1"/>
        <s v="1-1472805-1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32107-5" u="1"/>
        <s v="1-1432431-2" u="1"/>
        <s v="1-1452430-2" u="1"/>
        <s v="1-1452706-2" u="1"/>
        <s v="1-1456623-2" u="1"/>
        <s v="1-1459096-2" u="1"/>
        <s v="1-1471077-2" u="1"/>
        <s v="1-1472705-2" u="1"/>
        <s v="1-1476730-1" u="1"/>
        <s v="1-1492704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632-2" u="1"/>
        <s v="1-1436724-2" u="1"/>
        <s v="1-1456631-2" u="1"/>
        <s v="1-1476230-4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36532-3" u="1"/>
        <s v="1-1452706-3" u="1"/>
        <s v="1-1452830-1" u="1"/>
        <s v="1-1456731-2" u="1"/>
        <s v="1-1456823-2" u="1"/>
        <s v="1-1476730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832-2" u="1"/>
        <s v="1-1436924-2" u="1"/>
        <s v="1-1452730-2" u="1"/>
        <s v="1-1459596-1" u="1"/>
        <s v="1-1479395-2" u="1"/>
        <s v="1-1491376-2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56731-3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6731-4" u="1"/>
        <s v="1-1459896-1" u="1"/>
        <s v="1-1479095-5" u="1"/>
        <s v="1-1488107-1" u="1"/>
        <s v="1-1491676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56731-6" u="1"/>
        <s v="1-1464023-2" u="1"/>
        <s v="1-14840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56731-7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56731-8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30224-2" u="1"/>
        <s v="1-1434417-2" u="1"/>
        <s v="1-1458609-2" u="1"/>
        <s v="1-1465695-5" u="1"/>
        <s v="1-1478208-4" u="1"/>
        <s v="1-1490221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81063-11" u="1"/>
        <s v="1-1433189-1" u="1"/>
        <s v="1-1434417-3" u="1"/>
        <s v="1-1454340-2" u="1"/>
        <s v="1-1457289-1" u="1"/>
        <s v="1-1470422-2" u="1"/>
        <s v="1-147461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1-1436470-3" u="1"/>
        <s v="13-1464920-2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32209-2" u="1"/>
        <s v="1-1456033-2" u="1"/>
        <s v="1-1467988-3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824-2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46641-3" u="1"/>
        <s v="1-1446841-2" u="1"/>
        <s v="1-1482814-3" u="1"/>
        <s v="1-1435597-5" u="1"/>
        <s v="1-1460215-2" u="1"/>
        <s v="1-1464040-2" u="1"/>
        <s v="1-1480214-2" u="1"/>
        <s v="1-1484407-2" u="1"/>
        <s v="1-1481503-14" u="1"/>
        <s v="1-1485684-10" u="1"/>
        <s v="10-1465252-3" u="1"/>
        <s v="1-1430216-6" u="1"/>
        <s v="1-1430724-3" u="1"/>
        <s v="1-1433489-2" u="1"/>
        <s v="1-1434841-2" u="1"/>
        <s v="1-1458941-2" u="1"/>
        <s v="1-1473287-3" u="1"/>
        <s v="1-1473487-2" u="1"/>
        <s v="1-1490921-2" u="1"/>
        <s v="1-1493486-2" u="1"/>
        <s v="1-1432409-2" u="1"/>
        <s v="1-1436234-2" u="1"/>
        <s v="1-1467988-4" u="1"/>
        <s v="1-1476308-3" u="1"/>
        <s v="1-1492206-3" u="1"/>
        <s v="1-1492406-2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30824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30209-2" u="1"/>
        <s v="1-1441488-5" u="1"/>
        <s v="1-1450208-2" u="1"/>
        <s v="1-1485987-3" u="1"/>
        <s v="1-1490206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040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2141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40940-3" u="1"/>
        <s v="1-1463888-2" u="1"/>
        <s v="1-1483379-5" u="1"/>
        <s v="1-1483487-4" u="1"/>
        <s v="1-1464997-23" u="1"/>
        <s v="1-1478722-20" u="1"/>
        <s v="1-1442241-3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42541-2" u="1"/>
        <s v="1-1442909-2" u="1"/>
        <s v="1-1446334-4" u="1"/>
        <s v="1-1462308-5" u="1"/>
        <s v="1-1462508-4" u="1"/>
        <s v="1-1462540-2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40640-6" u="1"/>
        <s v="1-1476425-1" u="1"/>
        <s v="1-1483987-3" u="1"/>
        <s v="1-1446334-5" u="1"/>
        <s v="1-1462308-6" u="1"/>
        <s v="1-1462540-3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2941-2" u="1"/>
        <s v="1-1446334-6" u="1"/>
        <s v="1-1462540-4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85777-20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0-1443098-4" u="1"/>
        <s v="1-1436627-2" u="1"/>
        <s v="1-1472432-2" u="1"/>
        <s v="1-1491079-2" u="1"/>
        <s v="1-1434027-1" u="1"/>
        <s v="1-1442941-3" u="1"/>
        <s v="1-1446334-7" u="1"/>
        <s v="1-1449699-3" u="1"/>
        <s v="1-1462540-5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2-1492547-3" u="1"/>
        <s v="13-1475136-3" u="1"/>
        <s v="1-1459199-2" u="1"/>
        <s v="1-1472332-3" u="1"/>
        <s v="1-1483487-8" u="1"/>
        <s v="1-1492731-1" u="1"/>
        <s v="1-1462608-7" u="1"/>
        <s v="1-1462640-5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2140-17" u="1"/>
        <s v="1-1434027-2" u="1"/>
        <s v="1-1442541-6" u="1"/>
        <s v="1-1442941-4" u="1"/>
        <s v="1-1446334-8" u="1"/>
        <s v="1-1462540-6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34127-2" u="1"/>
        <s v="1-1449999-3" u="1"/>
        <s v="1-1454126-2" u="1"/>
        <s v="1-1466633-7" u="1"/>
        <s v="1-1481179-7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2-1457497-2" u="1"/>
        <s v="1-1436827-3" u="1"/>
        <s v="1-1492831-2" u="1"/>
        <s v="1-1492360-16" u="1"/>
        <s v="1-1434227-2" u="1"/>
        <s v="1-1442541-7" u="1"/>
        <s v="1-1442941-5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2640-7" u="1"/>
        <s v="1-1466633-8" u="1"/>
        <s v="1-1474217-3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34151-3" u="1"/>
        <s v="1-1458219-5" u="1"/>
        <s v="1-1474717-2" u="1"/>
        <s v="10-1490118-2" u="1"/>
        <s v="1-1428728-6" u="1"/>
        <s v="1-1460232-7" u="1"/>
        <s v="1-1464825-5" u="1"/>
        <s v="1-1467898-2" u="1"/>
        <s v="1-1487897-2" u="1"/>
        <s v="1-1487294-18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7299-2" u="1"/>
        <s v="1-1458219-6" u="1"/>
        <s v="1-1474825-2" u="1"/>
        <s v="1-1432119-2" u="1"/>
        <s v="1-1460232-8" u="1"/>
        <s v="1-1476218-2" u="1"/>
        <s v="1-1487294-28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7399-2" u="1"/>
        <s v="1-1457599-1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30726-3" u="1"/>
        <s v="1-1454826-3" u="1"/>
        <s v="1-1457499-2" u="1"/>
        <s v="1-1458943-2" u="1"/>
        <s v="1-1470924-2" u="1"/>
        <s v="1-1490923-2" u="1"/>
        <s v="1-1460232-9" u="1"/>
        <s v="1-1476018-4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66950-2" u="1"/>
        <s v="1-1485397-3" u="1"/>
        <s v="1-1485597-2" u="1"/>
        <s v="1-1468543-1" u="1"/>
        <s v="1-1454718-5" u="1"/>
        <s v="1-1458143-7" u="1"/>
        <s v="1-1473597-2" u="1"/>
        <s v="1-1477698-2" u="1"/>
        <s v="1-1490923-3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0-1481070-4" u="1"/>
        <s v="1-1432719-2" u="1"/>
        <s v="1-1436544-2" u="1"/>
        <s v="1-1452718-2" u="1"/>
        <s v="1-1456619-3" u="1"/>
        <s v="1-1476542-2" u="1"/>
        <s v="1-1492716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2-1431708-3" u="1"/>
        <s v="1-1432151-4" u="1"/>
        <s v="1-1432551-2" u="1"/>
        <s v="1-1436744-2" u="1"/>
        <s v="1-1456143-5" u="1"/>
        <s v="1-1456343-4" u="1"/>
        <s v="1-1456743-2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38237-2" u="1"/>
        <s v="1-1445999-3" u="1"/>
        <s v="1-1450050-1" u="1"/>
        <s v="1-1470217-2" u="1"/>
        <s v="1-1490216-2" u="1"/>
        <s v="1-1494041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65698-5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34037-1" u="1"/>
        <s v="1-1482841-4" u="1"/>
        <s v="1-1486942-4" u="1"/>
        <s v="1-1491246-1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491789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91689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40643-5" u="1"/>
        <s v="1-1468460-6" u="1"/>
        <s v="1-1484834-5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5632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58146-2" u="1"/>
        <s v="1-1470127-2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86821-11" u="1"/>
        <s v="10-1483685-2" u="1"/>
        <s v="1-1454553-2" u="1"/>
        <s v="1-1458746-2" u="1"/>
        <s v="1-1490726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-1432446-2" u="1"/>
        <s v="1-1472444-2" u="1"/>
        <s v="1-1476545-2" u="1"/>
        <s v="1-1476745-1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42646-2" u="1"/>
        <s v="1-1482844-1" u="1"/>
        <s v="12-1438142-5" u="1"/>
        <s v="1-1444039-2" u="1"/>
        <s v="1-1472552-6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40653-6" u="1"/>
        <s v="1-1452138-2" u="1"/>
        <s v="1-1456239-2" u="1"/>
        <s v="1-1468870-5" u="1"/>
        <s v="1-1476238-2" u="1"/>
        <s v="1-1492136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0-1441084-5" u="1"/>
        <s v="13-1474070-3" u="1"/>
        <s v="1-1436264-3" u="1"/>
        <s v="1-1452270-2" u="1"/>
        <s v="1-1452438-3" u="1"/>
        <s v="1-1456263-3" u="1"/>
        <s v="1-1456463-2" u="1"/>
        <s v="1-1472437-3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0-1490120-2" u="1"/>
        <s v="12-1444186-1" u="1"/>
        <s v="1-1436057-2" u="1"/>
        <s v="1-1476055-2" u="1"/>
        <s v="1-1484661-6" u="1"/>
        <s v="1-1492229-2" u="1"/>
        <s v="1-1492429-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70606-19" u="1"/>
        <s v="12-1485236-2" u="1"/>
        <s v="1-1436357-2" u="1"/>
        <s v="1-1456080-2" u="1"/>
        <s v="1-1456280-1" u="1"/>
        <s v="1-1456356-2" u="1"/>
        <s v="1-1472254-2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42856-1" u="1"/>
        <s v="1-1446081-4" u="1"/>
        <s v="1-1465400-2" u="1"/>
        <s v="10-1461452-4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60204-12" u="1"/>
        <s v="1-1456049-3" u="1"/>
        <s v="1-1457601-2" u="1"/>
        <s v="1-1476248-2" u="1"/>
        <s v="1-1446081-5" u="1"/>
        <s v="1-1460055-2" u="1"/>
        <s v="1-1460347-1" u="1"/>
        <s v="1-1464248-2" u="1"/>
        <s v="1-1480054-2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46881-2" u="1"/>
        <s v="1-1440348-2" u="1"/>
        <s v="1-1444081-2" u="1"/>
        <s v="1-1460055-3" u="1"/>
        <s v="1-1480054-3" u="1"/>
        <s v="1-1480254-2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4239-2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61200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1501-2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2360-18" u="1"/>
        <s v="10-1476084-2" u="1"/>
        <s v="1-1458183-2" u="1"/>
        <s v="1-1458459-2" u="1"/>
        <s v="1-1490039-4" u="1"/>
        <s v="1-1490439-2" u="1"/>
        <s v="1-1468166-7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166-9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39005-3" u="1"/>
        <s v="1-1446691-3" u="1"/>
        <s v="1-1446891-2" u="1"/>
        <s v="1-1455103-2" u="1"/>
        <s v="1-1482864-3" u="1"/>
        <s v="1-1444259-3" u="1"/>
        <s v="1-1445811-2" u="1"/>
        <s v="1-1460065-3" u="1"/>
        <s v="1-1460265-2" u="1"/>
        <s v="1-1460357-2" u="1"/>
        <s v="1-1468283-2" u="1"/>
        <s v="1-1443011-2" u="1"/>
        <s v="1-1458991-2" u="1"/>
        <s v="1-1487202-2" u="1"/>
        <s v="1-1432091-2" u="1"/>
        <s v="1-1432459-2" u="1"/>
        <s v="1-1433811-2" u="1"/>
        <s v="1-1436084-3" u="1"/>
        <s v="1-1472257-3" u="1"/>
        <s v="1-1476558-2" u="1"/>
        <s v="1-1477910-2" u="1"/>
        <s v="1-1492256-3" u="1"/>
        <s v="1-1492456-2" u="1"/>
        <s v="1-1446959-4" u="1"/>
        <s v="1-1455203-2" u="1"/>
        <s v="1-1459304-2" u="1"/>
        <s v="1-1479303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76658-2" u="1"/>
        <s v="1-1435304-2" u="1"/>
        <s v="1-1439005-4" u="1"/>
        <s v="1-1442990-2" u="1"/>
        <s v="1-1455103-3" u="1"/>
        <s v="1-1475302-2" u="1"/>
        <s v="1-1476855-10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31311-2" u="1"/>
        <s v="1-1435504-2" u="1"/>
        <s v="1-1455103-4" u="1"/>
        <s v="1-1455303-3" u="1"/>
        <s v="1-1476855-20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56759-3" u="1"/>
        <s v="1-1472257-5" u="1"/>
        <s v="1-1472857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-1421004-1" u="1"/>
        <s v="1-1432591-2" u="1"/>
        <s v="1-1436784-2" u="1"/>
        <s v="1-1456783-2" u="1"/>
        <s v="10-1432336-2" u="1"/>
        <s v="1-1455103-5" u="1"/>
        <s v="1-1494349-2" u="1"/>
        <s v="1-1476855-30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76558-5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76958-4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0-1470253-2" u="1"/>
        <s v="1-1433404-2" u="1"/>
        <s v="1-1444791-4" u="1"/>
        <s v="1-1453403-2" u="1"/>
        <s v="1-1488582-6" u="1"/>
        <s v="1-1493401-2" u="1"/>
        <s v="1-1442283-3" u="1"/>
        <s v="1-1466583-2" u="1"/>
        <s v="1-1466675-2" u="1"/>
        <s v="1-1482481-2" u="1"/>
        <s v="1-1482957-1" u="1"/>
        <s v="1-1448069-2" u="1"/>
        <s v="1-1448177-1" u="1"/>
        <s v="1-1461202-3" u="1"/>
        <s v="1-1465103-4" u="1"/>
        <s v="1-1476858-6" u="1"/>
        <s v="1-1435704-5" u="1"/>
        <s v="1-1454583-2" u="1"/>
        <s v="1-1470281-3" u="1"/>
        <s v="1-1470681-1" u="1"/>
        <s v="1-1470757-2" u="1"/>
        <s v="1-1490080-4" u="1"/>
        <s v="1-1490156-5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3-1443990-3" u="1"/>
        <s v="1-1430783-3" u="1"/>
        <s v="1-1470657-5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50608-1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0549-2" u="1"/>
        <s v="1-1491901-2" u="1"/>
        <s v="1-1437014-3" u="1"/>
        <s v="1-1437214-2" u="1"/>
        <s v="1-1440728-19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0649-2" u="1"/>
        <s v="1-1491801-3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60204-13" u="1"/>
        <s v="10-1492418-3" u="1"/>
        <s v="1-1452368-1" u="1"/>
        <s v="1-1456193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4576-4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74875-3" u="1"/>
        <s v="1-1487112-2" u="1"/>
        <s v="1-1490973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0-1471170-2" u="1"/>
        <s v="10-1492181-2" u="1"/>
        <s v="1-1435514-2" u="1"/>
        <s v="1-1455713-1" u="1"/>
        <s v="1-1459906-1" u="1"/>
        <s v="1-1479505-3" u="1"/>
        <s v="1-1440768-2" u="1"/>
        <s v="1-1444393-3" u="1"/>
        <s v="1-1448694-2" u="1"/>
        <s v="1-1460475-3" u="1"/>
        <s v="1-1480874-1" u="1"/>
        <s v="1-1484591-2" u="1"/>
        <s v="1-1489501-38" u="1"/>
        <s v="1-1446094-1" u="1"/>
        <s v="1-1458293-8" u="1"/>
        <s v="1-1462068-2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62368-1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86092-2" u="1"/>
        <s v="1-1436894-2" u="1"/>
        <s v="1-1445014-2" u="1"/>
        <s v="1-1452668-4" u="1"/>
        <s v="1-1456693-3" u="1"/>
        <s v="1-1469006-3" u="1"/>
        <s v="1-1485012-2" u="1"/>
        <s v="1-1489205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46394-1" u="1"/>
        <s v="1-1463520-3" u="1"/>
        <s v="1-1482091-2" u="1"/>
        <s v="1-1486192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092-3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46194-3" u="1"/>
        <s v="1-1462292-2" u="1"/>
        <s v="1-1462492-1" u="1"/>
        <s v="1-1466485-2" u="1"/>
        <s v="1-1486392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44793-4" u="1"/>
        <s v="1-1473312-2" u="1"/>
        <s v="1-1423914-3" u="1"/>
        <s v="1-1443821-3" u="1"/>
        <s v="1-1443913-3" u="1"/>
        <s v="1-1462268-4" u="1"/>
        <s v="1-1462668-2" u="1"/>
        <s v="1-1467613-5" u="1"/>
        <s v="1-1482867-1" u="1"/>
        <s v="1-1482959-1" u="1"/>
        <s v="1-1486092-4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43521-5" u="1"/>
        <s v="1-1446086-5" u="1"/>
        <s v="1-1446594-2" u="1"/>
        <s v="1-1446686-2" u="1"/>
        <s v="1-1466485-3" u="1"/>
        <s v="1-1482859-2" u="1"/>
        <s v="1-1486392-3" u="1"/>
        <s v="1-1486592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42393-3" u="1"/>
        <s v="1-1442593-2" u="1"/>
        <s v="1-1443821-4" u="1"/>
        <s v="1-1462668-3" u="1"/>
        <s v="1-1466585-3" u="1"/>
        <s v="1-1467613-6" u="1"/>
        <s v="1-1486092-5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1-1460869-2" u="1"/>
        <s v="1-1453613-2" u="1"/>
        <s v="1-1457406-4" u="1"/>
        <s v="1-1464968-6" u="1"/>
        <s v="1-1480574-7" u="1"/>
        <s v="1-1492259-2" u="1"/>
        <s v="1-1443521-6" u="1"/>
        <s v="1-1446086-6" u="1"/>
        <s v="1-1446686-3" u="1"/>
        <s v="1-1462968-2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0766-3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46694-3" u="1"/>
        <s v="1-1455106-2" u="1"/>
        <s v="1-1455306-1" u="1"/>
        <s v="1-1462668-4" u="1"/>
        <s v="1-1471004-2" u="1"/>
        <s v="1-1486092-6" u="1"/>
        <s v="1-1486892-2" u="1"/>
        <s v="1-1486984-2" u="1"/>
        <s v="1-1429240-4" u="1"/>
        <s v="1-1449807-3" u="1"/>
        <s v="1-1469006-7" u="1"/>
        <s v="1-1467206-2" u="1"/>
        <s v="1-1483104-2" u="1"/>
        <s v="1-1490790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86792-3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62668-5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1-1445698-2" u="1"/>
        <s v="1-1433814-3" u="1"/>
        <s v="1-1452385-2" u="1"/>
        <s v="1-1472384-2" u="1"/>
        <s v="1-1480574-9" u="1"/>
        <s v="1-1492659-2" u="1"/>
        <s v="1-1492859-1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76785-1" u="1"/>
        <s v="1-1492391-2" u="1"/>
        <s v="1-1455230-2" u="1"/>
        <s v="1-1455506-2" u="1"/>
        <s v="1-1459331-2" u="1"/>
        <s v="1-1475105-4" u="1"/>
        <s v="1-1482591-5" u="1"/>
        <s v="1-1486984-4" u="1"/>
        <s v="1-1455015-17" u="1"/>
        <s v="1-1429240-6" u="1"/>
        <s v="1-1429532-5" u="1"/>
        <s v="1-1444586-2" u="1"/>
        <s v="1-1445906-4" u="1"/>
        <s v="1-1485904-4" u="1"/>
        <s v="1-1467206-4" u="1"/>
        <s v="1-1467406-3" u="1"/>
        <s v="1-1487405-3" u="1"/>
        <s v="1-1483073-14" u="1"/>
        <s v="1-1432386-3" u="1"/>
        <s v="1-1456686-2" u="1"/>
        <s v="1-1472384-3" u="1"/>
        <s v="12-1482467-2" u="1"/>
        <s v="12-1483479-2" u="1"/>
        <s v="1-1431414-2" u="1"/>
        <s v="1-1435331-2" u="1"/>
        <s v="1-1466993-4" u="1"/>
        <s v="1-1486992-4" u="1"/>
        <s v="1-1452690-10" u="1"/>
        <s v="1-1448479-4" u="1"/>
        <s v="1-1469906-5" u="1"/>
        <s v="1-1480691-1" u="1"/>
        <s v="1-1488877-2" u="1"/>
        <s v="1-1447431-2" u="1"/>
        <s v="1-1447707-2" u="1"/>
        <s v="1-1463605-2" u="1"/>
        <s v="1-1467230-3" u="1"/>
        <s v="1-1463062-15" u="1"/>
        <s v="1-1487294-13" u="1"/>
        <s v="1-1432286-4" u="1"/>
        <s v="1-1452193-4" u="1"/>
        <s v="1-1473312-7" u="1"/>
        <s v="1-1492883-1" u="1"/>
        <s v="1-1435707-2" u="1"/>
        <s v="1-1439532-2" u="1"/>
        <s v="1-1454186-1" u="1"/>
        <s v="1-1471604-2" u="1"/>
        <s v="1-1482591-6" u="1"/>
        <s v="1-1486984-5" u="1"/>
        <s v="1-1491111-4" u="1"/>
        <s v="1-1494076-2" u="1"/>
        <s v="1-1429240-7" u="1"/>
        <s v="1-1429532-6" u="1"/>
        <s v="1-1460392-3" u="1"/>
        <s v="1-1468978-2" u="1"/>
        <s v="1-1477022-1" u="1"/>
        <s v="1-1485612-6" u="1"/>
        <s v="1-1488977-2" u="1"/>
        <s v="1-1466178-2" u="1"/>
        <s v="1-1467406-4" u="1"/>
        <s v="1-1487405-4" u="1"/>
        <s v="1-1484581-30" u="1"/>
        <s v="1-1432386-4" u="1"/>
        <s v="1-1432494-3" u="1"/>
        <s v="1-1452693-2" u="1"/>
        <s v="1-1452785-2" u="1"/>
        <s v="1-1472784-2" u="1"/>
        <s v="1-1492583-3" u="1"/>
        <s v="1-1492691-2" u="1"/>
        <s v="1-1435607-3" u="1"/>
        <s v="1-1454086-2" u="1"/>
        <s v="1-1454178-2" u="1"/>
        <s v="1-1455530-2" u="1"/>
        <s v="1-1455806-2" u="1"/>
        <s v="1-1458079-3" u="1"/>
        <s v="1-1458279-2" u="1"/>
        <s v="1-1459631-2" u="1"/>
        <s v="1-1471704-2" u="1"/>
        <s v="1-1475805-2" u="1"/>
        <s v="1-1479630-2" u="1"/>
        <s v="1-1486992-5" u="1"/>
        <s v="1-1494176-2" u="1"/>
        <s v="1-1435376-14" u="1"/>
        <s v="1-1452690-20" u="1"/>
        <s v="1-1440293-4" u="1"/>
        <s v="1-1444886-2" u="1"/>
        <s v="1-1448479-5" u="1"/>
        <s v="1-1460692-2" u="1"/>
        <s v="1-1464885-2" u="1"/>
        <s v="1-1469906-6" u="1"/>
        <s v="1-1484684-3" u="1"/>
        <s v="1-1480568-17" u="1"/>
        <s v="1-1467830-1" u="1"/>
        <s v="1-1486277-2" u="1"/>
        <s v="1-1487294-23" u="1"/>
        <s v="1-1432286-5" u="1"/>
        <s v="1-1452193-5" u="1"/>
        <s v="1-1452885-2" u="1"/>
        <s v="1-1456986-2" u="1"/>
        <s v="1-1461005-2" u="1"/>
        <s v="1-1435707-3" u="1"/>
        <s v="1-1454278-2" u="1"/>
        <s v="1-1455630-2" u="1"/>
        <s v="1-1471712-2" u="1"/>
        <s v="1-1471804-2" u="1"/>
        <s v="1-1475905-2" u="1"/>
        <s v="1-1486984-6" u="1"/>
        <s v="1-1491111-5" u="1"/>
        <s v="1-1491803-2" u="1"/>
        <s v="12-1473119-1" u="1"/>
        <s v="1-1429240-8" u="1"/>
        <s v="1-1429532-7" u="1"/>
        <s v="1-1433107-2" u="1"/>
        <s v="1-1444986-2" u="1"/>
        <s v="1-1457023-2" u="1"/>
        <s v="1-1460392-4" u="1"/>
        <s v="1-1460792-2" u="1"/>
        <s v="1-1484984-2" u="1"/>
        <s v="1-1493104-2" u="1"/>
        <s v="1-1447731-2" u="1"/>
        <s v="1-1462185-2" u="1"/>
        <s v="1-1466178-3" u="1"/>
        <s v="1-1466378-2" u="1"/>
        <s v="1-1467730-2" u="1"/>
        <s v="1-1483904-2" u="1"/>
        <s v="1-1487405-5" u="1"/>
        <s v="12-1493652-5" u="1"/>
        <s v="1-1492293-1" u="1"/>
        <s v="1-1494686-2" u="1"/>
        <s v="1-1493906-3" u="1"/>
        <s v="1-1494079-3" u="1"/>
        <s v="1-1494579-2" u="1"/>
        <s v="1-1494496-2" u="1"/>
        <s v="1-1493816-2" u="1"/>
      </sharedItems>
    </cacheField>
    <cacheField name="Anunciante" numFmtId="0">
      <sharedItems/>
    </cacheField>
    <cacheField name="Cod. Neg." numFmtId="0">
      <sharedItems containsBlank="1" count="7799">
        <m/>
        <s v="282773"/>
        <s v="282774"/>
        <s v="282786"/>
        <s v="283018"/>
        <s v="282770"/>
        <s v="282772"/>
        <s v="282853"/>
        <s v="282785"/>
        <s v="282784"/>
        <s v="282714"/>
        <s v="282771"/>
        <s v="282857"/>
        <s v="278605"/>
        <s v="278604"/>
        <s v="2840920 1012"/>
        <s v="278603"/>
        <s v="278606"/>
        <s v="24894"/>
        <s v="465"/>
        <s v="282769"/>
        <s v="282856"/>
        <s v="020922"/>
        <s v="282729"/>
        <s v="282730"/>
        <s v="282875"/>
        <s v="281513 2021"/>
        <s v="281517 -20112"/>
        <s v="97989 2309 1"/>
        <s v="092091 121 1"/>
        <s v="99032 912"/>
        <s v="092091 10121 1"/>
        <s v="080120 1212 1"/>
        <s v="909230 2"/>
        <s v="32 131"/>
        <s v="282783"/>
        <s v="278607"/>
        <s v="2849012 01012"/>
        <s v="282854"/>
        <s v="278601"/>
        <s v="278602"/>
        <s v="333364"/>
        <s v="092022colsa"/>
        <s v="282767"/>
        <s v="282766"/>
        <s v="282855"/>
        <s v="259640 agosto"/>
        <s v="65321LB"/>
        <s v="&gt;PENDIENTE&lt;"/>
        <s v="282768"/>
        <s v="282676"/>
        <s v="5744"/>
        <s v="260822c"/>
        <s v="210822 3"/>
        <s v="282852"/>
        <s v="282883"/>
        <s v="123663"/>
        <s v="010822022"/>
        <s v="003"/>
        <s v="281528  1012"/>
        <s v="282782"/>
        <s v="agos-022"/>
        <s v="4838" u="1"/>
        <s v="BSE2020" u="1"/>
        <s v="5237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8648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79648" u="1"/>
        <s v="298635" u="1"/>
        <s v="18febrero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382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14612" u="1"/>
        <s v="282004" u="1"/>
        <s v="283016" u="1"/>
        <s v="283108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5734" u="1"/>
        <s v="277666" u="1"/>
        <s v="278586" u="1"/>
        <s v="278678" u="1"/>
        <s v="279598" u="1"/>
        <s v="302020UC" u="1"/>
        <s v="uca oct21b31" u="1"/>
        <s v="20sept 2021 canal 7" u="1"/>
        <s v="5289" u="1"/>
        <s v="280944 11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dic op 03 2020" u="1"/>
        <s v="275710" u="1"/>
        <s v="278562" u="1"/>
        <s v="278654" u="1"/>
        <s v="278746" u="1"/>
        <s v="278838" u="1"/>
        <s v="279390" u="1"/>
        <s v="279482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734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FNE SEP.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834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238" u="1"/>
        <s v="2795561" u="1"/>
        <s v="278900" u="1"/>
        <s v="27982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4534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26534" u="1"/>
        <s v="277910" u="1"/>
        <s v="278830" u="1"/>
        <s v="278922" u="1"/>
        <s v="279750" u="1"/>
        <s v="279842" u="1"/>
        <s v="279934" u="1"/>
        <s v="454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248" u="1"/>
        <s v="2795661" u="1"/>
        <s v="29090 1 1 10" u="1"/>
        <s v="1745" u="1"/>
        <s v="22441" u="1"/>
        <s v="120122" u="1"/>
        <s v="278910" u="1"/>
        <s v="279830" u="1"/>
        <s v="279922" u="1"/>
        <s v="X092115512" u="1"/>
        <s v="4554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741" u="1"/>
        <s v="22833" u="1"/>
        <s v="02082022" u="1"/>
        <s v="04 -2020" u="1"/>
        <s v="26598feb" u="1"/>
        <s v="01-2/2021" u="1"/>
        <s v="20enero224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278920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246" u="1"/>
        <s v="2795641" u="1"/>
        <s v="25698 12" u="1"/>
        <s v="789/07/2021" u="1"/>
        <s v="250522 JUN22" u="1"/>
        <s v="279920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8834 12i12" u="1"/>
        <s v="277376 1" u="1"/>
        <s v="279751 4903" u="1"/>
        <s v="280188" u="1"/>
        <s v="17181920" u="1"/>
        <s v="277333 12" u="1"/>
        <s v="2980901 3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4535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3060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3070" u="1"/>
        <s v="2795721" u="1"/>
        <s v="26653" u="1"/>
        <s v="4966" u="1"/>
        <s v="281310" u="1"/>
        <s v="281402" u="1"/>
        <s v="28223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" u="1"/>
        <s v="290985" u="1"/>
        <s v="PANINI 2021" u="1"/>
        <s v="32" u="1"/>
        <s v="2586" u="1"/>
        <s v="´280277" u="1"/>
        <s v="2909018 109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3080" u="1"/>
        <s v="2795821" u="1"/>
        <s v="4909034" u="1"/>
        <s v="2090232 1marz" u="1"/>
        <s v="14marzo.ejedsa" u="1"/>
        <s v="140321" u="1"/>
        <s v="90920 23" u="1"/>
        <s v="14562" u="1"/>
        <s v="280400" u="1"/>
        <s v="281320" u="1"/>
        <s v="281504" u="1"/>
        <s v="28224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3240" u="1"/>
        <s v="283006 1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266333" u="1"/>
        <s v="050722 02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795801" u="1"/>
        <s v="277994 29" u="1"/>
        <s v="13noviembre" u="1"/>
        <s v="273648 3004" u="1"/>
        <s v="02563" u="1"/>
        <s v="100413" u="1"/>
        <s v="10654" u="1"/>
        <s v="281502" u="1"/>
        <s v="283250" u="1"/>
        <s v="0811200" u="1"/>
        <s v="19 marzo arquitect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795901" u="1"/>
        <s v="fgtyjtyj" u="1"/>
        <s v="120422" u="1"/>
        <s v="4557" u="1"/>
        <s v="020421" u="1"/>
        <s v="242526" u="1"/>
        <s v="280500" u="1"/>
        <s v="281604" u="1"/>
        <s v="282708" u="1"/>
        <s v="6 febrero 2022." u="1"/>
        <s v="201412" u="1"/>
        <s v="281500" u="1"/>
        <s v="33336351" u="1"/>
        <s v="300422 CM2022" u="1"/>
        <s v="febrero01 los lapachos" u="1"/>
        <s v="22947" u="1"/>
        <s v="2412020" u="1"/>
        <s v="12/2021" u="1"/>
        <s v="01082021uj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090721 cdJ" u="1"/>
        <s v="280430" u="1"/>
        <s v="280614" u="1"/>
        <s v="280706" u="1"/>
        <s v="281350" u="1"/>
        <s v="281534" u="1"/>
        <s v="281626" u="1"/>
        <s v="281718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50754" u="1"/>
        <s v="281510" u="1"/>
        <s v="282706" u="1"/>
        <s v="277329 112" u="1"/>
        <s v="290973 091" u="1"/>
        <s v="273648 3105" u="1"/>
        <s v="308195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74454 pie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0440" u="1"/>
        <s v="280624" u="1"/>
        <s v="280716" u="1"/>
        <s v="280808" u="1"/>
        <s v="281360" u="1"/>
        <s v="281452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728" u="1"/>
        <s v="23febrero.pensas." u="1"/>
        <s v="120522" u="1"/>
        <s v="300421" u="1"/>
        <s v="020521" u="1"/>
        <s v="280600" u="1"/>
        <s v="281520" u="1"/>
        <s v="281612" u="1"/>
        <s v="282716" u="1"/>
        <s v="277326 11 1" u="1"/>
        <s v="290 1892-1dici." u="1"/>
        <s v="26590" u="1"/>
        <s v="101105 1" u="1"/>
        <s v="4568" u="1"/>
        <s v="14682" u="1"/>
        <s v="062623" u="1"/>
        <s v="281600" u="1"/>
        <s v="282704" u="1"/>
        <s v="15842012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658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1 SEPTIEMBRE VENTAS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668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654" u="1"/>
        <s v="678/03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100621" u="1"/>
        <s v="120620" u="1"/>
        <s v="279003" u="1"/>
        <s v="281802" u="1"/>
        <s v="282722" u="1"/>
        <s v="282906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268723" u="1"/>
        <s v="181121 cdJ" u="1"/>
        <s v="15422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664" u="1"/>
        <s v="282756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652" u="1"/>
        <s v="282928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674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696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696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0948" u="1"/>
        <s v="281592" u="1"/>
        <s v="281684" u="1"/>
        <s v="281776" u="1"/>
        <s v="281868" u="1"/>
        <s v="282696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1948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948" u="1"/>
        <s v="280414 1" u="1"/>
        <s v="210921 cdJ" u="1"/>
        <s v="29 M- 2022." u="1"/>
        <s v="10687" u="1"/>
        <s v="240822" u="1"/>
        <s v="279033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390289 3OLFP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946" u="1"/>
        <s v="31122021 MSP" u="1"/>
        <s v="200822" u="1"/>
        <s v="279031" u="1"/>
        <s v="279123" u="1"/>
        <s v="279215" u="1"/>
        <s v="280910" u="1"/>
        <s v="281922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4UL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239092 ABRIL2022." u="1"/>
        <s v="2" u="1"/>
        <s v="312021" u="1"/>
        <s v="152361 WD1" u="1"/>
        <s v="4674" u="1"/>
        <s v="15742" u="1"/>
        <s v="274317" u="1"/>
        <s v="276249" u="1"/>
        <s v="280796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091100  11 abril 2021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782" u="1"/>
        <s v="281874" u="1"/>
        <s v="281966" u="1"/>
        <s v="282794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122772" u="1"/>
        <s v="32020 5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2090232 1mayo" u="1"/>
        <s v="MSSJ 30/07/2022" u="1"/>
        <s v="062020nov" u="1"/>
        <s v="JMPIR29-12" u="1"/>
        <s v="UCA300420" u="1"/>
        <s v="HUANUCO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31221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882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882" u="1"/>
        <s v="28197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982" u="1"/>
        <s v="090230 1120" u="1"/>
        <s v="97989 marzo.2" u="1"/>
        <s v="132" u="1"/>
        <s v="278515" u="1"/>
        <s v="279251" u="1"/>
        <s v="279343" u="1"/>
        <s v="279527" u="1"/>
        <s v="279619" u="1"/>
        <s v="282970" u="1"/>
        <s v="MSSJ- 21/03/2022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30010422.2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042020 FM SOL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4608" u="1"/>
        <s v="16062021" u="1"/>
        <s v="16082020" u="1"/>
        <s v="190290 6" u="1"/>
        <s v="5007" u="1"/>
        <s v="20052021" u="1"/>
        <s v="20072020" u="1"/>
        <s v="4618" u="1"/>
        <s v="272477" u="1"/>
        <s v="121906 0721" u="1"/>
        <s v="2900901 102" u="1"/>
        <s v="200622 cdJ" u="1"/>
        <s v="250522" u="1"/>
        <s v="289009" u="1"/>
        <s v="290520" u="1"/>
        <s v="130522" u="1"/>
        <s v="152361" u="1"/>
        <s v="170520" u="1"/>
        <s v="2590923 marzo" u="1"/>
        <s v="15958" u="1"/>
        <s v="274453" u="1"/>
        <s v="02/22d" u="1"/>
        <s v="158489" u="1"/>
        <s v="275717" u="1"/>
        <s v="278385" u="1"/>
        <s v="278569" u="1"/>
        <s v="279397" u="1"/>
        <s v="279489" u="1"/>
        <s v="271120200" u="1"/>
        <s v="4698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4619" u="1"/>
        <s v="5190" u="1"/>
        <s v="20902" u="1"/>
        <s v="23659" u="1"/>
        <s v="289029" u="1"/>
        <s v="0108MEX" u="1"/>
        <s v="5038" u="1"/>
        <s v="23391" u="1"/>
        <s v="170620" u="1"/>
        <s v="46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090 2390 11224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19072021pg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1001120200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229" u="1"/>
        <s v="279811" u="1"/>
        <s v="279903" u="1"/>
        <s v="303038" u="1"/>
        <s v="CM0803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147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147" u="1"/>
        <s v="282239" u="1"/>
        <s v="283067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CFA20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249" u="1"/>
        <s v="2795671" u="1"/>
        <s v="029032.mayo. MARMOLERIA" u="1"/>
        <s v="278911" u="1"/>
        <s v="279831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275785" u="1"/>
        <s v="BMSEP22" u="1"/>
        <s v="277348 12" u="1"/>
        <s v="0290 10 13" u="1"/>
        <s v="3012120200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247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247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2247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247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3061" u="1"/>
        <s v="283245" u="1"/>
        <s v="2795631" u="1"/>
        <s v="281301" u="1"/>
        <s v="28222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22 septiembre 1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3105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22 septiembre 2" u="1"/>
        <s v="OCT2020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081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081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0333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333" u="1"/>
        <s v="281425" u="1"/>
        <s v="281517" u="1"/>
        <s v="281609" u="1"/>
        <s v="282161" u="1"/>
        <s v="283081" u="1"/>
        <s v="2795831" u="1"/>
        <s v="280401" u="1"/>
        <s v="281321" u="1"/>
        <s v="281505" u="1"/>
        <s v="282241" u="1"/>
        <s v="2795711" u="1"/>
        <s v="5155" u="1"/>
        <s v="BMAY22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277997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279997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795811" u="1"/>
        <s v="2849012 8" u="1"/>
        <s v="0108/052021" u="1"/>
        <s v="120321" u="1"/>
        <s v="121517" u="1"/>
        <s v="276230 121 5" u="1"/>
        <s v="281503" u="1"/>
        <s v="250522-1" u="1"/>
        <s v="20653" u="1"/>
        <s v="AGRALE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181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181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433" u="1"/>
        <s v="280617" u="1"/>
        <s v="281261" u="1"/>
        <s v="281353" u="1"/>
        <s v="281537" u="1"/>
        <s v="281629" u="1"/>
        <s v="282181" u="1"/>
        <s v="276489 100 1" u="1"/>
        <s v="920211" u="1"/>
        <s v="280421" u="1"/>
        <s v="280605" u="1"/>
        <s v="281341" u="1"/>
        <s v="281525" u="1"/>
        <s v="281617" u="1"/>
        <s v="281709" u="1"/>
        <s v="2795911" u="1"/>
        <s v="13diciembre" u="1"/>
        <s v="2898220 enero.." u="1"/>
        <s v="265286" u="1"/>
        <s v="280501" u="1"/>
        <s v="281513" u="1"/>
        <s v="281605" u="1"/>
        <s v="282709" u="1"/>
        <s v="5156" u="1"/>
        <s v="00563" u="1"/>
        <s v="20562" u="1"/>
        <s v="6047." u="1"/>
        <s v="281501" u="1"/>
        <s v="190290 12" u="1"/>
        <s v="uca oct21" u="1"/>
        <s v="12 18 07 2022" u="1"/>
        <s v="oct2107" u="1"/>
        <s v="28194423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707" u="1"/>
        <s v="10-0422" u="1"/>
        <s v="07062020 w" u="1"/>
        <s v="sep1" u="1"/>
        <s v="280 1090" u="1"/>
        <s v="28965" u="1"/>
        <s v="323423" u="1"/>
        <s v="5587" u="1"/>
        <s v="308196" u="1"/>
        <s v="2200422" u="1"/>
        <s v="280945 11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04/102020b" u="1"/>
        <s v="19 J- 2022." u="1"/>
        <s v="13febrero.pensas." u="1"/>
        <s v="263270" u="1"/>
        <s v="280601" u="1"/>
        <s v="281613" u="1"/>
        <s v="282717" u="1"/>
        <s v="092031 19 DIC.-" u="1"/>
        <s v="282705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01202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julio21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659" u="1"/>
        <s v="1524g5" u="1"/>
        <s v="283006 13" u="1"/>
        <s v="280623" u="1"/>
        <s v="280715" u="1"/>
        <s v="280807" u="1"/>
        <s v="281451" u="1"/>
        <s v="281635" u="1"/>
        <s v="03221TN" u="1"/>
        <s v="junio21" u="1"/>
        <s v="279823 1" u="1"/>
        <s v="290209 36" u="1"/>
        <s v="220522" u="1"/>
        <s v="279008" u="1"/>
        <s v="280611" u="1"/>
        <s v="280703" u="1"/>
        <s v="281531" u="1"/>
        <s v="281623" u="1"/>
        <s v="282727" u="1"/>
        <s v="239092 feb...1" u="1"/>
        <s v="24858" u="1"/>
        <s v="140520" u="1"/>
        <s v="300420" u="1"/>
        <s v="28161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657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655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250003" u="1"/>
        <s v="214,322FMS" u="1"/>
        <s v="278834 12i0" u="1"/>
        <s v="3652" u="1"/>
        <s v="207141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677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653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675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0 septiembre" u="1"/>
        <s v="06012021" u="1"/>
        <s v="271846 21" u="1"/>
        <s v="mayo 2021 melli" u="1"/>
        <s v="22102021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945" u="1"/>
        <s v="30 06 2022 jun" u="1"/>
        <s v="dic21" u="1"/>
        <s v="180920" u="1"/>
        <s v="271701 2609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jljls0293" u="1"/>
        <s v="15J236" u="1"/>
        <s v="278210" u="1"/>
        <s v="279130" u="1"/>
        <s v="279222" u="1"/>
        <s v="279314" u="1"/>
        <s v="279406" u="1"/>
        <s v="282941" u="1"/>
        <s v="20898" u="1"/>
        <s v="279210" u="1"/>
        <s v="279302" u="1"/>
        <s v="283031 3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290918 123 21" u="1"/>
        <s v="5635" u="1"/>
        <s v="272164" u="1"/>
        <s v="020422 cdJ" u="1"/>
        <s v="25636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11220" u="1"/>
        <s v="131403" u="1"/>
        <s v="06405082021P" u="1"/>
        <s v="280997" u="1"/>
        <s v="1011072022" u="1"/>
        <s v="276438" u="1"/>
        <s v="279198" u="1"/>
        <s v="280893" u="1"/>
        <s v="280985" u="1"/>
        <s v="281997" u="1"/>
        <s v="612153351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2090217novie.2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022022colsa" u="1"/>
        <s v="029032. ag.1" u="1"/>
        <s v="010421" u="1"/>
        <s v="296387" u="1"/>
        <s v="29865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296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8548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79548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063414ñ52" u="1"/>
        <s v="010821 CM1" u="1"/>
        <s v="316" u="1"/>
        <s v="18062021" u="1"/>
        <s v="5207" u="1"/>
        <s v="06062021" u="1"/>
        <s v="22072020" u="1"/>
        <s v="438" u="1"/>
        <s v="4818" u="1"/>
        <s v="10072020" u="1"/>
        <s v="12344o55" u="1"/>
        <s v="277652 MAy21" u="1"/>
        <s v="0008" u="1"/>
        <s v="272478" u="1"/>
        <s v="152478" u="1"/>
        <s v="97989 jul 2022" u="1"/>
      </sharedItems>
    </cacheField>
    <cacheField name="Referencia" numFmtId="0">
      <sharedItems/>
    </cacheField>
    <cacheField name="Comentario" numFmtId="0">
      <sharedItems containsBlank="1" count="8000" longText="1">
        <s v="SEX  SHOP RINDA MAS Necochea 338"/>
        <s v="VENDO HIDROLAVADORA NUEVA a expl"/>
        <s v="NUEVA DIRECCION - (logo GABIOTA "/>
        <s v="ATENCIÓN VENDO  *BOLSAS de 50 Kg"/>
        <s v="PRODUGAS TALLER LEDESMA"/>
        <s v="PRODUGAS OFERTA DE ESTE MES"/>
        <s v="AUTOMOTORES PEREZ"/>
        <s v="BUSCO LICENCIA TAXI AMARILLO, P/"/>
        <s v="GNC MINUTO"/>
        <s v="LCB POLARIZADOS ..."/>
        <s v="PRODUGAS TALLER PERICO"/>
        <s v="GNC MYN GRAN PROMOCION..."/>
        <s v="MARKAS"/>
        <s v="XTREME NEUMATICOS"/>
        <s v="DUEÑO VENDE  ECOSPORT SE 0 km.  "/>
        <s v="ECOSPORT TITANIUM 1.6"/>
        <s v="MARTILLERO LÓPEZ  * COMPRAS * VE"/>
        <s v=" DUEÑO VENDE FINCA 4Has. En Los "/>
        <s v="OPORTUNIDAD DUEÑO VENDE TERRENO "/>
        <s v="PERICO  VENDO  LOTE (ESQ.) Bº J."/>
        <s v="AGOSTINI DES. INMOB."/>
        <s v="RQ VENDE"/>
        <s v="CABALLERO VENDE LOTES DETRAS YAG"/>
        <s v="CABALLERO VENDE LOTES"/>
        <s v="VENDO TERRENO  de 15x40 Higueril"/>
        <s v="OPORTUNIDAD!! DUEÑO VENDE  TERRE"/>
        <s v="CLUB DE CAMPO LA ALMONA"/>
        <s v="LOTEO LA ARBOLADA  B° STO. CABRA"/>
        <s v="LOTEO VALLE VERDE  PREVENTA  A 1"/>
        <s v="VDO. TERRENO SOBRE RUTA N9   B° "/>
        <s v="VENDO TERRENO 8x26 en Cnel. Aria"/>
        <s v="LÒPEZ  INMOBILIARIA  ESTAMOS EN "/>
        <s v="PARTICULAR VENDE"/>
        <s v="INMOBILIARIA EXCONORT  COMPRA  V"/>
        <s v="ARNEDO VENDE DPTO. Céntrico 3 do"/>
        <s v="ARNEDO VENDE IMPORTANTE PROPIEDA"/>
        <s v="MARCALAIN VENDE"/>
        <s v="CABALLERO VENDE LIBERTADOR"/>
        <s v="CABALLERO VENDE CASAS"/>
        <s v="///LOGO////  SOLICITAMOS PROPIED"/>
        <s v="PROPIETARIO VENDE a un paso del "/>
        <s v="DUEÑO VENDE DTO. EN PALPALÁ  ZON"/>
        <s v="(LOGO)    AGUADO INMOBILIARIA   "/>
        <s v="CUBIERTAS Y LLANTAS ORIGINALES"/>
        <s v="GUERRERO NEUMATICOS SRL"/>
        <s v="CARMOTO FERRETERIA INDUSTRIAL"/>
        <s v="DERGAM"/>
        <s v="INCORPORAMOS PEÓN GENERAL para G"/>
        <s v="empresa constructora solicita ch"/>
        <s v="EMPRESA CONSTRUCTORA INCORPORA O"/>
        <s v="SE NECESITA oficiales armadores "/>
        <s v="SE BUSCA MEDICO/A para cubrir gu"/>
        <s v="URGENTE CLÍNICA SOLICITA MOVILES"/>
        <s v="IMPORTANTE EMPRESA DEL MEDIO sol"/>
        <s v="SE BUSCA JEFE DE COCINA con expe"/>
        <s v="OFIAL ALBAÑIL Con experiencia en"/>
        <s v="VENDEDOR/A   -Con experiencia co"/>
        <s v="VENDEDOR DE SALON"/>
        <s v="VENDEDOR VIAJANTE"/>
        <s v="CAPTADOR-A/VENDEDOR-A - Capacida"/>
        <s v="NECESITO LIC. en Adm. De Empresa"/>
        <s v="EMPRESA NECESITA AYUDANTE DE DEP"/>
        <s v="JUBILACIÓN PARA PERSONAL DE SERV"/>
        <s v="ALQUILO BAÑOS QUIMICOS, DESAGOTE"/>
        <s v="IMPERBEABILIZACION          DE T"/>
        <s v="JUBILACION - PENSION Ama de Casa"/>
        <s v="ALQUILO MAQUINA RETROPALA -Zona "/>
        <s v="ALQUILA: MESAS &amp; SILLAS Manteles"/>
        <s v="HORMIGONERA + DE 20 AÑOS"/>
        <s v="HORMIGONERA -VENTA DE HORMIGON E"/>
        <s v="HORMIGONERA  JUJUY S.R.L. VENTA "/>
        <s v="EDICTO - - JUZGADO DE PRIMERA IN"/>
        <s v="EDICTO Juzgado Multifuero  Peric"/>
        <s v="  ------------------------------"/>
        <s v="Ref. Expte. Nº D-039670/2022 car"/>
        <s v="EDICTO - - - JUZGADO DE PRIMERA "/>
        <s v="============== = = = = = =  EDIC"/>
        <s v="Ref. Expte. Nº C-203942/2022 car"/>
        <s v="EDICTO SUCESORIO  Juzgado Multif"/>
        <s v=" EDICTO SUCESORIO  = = = = = = ="/>
        <s v="EDICTO EL JUZGADO DE PRIMERA INS"/>
        <s v="Ref. Expte. Nº D-041772/2022 car"/>
        <s v="=====================EDICTO SUCE"/>
        <s v="EDICTO     JUZGADO MULTIFUERO DE"/>
        <s v="EDICTO  Dr. JORGE DANIEL ALSINA,"/>
        <s v="EDICTO SUCESORIO  ------ JUZGADO"/>
        <s v=" Ref. Expte. Nº C-204020/2022 ca"/>
        <s v="EDICTO DE CITACION   LA COORDINA"/>
        <s v="--------------------------------"/>
        <s v="EDICTO SUCESORIO  = = = JUZGADO "/>
        <s v="      E D ICTOS=== Juzgado de Pr"/>
        <s v="                                "/>
        <s v="           EDICTO  SUCESORIO  - "/>
        <s v="EDICTO SUCESORIO .-.-JUZGADO DE "/>
        <s v="EFECTIVO  EFECTIVO EN EL ACTO CO"/>
        <s v="MARCALAIN VENTAS ALQUILERES"/>
        <s v="AS SOLUCIONES INMOBILIARIA  SE R"/>
        <s v="CRISTIAN L. VILAR TASADOR PROFES"/>
        <s v="PERITO TASADOR Profesional Matri"/>
        <s v="JULIO PANERO"/>
        <s v="SUSANA MARINO"/>
        <s v="CABALLERO PROPIEDADES"/>
        <s v="DESCANSA TRANQUILO"/>
        <s v="ASOCIACIÓN CIVIL ROTARY CLUB JUJ"/>
        <s v="A.CI.SE.PA Asociación Civil del "/>
        <s v="CENTRO VECINAL CONSTITUCIÓN DE P"/>
        <s v="INSTITUTO DE EDUCACION SUPERIOR "/>
        <s v="LA COOPERATIVA DE TRABAJO MANOS "/>
        <s v="DUEÑO ALQUILA galpón en la Ciuda"/>
        <s v="CIUDAD PERICO  ALQUILO: OFICINAS"/>
        <s v="ALQUILO DPTO  TEMPORAL AMOBLADO "/>
        <s v="ALQUILO DEPTO"/>
        <s v="CABALLERO ALQUILA CASAS"/>
        <s v="CABALLERO ALQUILA A EMPRESAS CHA"/>
        <s v="GRACIAS SAN EXPEDITO POR LOS FAV"/>
        <s v="GRACIAS  SEÑOR JESUCRISTO POR LO"/>
        <s v="GRACIAS  VIRGEN DEL VALLE POR LO"/>
        <s v="Nadie supera mis trabajos porque"/>
        <s v="/////////////////JESUS TAROT////"/>
        <s v="ELENA - ESPIRITISTA"/>
        <s v="COSEJERO y HECHICERO DEL AMOR JA"/>
        <s v="SE SOLICITA PARA PUESTO TECNICO "/>
        <s v="VUELVE AZULADO JUJUY FM"/>
        <s v="SEX SHOP ///AVISO ARMADO////"/>
        <s v="EL MATUTINO"/>
        <s v="FRIAR"/>
        <s v="LA COCHERIA SRL"/>
        <s v="FARMACIA YRIGOYEN"/>
        <s v="WERCHOW OBITUARIO"/>
        <s v="SERIVICIO SOCIALES FUTURO..."/>
        <s v="LA BRESH - 10 DE SEPTIEMBRE"/>
        <s v="GOBIERNO  LA DRA. TULIA SNOPEK D"/>
        <s v="GOBIERNO  SOLICITADA.. A través "/>
        <s v="TEMAS MEDICOS  SHALOM"/>
        <s v="NORTE SERVICIO SOCIALES ...."/>
        <s v="NICO FIAMBRES"/>
        <s v="TOMBOSUERTE..."/>
        <s v="GOBIERNO - CINE DE LAS ALTURASJU"/>
        <s v="BINGO LOBO...."/>
        <s v="COMODIN mayorista"/>
        <s v="COMODIN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ESTUDIO CONTABLE Monotributo - G"/>
        <s v="C.P.N. CRISTIAN HERRERA M.P. 155"/>
        <s v="ASESORAMIENTO CONTABLE E IMPOSIT"/>
        <s v="ESTUDIO-JURÌDICO  DRA. CLAUDIA B"/>
        <s v="ESTUDIO JURIDICO Dra. María de l"/>
        <s v="DA. LYNN E. CRUZ (especialista e"/>
        <s v="ESTUDIO JURIDICO MEYER ALCARAZ T"/>
        <s v=" EDUARDO JOSE ROMEO            A"/>
        <s v="SEPELIOS SAN JOSE SRL SERVICIOS "/>
        <s v="CEFERINO FLORES"/>
        <s v="+ RUBEN DANIEL MAMANI SANCHEZ “P"/>
        <s v="+ POLONIA ÁNGELA GUITIAN (Q.E.P."/>
        <s v="+MONTALDI MARCELA ALEJANDRA  Q.E"/>
        <s v="+ PABLO ELOY GALIAN q.e.p.d. Te "/>
        <s v="ANTONIA DIAZ  “Pelusita” Falleci"/>
        <s v="CINE ALFA..."/>
        <s v="gOBIERNO TRABAJADOR ELECTRICIDAD"/>
        <s v="GOBIERNO  FIESTAS PATRONALES EL "/>
        <s v="GOBIERNO   FNE  ONDA ESTUDIANTIL"/>
        <s v="LA CASA DE JEREMIAS"/>
        <s v="PIZPIRETA  FM JUJUY ...."/>
        <s v="SIRIO LIBANESA"/>
        <s v="GRAN MONARCA - ALVEAR"/>
        <s v="LOLA M agosto  PNT en Radio FM S"/>
        <s v="LA DELIO VALDEZ"/>
        <s v="APACHETA publicado el 9/08 - 25/"/>
        <s v="APACHETA LA YUNTA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´´SUBASTA DE RODADOS, SIN BASE´´" u="1"/>
        <s v="RUBEN RIVAROLA" u="1"/>
        <s v="SALES DE JUJUY - PERIODISTAS" u="1"/>
        <s v="LA CASA DEL RIEGO ESP PERIODIST." u="1"/>
        <s v="AVISO CON RECUARDO FUCSIA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EDICTO-- --------EN EL EXPTE. N°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E    D    I    C     T    O    S" u="1"/>
        <s v="GRACIELA VIVIANA ALARCON" u="1"/>
        <s v="PANINI ALBUMES DEL MUNDIAL" u="1"/>
        <s v="+ JOSE LUIS ANTONIO PEREYRA 1X3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GABRIEL DOMINGO VELASQUEZ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texto y logo idem anuncio 1453929 _x000d__x000a_muevo color envio modelo correo sr franco y clasificados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EDICTODE CITACION     ----------" u="1"/>
        <s v="TARJETA SOL - pauta 2022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RED POR DERECHO A LA IDENTIDAD -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ARGENCROPS SA En conformidad del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siglo 21 infomercial" u="1"/>
        <s v="CAMARA DE TABACO ESP SAN SALVADO" u="1"/>
        <s v="E  D  I  C  T  O S  ---La Dra. M" u="1"/>
        <s v="SUBASTA DE RODADOS SIN BASE En c" u="1"/>
        <s v="ALQUILO DEPARTAMENTO SEMIPISO- 4" u="1"/>
        <s v="CON FOTO COLOR CARPETA DIA 25 DE AGOSTO DE 2019_x000d__x000a_*****CON FONDO DE CIELO*****" u="1"/>
        <s v="&quot;Se necesita vendedor full time " u="1"/>
        <s v="Club Amigos del Tango CONVOCATOR" u="1"/>
        <s v="CLUB ATLETICO GORRITI CONVOCATOR" u="1"/>
        <s v="CLUB ATLETICO LEDESMA CONVOCATOR" u="1"/>
        <s v="ELECCION DE AUTORIDADES CONSORCI" u="1"/>
        <s v="UNA PAGINA (19/06) Y MEDIA (20/0" u="1"/>
        <s v="+ COLQUI CRUZ, José Ismael Matía" u="1"/>
        <s v="+ SEBASTIAN AGUILERA SOSA   (q.e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URGENTE VENDO  TERRENO 2.568 m2 En *" u="1"/>
        <s v="CAMBIA JUJUY" u="1"/>
        <s v="UNJU 2 DE ABRIL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CORSA CLASIC 1.6 - 2009 180MIL K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                 EDICTO: En la c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E D I C T O  CAMARA EN LO CIVIL " u="1"/>
        <s v="CARNE DE FEEDLOT Media res de feedlo" u="1"/>
        <s v="RADIOS EL TRIBUNO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VENDO DPTO. 2 DORM CENTRO - S.S." u="1"/>
        <s v="1 COLEGIO DE ARQUITECTOS" u="1"/>
        <s v="BINGO HOSPITAL  GANADORE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ABA - DUEÑO VENDE DPTO.  1 Dorm" u="1"/>
        <s v="COMUNIDAD ABORIGEN DEL VALLE DE " u="1"/>
        <s v="EDICTO    JUZGADO MULTIFUERO DE " u="1"/>
        <s v="NECESITO PERSONAL para gran even" u="1"/>
        <s v="UNION CAÑEROS INDEPEND. EXODO JU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SAN PEDRO - ANIVERSARIO UNION CA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CENTRO VECINAL BARRIO SAN MARTIN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SEOM  8 ANIVERASRIO FALLECIMEINT" u="1"/>
        <s v="UNA PAGINA (17/07) Y MEDIA (18/0" u="1"/>
        <s v="Anuncio vinculado con: 1493383 2 .Anuncio vinculado con: 1493384 2 ." u="1"/>
        <s v="FINCAS DE LAVAYEN S.A.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ALQUILO MAQUINA RETROPALA -Nivelacio" u="1"/>
        <s v="TITULO COLOR AZUL Y EL MARCO TAMBIEN ! GRCIAS" u="1"/>
        <s v="foto carpeta dia 30 de septiembre atencion al cliente.......color" u="1"/>
        <s v="con color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SISPLACA" u="1"/>
        <s v="BINGO HOSPITAL  ...." u="1"/>
        <s v="DIAGRAMACION SR. DIEGO" u="1"/>
        <s v="TRADING bonificado 3+1" u="1"/>
        <s v="+ GALLARDO, Marcelino (q.e.p.d.)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+ MILTON WALTER OCHOA  AVISO ARM" u="1"/>
        <s v="+ NELLY CARDOZO +BRENDA NOELIA V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CONCEJAL FABIAN RODRIGUEZ  CELEB" u="1"/>
        <s v="AVISO ARMADO_x000d__x000a__x000d__x000a_UBICACION: PIE DE PAGINA" u="1"/>
        <s v="+ MIGUELINA MONTAÑO 02/11/1937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“Nuestra Señora Virgen Del Carme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MACRO - POSICIONAMEINTO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OSPIDA ESP TRABAJADOR GRAFICO" u="1"/>
        <s v="CONVOCATORIA La Comisión Coopera" u="1"/>
        <s v="DISTRIBUIDORA DE BEBIDA busca pe" u="1"/>
        <s v="EDICTO El Juzgado Federal  De Ju" u="1"/>
        <s v="El Carmen  HORACIO TORRES (q.e.p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+ PEDRO HUGO HERMOSA HERRERA  1X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BUSCAMOS CHOFER -EDAD HASTA 45 A" u="1"/>
        <s v="LOGO ANUNCIO 1455655" u="1"/>
        <s v="BINGO HOSPITAL GNADORE S..." u="1"/>
        <s v="| Falleció el 25 de mayo de 2013" u="1"/>
        <s v="DIA 15/12****LEYENDA MAÑANA*****_x000d__x000a_DIA 16/12 ***LEYENDO HOY******" u="1"/>
        <s v="SEOM  DIA DEL TRABAJDOR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EDICTO ----Dra. ELBA RITA CABEZA" u="1"/>
        <s v="PODEROSA NOVENA A LA VIRGEN DE G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JUJUY GLOBAL CONSULTORA (viso en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 EDICTOS  ---- Juzgado de Primer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 O N V O C A T O R I A  Coopera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PROPUESTA DE CANDIDATOS PARA CUB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+ SOLEDAD LEDESMA  HERBAS  29-10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EMPRESA CONSTRUCTORA NECESITA  R" u="1"/>
        <s v="OPORTUNIDAD BANDA DE YALA  parce" u="1"/>
        <s v="VENDO CASA ESQUINA  EN SAN PEDRO" u="1"/>
        <s v="EDICTO SUCESORIO   -----EL JUZGADO DE PR" u="1"/>
        <s v="UNION CAÑEROS INDEPEND. ESP. GRA" u="1"/>
        <s v="FELISA OLIVERA  1X3" u="1"/>
        <s v="+ CESAR PEREZ 6/8/48. _ 2/2/22  " u="1"/>
        <s v="COLEGIO DE KINESIOLOGOS ESP ODON" u="1"/>
        <s v="FARMACIA 8va NUESTRA SEÑORA DEL 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SERVI FIAT" u="1"/>
        <s v="ALBERTO MERCADO" u="1"/>
        <s v="ELECTROMAT DIA DEL TRABAJADOR" u="1"/>
        <s v="+ MAYO JORGE LUIS  Q.E.P.D. Fall" u="1"/>
        <s v="Carlos Alberto Pantoja (q.e.p.d.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NEXAR VENDE TERRENOS Almona 430 m2  San " u="1"/>
        <s v="ALTOS DEL ZAPLA" u="1"/>
        <s v="PANIFICADORA MILANO" u="1"/>
        <s v=" + NIRICH, Darío Fabricio  Q.E.P" u="1"/>
        <s v="NISSAN FRONTIER 2.5 4x4 cuero-Ca" u="1"/>
        <s v="PERICO-PERICO VENDO-CASA * Bº J.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Martin Rafael García 14/08/77  0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EDUARDO VICENTE LERA PORTAL" u="1"/>
        <s v="+ FIGUEROA MIRTA NOEMI     Q.E.P" u="1"/>
        <s v="ALANIZ, Héctor Abelardo (q.e.p.d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+ LUIS ADRIAN VILLEGA  Q.E.P.D. " u="1"/>
        <s v="EDICTO Juzgado de lra. Instancia" u="1"/>
        <s v="HECTOR JOSE RIVAINERA  1X3" u="1"/>
        <s v="VIRACOCHA  ESP GASTRONOMICOS" u="1"/>
        <s v="JORGE ROI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IGNACIO FERNADEZ PROPIEDADES PRE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DUEÑO VENDE  DPTO. CORDOBA  Cent" u="1"/>
        <s v="APACHETA" u="1"/>
        <s v="PINTURERIAS DIP ANUARIO" u="1"/>
        <s v="CAMARA DE TABACO infomercial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COOPERATIVA TABACALEROS ESP AGRO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GRACIAS SAN EXPEDITO POR EL CAMP" u="1"/>
        <s v="LA COMISION DIRECTIVA DE LA ASOC" u="1"/>
        <s v="La Comisión Directiva de la ASOC" u="1"/>
        <s v="ERIC FELIPE FLORES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MUNICIPALIDAD DE PALPALA - EVA P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EL CONSEJO DE BIOQ. RECUERD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COSEJERO y HECHICERO JAIRO  numero d" u="1"/>
        <s v="TELECOM PERSONAL" u="1"/>
        <s v="NORMA CRISTINA PELUQUERIA" u="1"/>
        <s v="1/16 PAGO SOLICITADA PUBLICADA 1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Estamos en busqueda de Personal 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EDICTO  EL Club Social y Deporti" u="1"/>
        <s v="EMPRESA CONSTRUCTORA SELECCIONA:" u="1"/>
        <s v="IMPORTANTE  TERRENO *ESQUINA* 1." u="1"/>
        <s v="LUISA DIAZ" u="1"/>
        <s v="CHOFER DE CAMION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CENTRO EMP. DE COMERCIO ANUARIO" u="1"/>
        <s v="+ JULIO NESTOR CASTAÑARES  Q.E.P" u="1"/>
        <s v="GOBIERNO EDICTO EXPTE. 1050-842.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+GLORIA DEL CARMEN GOMEZ DE ZARZ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PANIFICADORA GRANADA ESP APPACE" u="1"/>
        <s v="3/16 PAGO SOLICITADA PUBLICADA 1" u="1"/>
        <s v="aviso en carpeta de notables de la fecha" u="1"/>
        <s v="LA MANSION ESP CAM TABAC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FELIZ CUMPLE MI 22!!! QUE SEAS F" u="1"/>
        <s v="INAUGURACION PANADERIA MURILLO  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CENTRO DE EMPLEADOS DE FARMACIA 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FOTO GUARDAD EN LA CARPETA DE AT. AL CLIENTE_x000d__x000a__x000d__x000a_CON FLORES DE COLORES EN EL BORDE DEL MARCO DEL RECUADRO" u="1"/>
        <s v="TEXTO NUEVO_x000d__x000a_SE AUMENTO:    &quot;VENTA EXCLUSIVA DE PRODUCTOS PARA PODOLOGOS&quot;.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NECESITO CHOFER  Carnet Nacional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7/16 PAGO SOLICITADA PUBLICADA 1" u="1"/>
        <s v="CAMARA MINERA - 40 años de malvi" u="1"/>
        <s v="DUEÑA VENDE  DEPATAMENTO Guemes " u="1"/>
        <s v="CRISTALES JUJUY" u="1"/>
        <s v="CINE  ZAPLA ...." u="1"/>
        <s v="SANATORIO LAVALLE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2 kARATE KIOKUSHIN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CONVOCATORIA SIND. DE TRABAJ. DE" u="1"/>
        <s v="DRES. HUGO SOSA y CESAR MURRILLO" u="1"/>
        <s v="JUAN CARLOS MATTHEWS  CONSEJO ME" u="1"/>
        <s v="Médico Veterinario  + CRUZ, Fern" u="1"/>
        <s v="VENDO NISSAN FRONTIER SE, Mod 20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BUSCO SEÑORA para limpieza Gener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a color aviso para renonar idem 1469681 (3x5)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ALCALA RESTO BAR" u="1"/>
        <s v="+ ELIZABETH SABRINA SANCHEZ  C.E" u="1"/>
        <s v="DUEÑO VENDE  AMPLIA PROPIEDAD EN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604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432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on foto color carpeta dia 9 de novirembre_x000d__x000a_marco con flores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DUEÑO VENDE VW CROSS FOX 1.6 Hig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RUBEN RIVAROLA - RIVAROLA" u="1"/>
        <s v="ISJ   TALLER NUEVE LUNAS ...." u="1"/>
        <s v="GOBIERNO DIA D ELA MINERIA ..." u="1"/>
        <s v="GOBIERNO PASE SANITARIO DOS" u="1"/>
        <s v="I C E   DE  3    LITROS.....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PARQUE EL SOLAR" u="1"/>
        <s v="GOBIERNO TURISMO DESTINOS" u="1"/>
        <s v="CON FOTO COLOR CARP. 28-03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 EDICTO DE CITACION  LA DIRECCIO" u="1"/>
        <s v="+ CARMEN DE PORTILLO (Q.E.P.D.) " u="1"/>
        <s v="+ JOSE RICARDO YURQUINA  Q.E.P.D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+ BEATRIZ MERCEDES CARRIZO Q.E.P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SOCIAC. DE SANMARINENS. DIA DE 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ISJ  GOBIERNO NUEVE LUNAS....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SOCIEDAD ITALIANA CONVOCATORIA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VENDO HERMOSOS TERRENOS  en el P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+AGUSTIN ANGULO  1X3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CLUB ATLETICO GORRITTI...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CON FOTO COLOR CARP. 19-05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MAGISTRADOS ESP MAGISTRA" u="1"/>
        <s v="EMPRESA DE S.S. DE JUJUY SOPORTE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EDICTO NOTIFICACION = = =JUZGADO" u="1"/>
        <s v="IVUJ  DIA DE LA CONSTRUCCCION .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EMP DE BEBIDAS SOMMELIER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CAMARA DE TABACO CONVOCATORIA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EL FORTÍN GAUCHO LAS ESCALERAS A" u="1"/>
        <s v="fondo amarrillo letras negras mayúscula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adem color anuncio 1489324)" u="1"/>
        <s v="PIMPINELA EN jUNIO plan 5+2" u="1"/>
        <s v="+ ANA MARIA CASTILLO q.e.p.d. Fa" u="1"/>
        <s v="+ GASPAR, Juan Domingo “Manincho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EDICTO   --- Dra. Marisa Eliana " u="1"/>
        <s v="GOBIERNO DIA DE LA ENFERMERIA..." u="1"/>
        <s v="MUNI. de PALPALA  41º aniversari" u="1"/>
        <s v="“Cooperativa de Viviendas y Serv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DON SATUR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con color fondo negro letras amarrillas" u="1"/>
        <s v="FOTO GUARDAD EN LA CARPETA DE LA FECHA DE AT. AL CLIENTE_x000d__x000a__x000d__x000a_CON EL MARCO DEL RECUADRO A COLOR Y CON UN LINDO DETALLE DE FLORESB COLORIDAS... GRACI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con  foto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ON FOTO CARPETA DIA 23" u="1"/>
        <s v="                 CONVOCATORIA A 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GRUPO LEDESMA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VENDO T CROSS Trendline, Mod 202" u="1"/>
        <s v="   RIOS,  Ana María (q.e.p.d.) F" u="1"/>
        <s v="EMPRESA SOLICITA OFICIAL CARPINT" u="1"/>
        <s v="ENTER SERVICE S.A. ASAMBLEA GENE" u="1"/>
        <s v="LAMINA VIRGEN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CARLOS HUGO SOTO CORNEJO EXPTE N" u="1"/>
        <s v=" EXPTE. C-167588/2020  =========" u="1"/>
        <s v="EDICTO SUCESORIO DE MARIANA RIOS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VENDO CASA  Bº AZUCARERO  SAN PE" u="1"/>
        <s v="¡¡¡FELIZ DÍA AL COLECTIVO PROFES" u="1"/>
        <s v="FINCA CHAGUARAL A. AHEISON ZAFRA" u="1"/>
        <s v="GOBIERNO  DIA DEL PERIODISTA....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CONCEJO DELIBERANTE   -  SABADO 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Sindicato de Taximetristas Quiaq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CONVOCATORIA San Salvador de Juj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EDICTO SUCESORIO .-.-.-.- JUZGAD" u="1"/>
        <s v="HIERRONORT SELECCIONARA: AUXILIA" u="1"/>
        <s v="SINDICATO DE OBRAS SANITARIS DE " u="1"/>
        <s v="Vendo monoambiente.en Mar del Pl" u="1"/>
        <s v="con foto color carpeta de la fecha jose antonio palomo" u="1"/>
        <s v="LOLA M - gastronomico" u="1"/>
        <s v="+ ALICIA PLAZA, FLOR ABALOS, MAR" u="1"/>
        <s v="Convocatoria- Comunidad de Miraf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ELECTROMAT ESP DIA DE LA CONSTR." u="1"/>
        <s v="GRACIAS GAUCHITO GIL POR LOS FAV" u="1"/>
        <s v="Gracias San Cayetan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EDICTOS   Dr. ESTEBAN J. ARIAS C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ISJ  TALLERES VIRTUALES ..." u="1"/>
        <s v="JOSEFA MAIZARES MOD 1X3 BYN" u="1"/>
        <s v="ASOCIAC. DE SANMARINENS ESP. CAM" u="1"/>
        <s v="CLUB GIMNASIA Y ESGRIMA DE JUJU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INMOB. GUERRERO VENDE HUACALERA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CON ALGUN  DETALLE EN EL BORDE DEL MARCO" u="1"/>
        <s v="SE CORRIGIO EL NUMERO DE INSTITUCION ES 88  Y PALABRA CIUDAD" u="1"/>
        <s v="VENTA DE OLIVOS....." u="1"/>
        <s v="INDEPENDENCIA DE CHILE" u="1"/>
        <s v="+  MARTINA PELOC DE PANIAGUA    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FLORENCIA SABINA CHOQUE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VENDO SURAN 1.6 Mod 2011 Cel 388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FERIA DE MONTERRICO - CAMBIO DE " u="1"/>
        <s v="SE NECESITA EMPLEADA  QUE SEPA C" u="1"/>
        <s v="Vendo casa en Bajo la Viña  Las " u="1"/>
        <s v="SALVA CABANA" u="1"/>
        <s v="CAPSAP CONVOCATORA ASAMBLEA GRAL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AMARA DE COMERCIO CONVOCAT. ASA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FM SOL CAMBIO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 Sindicato de Taximetristas Quia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APJ FEBRERO 2021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RECALL TRACKER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ROLCAR s.a.   ..." u="1"/>
        <s v="LIQUIDACION DE SUELDOS...." u="1"/>
        <s v="DOVIS DIESEL PATRONAL DE PERICO" u="1"/>
        <s v="colegio farmaceutico de jujuy...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ENTRO EMP DE COMERCIO ESP 25 DE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ONVOCATORIA AUDIENCIA MINISTERI" u="1"/>
        <s v="COLOR VERDE LETRAS BLANCAS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FARMACIA DEL BARRIO" u="1"/>
        <s v="CAMARA DE TABACO CONVOCATORIA AS" u="1"/>
        <s v="CAMARA JUJEÑA DE EMP. DE SALUD  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CON FOTO DE CACHORROS , CARPETA DIA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 . El Tribunal Electoral " u="1"/>
        <s v="EDICTO - - - El Juzgado de Prime" u="1"/>
        <s v="EDICTO ---------JUZGADO DE PRIME" u="1"/>
        <s v="EDICTO --------“JUZGADO DE PRIME" u="1"/>
        <s v="EDICTO ---El Tribunal Electoral " u="1"/>
        <s v="COLEGIOP MEDICO" u="1"/>
        <s v="NICO FIAMBRES - FNE" u="1"/>
        <s v="BINGO LOBO CONTRATAPA..." u="1"/>
        <s v="TRANSPORTE SERVICIOS ESPECIALES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BINGO LOBO..." u="1"/>
        <s v="Juntas con Essen - publica estil" u="1"/>
        <s v="TEXTO ENVIADO A TRIBU PUBLICIDAD" u="1"/>
        <s v="BUSCO CUIDADOR A DOMICILIO/A Zon" u="1"/>
        <s v="LIAL MAYORISTA DIA DEL TRABAJADO" u="1"/>
        <s v="SE BUSCA CONTADOR /LIC ADMINIST.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+ HUGO DEL VALLE ORTEGA  Q.E.P.D" u="1"/>
        <s v="CONCEJAL DR. HUGO SOSA  DÍA DE T" u="1"/>
        <s v="SINDICATO DE OBREROS DE LA INDUS" u="1"/>
        <s v="AVISO ARMADO EN CARPETA DE LA FE" u="1"/>
        <s v="COLEGIO PRIVADO NUEVA GENERACION" u="1"/>
        <s v="EDICTO  == El Juzgado de 1ra. In" u="1"/>
        <s v="EDICTO  ===El Juzgado de 1ra. In" u="1"/>
        <s v="CON FOTO EN CARPETA DE LA FECHA GRACIELA TEJERINA 23/05/2021" u="1"/>
        <s v="AUTOSERVICIO EL ALMACEN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EDICTOS  Ref. Expte N° D-035060/" u="1"/>
        <s v="TRES  RADIO UNIVERSIDAD ...   (4" u="1"/>
        <s v="TUBO MUNDO DIA DEL SANITARISTA .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VETERINARIA SAN SALVADOR ESP VET" u="1"/>
        <s v="SUPERVISOR DE ENFERMERIA" u="1"/>
        <s v="--EDICTO--  = = =Dra. LIS VALDEC" u="1"/>
        <s v="FAMILIA BAZAN" u="1"/>
        <s v="ACADEMIA DE DANZAS ARABES AAMAL" u="1"/>
        <s v="PAREDES CATALINO 2X3 COLOR FOTO EN CARPETA DE LA FECHA 14/04/2021" u="1"/>
        <s v="EDICTO  EN EL EXPTE. N° D-037433" u="1"/>
        <s v="PARTIDO JUSTICIALISTA ESPECIAL.." u="1"/>
        <s v="UTHGRA ESP PERIODISTAS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NTONIO RODAMIENTOS ESP REPUESTE" u="1"/>
        <s v="SE NECESITA PERSONAL  FEMENINO J" u="1"/>
        <s v="CAISA S.A. URUNDEL" u="1"/>
        <s v="BLACK  FRIDAY  CHANGOMAS.....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NECESITO CONTRATISTA (para hacer" u="1"/>
        <s v="SIND. DE LUZ Y FUERZA 25 DE MAYO" u="1"/>
        <s v="VENDO HILUX SRX  A/T 2018, 2.8 D" u="1"/>
        <s v="AUTOCOR" u="1"/>
        <s v="ainstituto colbert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+ SUSANA DEL CARMEN MIRANDA Q.E." u="1"/>
        <s v="GOBIERNO  DIA DE LA SOBERANIA NA" u="1"/>
        <s v="IMPORTANTE EMPRESA DEL MEDIO Bus" u="1"/>
        <s v="aviso para renovar idem anuncio 1476062" u="1"/>
        <s v="+ CALIZAYA RUFINO (q.e.p.d.) Se 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AGROQUIMICA SAN JOSE PATRONAL D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UNION CAÑEROS INDEPEND ESP AGRIC" u="1"/>
        <s v="AGOSTINI INMOBILIARIO" u="1"/>
        <s v="AGUA POTABLE LIC.PUB." u="1"/>
        <s v="+ LUNA, Valerio (q.e.p.d.) Falle" u="1"/>
        <s v="MARIA TORREJON DE CHOROLQUE Part" u="1"/>
        <s v="NEWSPORT ADHESION CLUB GIMNASIA " u="1"/>
        <s v="OPTICA EL GALLO - DIA DEL TRABAJ" u="1"/>
        <s v="PARQUE SAN MARTIN vendo dpto. gr" u="1"/>
        <s v="JUAN JOSE GIRON" u="1"/>
        <s v="SUETRA  DIA DEL TRABAJADOR" u="1"/>
        <s v="DOVIS DIESEL ESP LIBERTADOR" u="1"/>
        <s v="EMP DEL MEDIO SOLICITA VENDEDOR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EN LA CELEBRACIÓN DE NUESTRO PAT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ITALIA NEUMATICOS DIA DEL TRABAJ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BANCO MACRO  PEDIDO 4500127200 H" u="1"/>
        <s v="LA MANSION NECESITA AYUDANTE COC" u="1"/>
        <s v="TITULO CON MAYUSCULA Y NEGRITA (INCLUIDO EL Nº PERSONERIA _x000d__x000a__x000d__x000a_si seria posible en pag. jujuy" u="1"/>
        <s v="   CENTRO VECINAL B° ALTO PALPAL" u="1"/>
        <s v="GOBIERNO  PUEBLOS INDIGENS  ....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+ CRUZ, LUIS RICARDO         Q.E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PARTICULAR Y ÚNICA dueña vende F" u="1"/>
        <s v=" - - E D I C T O - -  - En EL EX" u="1"/>
        <s v="INMOBILIARIA SONIA FLORES.  ALQU" u="1"/>
        <s v="TERRENOS DE OPORTUNIDAD        V" u="1"/>
        <s v="SEBASTIAN YATRA" u="1"/>
        <s v="MUNIC. JUJUY - FIN DE AÑO" u="1"/>
        <s v="JACK - LOS PASTELES VERDES" u="1"/>
        <s v="+ MARTÍNEZ ROSENDO  Falleció el " u="1"/>
        <s v="ATENCIÓN VENDO CASA Monterrico e" u="1"/>
        <s v="GOBIERNO DIS   TAN    CIA    TE " u="1"/>
        <s v="CASA LIMPIA" u="1"/>
        <s v="----------EDICTOS SUCESORIOS----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GOBIERNO TURISMO -   CUSI CUSI..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+ CLAUDIO GONZALO FLORES  (Q.E.P" u="1"/>
        <s v="+ DOLORES CALIZAYA  Q.E.P.D. 16/" u="1"/>
        <s v="/////CON LOGO ///////  CONVOCATO" u="1"/>
        <s v="EMPRESA GASTRONOMICA LIQUIDA • E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CUADRO TARIFARIO EJESA..." u="1"/>
        <s v="BALDI FIAMBRES ESP GASTRONOMICOS" u="1"/>
        <s v="MARTILLERA LAURA BLANCO VENTAS  " u="1"/>
        <s v="VENDO  AVENA y ALFA EN ROLLO Y F" u="1"/>
        <s v="Cooperativa Telefónica La Quiaca" u="1"/>
        <s v="TORRE LA - MELBOURNE  UBICACION:" u="1"/>
        <s v="VENDO DEPOSITO 16x40mt. zona San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SE NECESITA ODONTÓLOGO/A para Co" u="1"/>
        <s v="futbol fm sol" u="1"/>
        <s v="AVISO EN CARPETA DE LA FECHA" u="1"/>
        <s v="             - - - - - - - - - -" u="1"/>
        <s v=" ASOCIACIÓN CIVIL DE SEPELIO AZU" u="1"/>
        <s v="+ FERNADEZ, Ricardo José “Jopi” " u="1"/>
        <s v="ALBAÑIL ESPECIALIZADO  en Lozas,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promo día de la madre" u="1"/>
        <s v="+ CHILALI, Mario (q.e.p.d) Falle" u="1"/>
        <s v="+ OCHOA, Leonardo Q.E.P.D.  Fall" u="1"/>
        <s v="///LOGO/// C O N V O C A T O R I" u="1"/>
        <s v="6630/2021  BEJARANO SARDINA, SIL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ALEMAR  CELEBRACIÓN DE LA VIRGEN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COMERCIALIZADORA F.S.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+ PEDRO ALVARADO DIONICIO Q.E.P.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IMPORTANTE EMPRESA COMERCIAL  BU" u="1"/>
        <s v="ROBIN DAVID VILLARROEL  qe.p.d. 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COOPERATIVA TELEFONICA DE PERICO" u="1"/>
        <s v="URGENTE BUSCO ENCAGADO DE OBRA  " u="1"/>
        <s v="JUANA BALDIVIEZO CARI 1X3" u="1"/>
        <s v="+ MARGARITA GLADIS RIOS  1X3" u="1"/>
        <s v="NEUMATONE DIA DEL TRABAJADOR" u="1"/>
        <s v="       + VILCA SATURNINA        " u="1"/>
        <s v="+ ORELLANA CLAUDIO GERARDO RAMÓN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VETERINARIA EL JAGUEL- ESP VETER" u="1"/>
        <s v="LA PACHA CAFE" u="1"/>
        <s v="+ PLACIDA VICTORIA FLORES VDA DE" u="1"/>
        <s v="2742/2021 - LOPEZ MARTINEZ, IGNA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ENGLISH JUNIORS SCHOOL   ANIVER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boton LAMINA VIRGEN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eclaración de estudio de impact" u="1"/>
        <s v="DUEÑO VENDE 10 HAS C/RIEGO EN  F" u="1"/>
        <s v="EDICTO Dra. MARINA ELIANA RONDON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Club Deportivo Social Parapeti C" u="1"/>
        <s v="COLSA CAJERO" u="1"/>
        <s v="M. ELECTRICIDAD" u="1"/>
        <s v="DESAYUNO INFORMATIVO" u="1"/>
        <s v="SE BUSCA OPERADOR DE MAQUINARIA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BNA WEB MAYORES ACTIVOS.... TELA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arlos Alejandro Schmerbach “Col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CENTRO VECINAL — BARRIO 23 DE AG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COLEGIO DE PROFESIONALES EN TURI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PROMO ANUARIO ELTRIBUN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ESC. AGROTECNICA ING. RICARDO HU" u="1"/>
        <s v="fondo blanco letras verde (fuerte) borde verde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faila leonardo jujuy carpeta 1 DE MARZO  _x000d__x000a_AVISO ARMADO" u="1"/>
        <s v="AYLLU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+CRUZ, Oscar (q.e.p.d.) Falleció" u="1"/>
        <s v="ADICEM ...." u="1"/>
        <s v="STRAVAGANZA" u="1"/>
        <s v="COLEGIO DE PROFESORES DE HISTORI" u="1"/>
        <s v="IMPORTANTE EMPRESA DE SERVICOS M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HOY  SERGIO ALBERTO ESCUDERO MAR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GOBIERNO PAGINA 2 .." u="1"/>
        <s v="ELECTROMAT ESP CONST." u="1"/>
        <s v="CONVOCATORIA  SAN PEDRO CENTRO V" u="1"/>
        <s v="OSPIDA ANUARIO" u="1"/>
        <s v="GMG LUBRICENTRO ESP GORRITI" u="1"/>
        <s v="COOPERATIVA HORTÍCOLA LA NUEVA F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SAN EXPEDITO Gracias por escucha" u="1"/>
        <s v="OPTICA VISION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AGUA POTABLE LIC.PUB. MAYO 2022.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SEABOARD ENERGIAS RENOVABLES Y A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MINISTERIO DE AMBIENTE LIC.PUB. " u="1"/>
        <s v="SEOM DÍA DEL PERIODISTA" u="1"/>
        <s v="PATEANDO EL TABLERO JUJUY FM" u="1"/>
        <s v="EDICTO  INSCRIPCION DE MARTILLER" u="1"/>
        <s v="¡SANTÍSIMA VÍRGEN DE COPACABANA!" u="1"/>
        <s v=" EDICTO INSCRIPCION DE MARTILLERO    JUA" u="1"/>
        <s v="EDICTO SUCESORIO.-  - - -  EL JUZGADO DE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GOBIERNO CARNAVAL ...." u="1"/>
        <s v="CONCEJAL FABIAN RODRIGUEZ  INMAC" u="1"/>
        <s v="RIO BLANCO SOBRE COLECTORA IDEAL" u="1"/>
        <s v="VENDO PALA CARGADORA CAT 938G se" u="1"/>
        <s v="UCSE - INGENIERIA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TOYOTA HILUX SRV 2013 3.0 full, 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VINERIA SAN JUAN SOLICITA VENDED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RUBEN RIVAROLA - DIA DE LA MILIT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Programa Jujuy Basquet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E D I C T O   - - - CÁMARA DE AP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LATITUD SUR UNION CAÑEROS" u="1"/>
        <s v="ELECTROSTAR EMP. DEL TABACO" u="1"/>
        <s v="GOBIERNO  DIA DE LA NIÑEZ...." u="1"/>
        <s v="CONSEJO DE FONOADIOLOGO CONVOCAT" u="1"/>
        <s v="E D I C T O               S U C " u="1"/>
        <s v="LIC.PRIVADA Nº 07/2021... MIN. D" u="1"/>
        <s v="VENDO AUTO  GOLF 2016 1.4, TSI.c" u="1"/>
        <s v="VENDO PC DE ESCRITORIO COMPLETA " u="1"/>
        <s v="AGUA POTABLE ...." u="1"/>
        <s v=" E D I C T O S --EL JUZGADO DE P" u="1"/>
        <s v="+ ALICIA DEL HUERTO DOLZ  Fallec" u="1"/>
        <s v="VINERIA SAN JUAN  REINAG. CARENA" u="1"/>
        <s v="anexo cotillón papelería, marroquineria y que salga una imagen de san martin y globos de colores como para darle un poco de color._x000a_Librería ssn Martin ( se quita foto de los niños)" u="1"/>
        <s v="CAMARA MINERA - ANUARIO" u="1"/>
        <s v="ASOCIACIÓN DE TRABAJADORES DE LA" u="1"/>
        <s v="Ledesma SAAI - DIA DEL  AGROPECU" u="1"/>
        <s v="NUEVO PROFESIONAL ABOGADO DR. RO" u="1"/>
        <s v="anuncio con logo A COLOR IDEM 1473168" u="1"/>
        <s v="ELECTROMAT DIA ESP FATIMA" u="1"/>
        <s v="ANGELITA SORUCO   AVISO ARMADO" u="1"/>
        <s v="            EDICTO SUCESORIO  JU" u="1"/>
        <s v="AGRADECIMIENTO + CARLOS ORELLANA" u="1"/>
        <s v="ARREGLAR AVISO CON RICARDO TORREJON" u="1"/>
        <s v="MODIFICAR AVISO:_x000d__x000a__x000d__x000a__x000d__x000a_QUITAR MENU EJECUTIVO_x000d__x000a_QUITAR DELIVERY..." u="1"/>
        <s v="ASOCIACION JUDICIAL ESP ABOGADOS" u="1"/>
        <s v="jFM JUJUY - JUJUY PRODUCCION ..." u="1"/>
        <s v="VENDO THE BEETLE Mod 2014, 49.xx" u="1"/>
        <s v="previo armado" u="1"/>
        <s v="UCSE CARRERAS" u="1"/>
        <s v="+ SUAREZ, Carlos (q.e.p.d.) Fall" u="1"/>
        <s v="+ SULCA, Gabriel (q.e.p.d.) Fall" u="1"/>
        <s v="AGOSTINI  DES. INMOBILIARIO ...." u="1"/>
        <s v="Empresa constructora, busca Técn" u="1"/>
        <s v="GOBIERNO DIA DEL TRABAJADOR ...." u="1"/>
        <s v="LOPEZ PIERRE FARMACIA ESP FARMAC" u="1"/>
        <s v="ARIES S.A. SAN ISIDRO LABRADOR" u="1"/>
        <s v="CARNICERIA CONSTITUCION - DIA DE" u="1"/>
        <s v="CS AGRARIAS DIA DEL ING. AGRÓNOM" u="1"/>
        <s v="MUNIC. S.S. DE JUJUY - dia del p" u="1"/>
        <s v="VENDO HERMOSO Y ECONOMICO VW UP." u="1"/>
        <s v="JOSE MARIA CRUZ" u="1"/>
        <s v="CONVOCATORIA A ASAMBLEA GRA. ORD" u="1"/>
        <s v="CREDIS CRECER   SOLICITA VENDEDO" u="1"/>
        <s v="EDICTO SUCESORIO El juzgado Civi" u="1"/>
        <s v="SEVERINO  *VENDO*  100 HAS. COMU" u="1"/>
        <s v="Instituto Tecnico Ing Herminio A" u="1"/>
        <s v="SOLO CON LA FOTO  (RODRIGO EZEQUIEL CAYÓN) DE ANUNCIO 1481645" u="1"/>
        <s v="GOBIERNO  DIA DEL TOMOGRAFO ..." u="1"/>
        <s v="LA CASA DEL RIEGO ESP SAN MARINO" u="1"/>
        <s v="LIQUIN, Juan Carlos (q.e.p.d.) S" u="1"/>
        <s v="a color aviso para renovar idem 1455463" u="1"/>
        <s v="UPCN  ADHESION ..." u="1"/>
        <s v="+ LIC. CARMEN ROSA CARDOZO DE RI" u="1"/>
        <s v="+ PABLO DANIEL MANSILLA  (Q.E.P." u="1"/>
        <s v="CARGAR CUENTA WERCHOW JORGE SAUL" u="1"/>
        <s v="DYMEC...." u="1"/>
        <s v="COLOR IDEM AVISO 1489324" u="1"/>
        <s v="GARELY SACI DIA DE LA BANDERA" u="1"/>
        <s v="GOBIERNO PASE SANITARIO UNO..." u="1"/>
        <s v="+ BLANCA CASTRO TOLEDO DE PEREZ " u="1"/>
        <s v="FARMACIA GUEMES UNO  ANIVERSARIO" u="1"/>
        <s v="FORD PUSSETTO" u="1"/>
        <s v="DOLORES MAMANI  1X3" u="1"/>
        <s v="Mega Cars Multimarcas" u="1"/>
        <s v="SANATORIO LOS LAPACHOS ...." u="1"/>
        <s v="GRACIAS SAN EXPEDITO por otro ca" u="1"/>
        <s v="Municipalidad de LGSM" u="1"/>
        <s v="CON FOTO CARPETA 29 DE JUNIO" u="1"/>
        <s v="con marco rojo por favor !!!!" u="1"/>
        <s v="(logo) La Comisión Directiva de " u="1"/>
        <s v="ASOCIACIÓN CIVIL CAMPESINA DE PE" u="1"/>
        <s v="CAMARA INMOB. DE JUJUY CONVOCATO" u="1"/>
        <s v="SAN JUAN DE DIOS JORGE ALBERTO C" u="1"/>
        <s v="foto en carpeta de la fecha 01-09-2017_x000d__x000a__x000d__x000a_+ Mabel Sajama de Maldonado- 3x3 mod color" u="1"/>
        <s v="aviso para renovar idem 1491011" u="1"/>
        <s v="EDICTOS SUCESORIO  EN EL EXPTE. " u="1"/>
        <s v="GOBIERNO  DIA 17 - ANIVERS. FALL" u="1"/>
        <s v="UPCN  ANIVER. FALLECIMIENTO  J.D" u="1"/>
        <s v="ENVIADO AL CORREO DE CLASIFICADO NUEVA IMAGEN A COLOR Y BLANCO" u="1"/>
        <s v="MARTIN LLAMAS - CONCEJAL" u="1"/>
        <s v=" VENDO Terreno Atra de Kolor Dis" u="1"/>
        <s v="E   D   I   C   T   O   S ====El" u="1"/>
        <s v="LIGA QUEBRADEÑA DE FUTBOL   CONV" u="1"/>
        <s v="TOYOTA HILUX SRV 4x4, automatica" u="1"/>
        <s v="ACACIA" u="1"/>
        <s v="CAJUTAC SAN CAYETANO" u="1"/>
        <s v="GIARDI Tino (Q.E.P.D.) Falleció " u="1"/>
        <s v="VENDO MESAS Y SILLAS  DE PINO  A" u="1"/>
        <s v="ANGEL LUBRICANTES" u="1"/>
        <s v="LOS NOMBRADORES APACHETA" u="1"/>
        <s v=" CAMARA MINERA DE JUJUY  ASAMBLE" u="1"/>
        <s v="MARATON DE DESCUENTOS CHANGOMAS." u="1"/>
        <s v="NECESITO CARNICERO  para zona Sa" u="1"/>
        <s v="FERIA DE MONTERRICO" u="1"/>
        <s v="+ MARIA ANGELICA SANCHEZ Q.E.P.D" u="1"/>
        <s v="+ MONICA TERESA HERRERA  MOD 1X3" u="1"/>
        <s v="+ OLGA REYES 15/07/2020 ~ 15/07/" u="1"/>
        <s v="+ PONCE, Braulio Raúl q.e.p.d. S" u="1"/>
        <s v="BINGO LOBO ... club atletico gim" u="1"/>
        <s v="COLEGIO DE ABOGADOS - ESP PERIOD" u="1"/>
        <s v="EDICTO SUCESORIO   = = = = = JUZ" u="1"/>
        <s v="SOLICITO EMPLEADA domestica para" u="1"/>
        <s v="COLEGIO DE MARTILLERO" u="1"/>
        <s v="CON LOGO INMOBILIARIA BARREIRO" u="1"/>
        <s v=" EXPTE C-173199/21 “ORDINARIO PO" u="1"/>
        <s v="COOPERATIVA DE TRABAJO UDETRAf L" u="1"/>
        <s v="JUJUY PRODUCCION ...." u="1"/>
        <s v="JULIAN URZAGASTI PEREYRA" u="1"/>
        <s v="IES N° 4 CURSO DE PORTUGUES" u="1"/>
        <s v="+ JOSÉ LUIS GARNICA  (Q.E.P.D.) " u="1"/>
        <s v="+ MARIO MÁXIMO ESCOBAR GÓMEZ (q." u="1"/>
        <s v="COLEGIOP DE PSICOLOGOS  ADHESION" u="1"/>
        <s v="RECREATIVAS COMPLEJO EDUCATIVO J" u="1"/>
        <s v="IMP EMP DE SERV. COBRADOR" u="1"/>
        <s v="ESTACION DE SERV. YPF... ESP SAN" u="1"/>
        <s v="MARATON DE DESCUETOS DEL 6 AL 17" u="1"/>
        <s v="CIRCULO ODONTOLÓGICO" u="1"/>
        <s v="PROYAJO S.A. ESP C.C. EXT." u="1"/>
        <s v="COMISION REOGANIZADORA ASOCIACIÓ" u="1"/>
        <s v="CONVOCATORIA  Asociación de Bomb" u="1"/>
        <s v="HUMAHUACA ALQUILO CASA O Piezas " u="1"/>
        <s v="PROFESORA VENDE  Cronos 1.3 Driv" u="1"/>
        <s v="con color FONDO AMARRILO LETRAS NEGRAS" u="1"/>
        <s v="CUBIERTAS Y LLANTAS ORIGINALES Pueyrredo" u="1"/>
        <s v="INSTITUTO BELGRANIANO DE JUJUY C" u="1"/>
        <s v="Vendo Pala cagardora 2m3. Tratar" u="1"/>
        <s v="TRIA Cross" u="1"/>
        <s v="PAG IMPAR - UTEDYC ESP APPACE" u="1"/>
        <s v="BANCO DE LA NACION ARGENTINA-  A" u="1"/>
        <s v="BUSCO PROFESIONAL  FARMACEUTICO " u="1"/>
        <s v="JUJUY MATERIALES - ESP CONSTRUCC" u="1"/>
        <s v="Tilcara + LOPEZ, Tomas  (q.e.p.d" u="1"/>
        <s v="GUIDO CUELLAR  MOD 1X3" u="1"/>
        <s v="A TODOS LOS CLIENTES Y  PROVEEDO" u="1"/>
        <s v="EDICTO   SUCESORIO ---EL JUZGADO" u="1"/>
        <s v="EDICTO SUCESORIO   ---EL JUZGADO" u="1"/>
        <s v="EDICTO SUCESORIO  --- El JUZGADO" u="1"/>
        <s v="EDICTO SUCESORIO  ----El JUZGADO" u="1"/>
        <s v="EDICTO SUCESORIO  === El Juzgado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43.083999999999996" maxValue="223461.54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88">
        <s v="JVEN08"/>
        <s v="JVEN07"/>
        <s v="JVEN06"/>
        <s v="JVEN03"/>
        <s v="JVEN02"/>
        <s v="JVEN01"/>
        <s v="JREPYA"/>
        <s v="JREMAT"/>
        <s v="JPINTF"/>
        <s v="JPEDID"/>
        <s v="JPDOME"/>
        <s v="JOFREC"/>
        <s v="JMAQCO"/>
        <s v="JFIEST"/>
        <s v="JEMPCO"/>
        <s v="JEDICT"/>
        <s v="JDINER"/>
        <s v="JCOM01"/>
        <s v="JASAMB"/>
        <s v="JALO05"/>
        <s v="JALO04"/>
        <s v="JALO01"/>
        <s v="JALMI"/>
        <s v="JAGRUP"/>
        <s v="SUDC"/>
        <s v="SU"/>
        <s v="SER"/>
        <s v="PES"/>
        <s v="PAG3"/>
        <s v="PAC"/>
        <s v="OBI"/>
        <s v="IAC"/>
        <s v="CTAPA"/>
        <s v="JGPODOL"/>
        <s v="JGOTRPRO"/>
        <s v="JGKINES"/>
        <s v="JGESTET"/>
        <s v="JGCONT"/>
        <s v="JGABOGA"/>
        <s v="OBIMOD"/>
        <m u="1"/>
        <s v="JARRIE" u="1"/>
        <s v="PAG19" u="1"/>
        <s v="JGECOGR" u="1"/>
        <s v="PAG9" u="1"/>
        <s v="JALP01" u="1"/>
        <s v="PDC" u="1"/>
        <s v="JVEN04" u="1"/>
        <s v="IDC" u="1"/>
        <s v="LOC" u="1"/>
        <s v="OreDer" u="1"/>
        <s v="JVEN05" u="1"/>
        <s v="JALP04" u="1"/>
        <s v="TAPA" u="1"/>
        <s v="JGARQUI" u="1"/>
        <s v="PAG11" u="1"/>
        <s v="JGORTOP" u="1"/>
        <s v="JGPSICO" u="1"/>
        <s v="OREIZQ" u="1"/>
        <s v="JINSPR" u="1"/>
        <s v="JGALERG" u="1"/>
        <s v="JCOMP" u="1"/>
        <s v="PAG5" u="1"/>
        <s v="JEXTRA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COM07" u="1"/>
        <s v="JGFISIO" u="1"/>
        <s v="JCOM08" u="1"/>
        <s v="JOPORT" u="1"/>
        <s v="JOTRSE" u="1"/>
        <s v="JGPSICPE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7"/>
        <n v="18"/>
        <n v="21"/>
        <n v="31"/>
        <n v="25"/>
        <n v="7"/>
        <n v="3"/>
        <n v="6"/>
        <n v="11"/>
        <n v="19"/>
        <n v="9"/>
        <n v="15"/>
        <n v="32"/>
        <n v="4"/>
        <n v="2"/>
        <n v="1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46" u="1"/>
        <n v="16" u="1"/>
        <n v="48" u="1"/>
        <n v="50" u="1"/>
        <n v="52" u="1"/>
        <n v="54" u="1"/>
        <n v="20" u="1"/>
        <n v="56" u="1"/>
        <n v="33" u="1"/>
        <n v="58" u="1"/>
        <n v="35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5">
        <s v="1x05"/>
        <s v="1x03"/>
        <s v="1x08"/>
        <s v="1x04"/>
        <s v="1x13"/>
        <s v="1x02"/>
        <s v="1x06"/>
        <s v="1x18"/>
        <s v="1x10"/>
        <s v="1x07"/>
        <s v="1x15"/>
        <s v="1x17"/>
        <s v="3x14"/>
        <s v="1x14"/>
        <s v="2x20"/>
        <s v="2x10"/>
        <s v="2x12"/>
        <s v="2x16"/>
        <s v="2x08"/>
        <s v="2x05"/>
        <s v="3x05"/>
        <s v="2x07"/>
        <s v="5x17"/>
        <s v="5x10"/>
        <s v="3x03"/>
        <s v="2x03"/>
        <s v="5x03"/>
        <s v="5x13"/>
        <s v="5x35"/>
        <s v="2x04"/>
        <s v="2x02"/>
        <s v="2x06"/>
        <s v="3x10"/>
        <s v="2x13"/>
        <s v="3x24"/>
        <s v="3x13"/>
        <s v="1x23" u="1"/>
        <s v="2x17" u="1"/>
        <s v="3x11" u="1"/>
        <s v="7x18" u="1"/>
        <s v="1x33" u="1"/>
        <s v="3x21" u="1"/>
        <s v="7x28" u="1"/>
        <s v="1x12" u="1"/>
        <s v="3x31" u="1"/>
        <s v="4x25" u="1"/>
        <s v="1x22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3x07" u="1"/>
        <s v="1x29" u="1"/>
        <s v="6x20" u="1"/>
        <s v="7x14" u="1"/>
        <s v="3x17" u="1"/>
        <s v="7x24" u="1"/>
        <s v="4x21" u="1"/>
        <s v="5x15" u="1"/>
        <s v="7x34" u="1"/>
        <s v="3x06" u="1"/>
        <s v="4x31" u="1"/>
        <s v="5x25" u="1"/>
        <s v="2x22" u="1"/>
        <s v="3x16" u="1"/>
        <s v="4x10" u="1"/>
        <s v="7x23" u="1"/>
        <s v="3x26" u="1"/>
        <s v="4x20" u="1"/>
        <s v="5x14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4x08" u="1"/>
        <s v="7x21" u="1"/>
        <s v="4x18" u="1"/>
        <s v="5x12" u="1"/>
        <s v="2x09" u="1"/>
        <s v="4x28" u="1"/>
        <s v="5x22" u="1"/>
        <s v="1x25" u="1"/>
        <s v="2x19" u="1"/>
        <s v="7x10" u="1"/>
        <s v="1x35" u="1"/>
        <s v="7x20" u="1"/>
        <s v="3x23" u="1"/>
        <s v="4x17" u="1"/>
        <s v="7x30" u="1"/>
        <s v="4x27" u="1"/>
        <s v="5x21" u="1"/>
        <s v="1x24" u="1"/>
        <s v="2x18" u="1"/>
        <s v="3x12" u="1"/>
        <s v="4x06" u="1"/>
        <s v="7x19" u="1"/>
        <s v="2x28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">
  <r>
    <x v="0"/>
    <x v="0"/>
    <s v="Rodriguez  Javier"/>
    <x v="0"/>
    <s v="SEX  SHOP RINDA MAS Necochea 338 República de Siria 172  Sol superior a todo!!! TOTALMENTE NATURAL  ///logo li- chang///"/>
    <x v="0"/>
    <s v="Notables - Jujuy 1 Col"/>
    <x v="0"/>
    <n v="193.87766666666667"/>
    <x v="0"/>
    <x v="0"/>
    <m/>
    <x v="0"/>
    <x v="0"/>
    <n v="1"/>
    <n v="5.0000000012500001"/>
    <x v="0"/>
    <n v="5"/>
    <x v="0"/>
  </r>
  <r>
    <x v="0"/>
    <x v="1"/>
    <s v="Nassr  Pablo"/>
    <x v="0"/>
    <s v="VENDO HIDROLAVADORA NUEVA a explosión marca Ducati,7 HP, 220ficador de desengrasante, 5 picos de lavado. Cel 388 4096535"/>
    <x v="1"/>
    <s v="Notables - Jujuy 1 Col"/>
    <x v="0"/>
    <n v="92.322857142857146"/>
    <x v="1"/>
    <x v="0"/>
    <m/>
    <x v="0"/>
    <x v="0"/>
    <n v="1"/>
    <n v="3.0000000007500001"/>
    <x v="0"/>
    <n v="3"/>
    <x v="1"/>
  </r>
  <r>
    <x v="0"/>
    <x v="2"/>
    <s v="Obachi Gabriela Cecilia"/>
    <x v="0"/>
    <s v="NUEVA DIRECCION - (logo GABIOTA SPORT) BELGRANO 1215- TEL. 3juego de sapo. sublimaciones - vinilo y conjuntos d8    1215"/>
    <x v="2"/>
    <s v="Notables - Jujuy 1 Col"/>
    <x v="0"/>
    <n v="241.27"/>
    <x v="0"/>
    <x v="0"/>
    <m/>
    <x v="0"/>
    <x v="0"/>
    <n v="1"/>
    <n v="7.9999999984722239"/>
    <x v="0"/>
    <n v="8"/>
    <x v="2"/>
  </r>
  <r>
    <x v="0"/>
    <x v="3"/>
    <s v="Castro  Ariel"/>
    <x v="0"/>
    <s v="ATENCIÓN VENDO  *BOLSAS de 50 Kgs.” Nuevas para Maíz, Poroto, Choclos. Cel. 388 5730863"/>
    <x v="3"/>
    <s v="Notables - Jujuy 1 Col"/>
    <x v="0"/>
    <n v="120.63500000000001"/>
    <x v="1"/>
    <x v="0"/>
    <m/>
    <x v="0"/>
    <x v="0"/>
    <n v="1"/>
    <n v="4.0000000010000001"/>
    <x v="0"/>
    <n v="4"/>
    <x v="3"/>
  </r>
  <r>
    <x v="0"/>
    <x v="4"/>
    <s v="Yañez Edgardo Jesus"/>
    <x v="1"/>
    <s v="PRODUGAS TALLER LEDESMA"/>
    <x v="4"/>
    <s v="Notables - Jujuy 1 Col"/>
    <x v="1"/>
    <n v="90.476333333333329"/>
    <x v="1"/>
    <x v="1"/>
    <m/>
    <x v="0"/>
    <x v="0"/>
    <n v="1"/>
    <n v="3.0000000007500001"/>
    <x v="0"/>
    <n v="3"/>
    <x v="1"/>
  </r>
  <r>
    <x v="0"/>
    <x v="5"/>
    <s v="Yañez Edgardo Jesus"/>
    <x v="2"/>
    <s v="PRODUGAS OFERTA DE ESTE MES"/>
    <x v="5"/>
    <s v="Notables - Jujuy 1 Col"/>
    <x v="1"/>
    <n v="90.476333333333329"/>
    <x v="1"/>
    <x v="1"/>
    <m/>
    <x v="0"/>
    <x v="0"/>
    <n v="1"/>
    <n v="3.0000000007500001"/>
    <x v="0"/>
    <n v="3"/>
    <x v="1"/>
  </r>
  <r>
    <x v="0"/>
    <x v="6"/>
    <s v="Perez Luis Alberto."/>
    <x v="3"/>
    <s v="AUTOMOTORES PEREZ"/>
    <x v="6"/>
    <s v="Notables - Jujuy 1 Col"/>
    <x v="1"/>
    <n v="395.35882352941178"/>
    <x v="1"/>
    <x v="1"/>
    <m/>
    <x v="0"/>
    <x v="0"/>
    <n v="1"/>
    <n v="12.999999999722222"/>
    <x v="0"/>
    <n v="13"/>
    <x v="4"/>
  </r>
  <r>
    <x v="0"/>
    <x v="7"/>
    <s v="Dominguez  Ana Laura"/>
    <x v="0"/>
    <s v="BUSCO LICENCIA TAXI AMARILLO, P/SER TRANSFERIDA.  3886653798"/>
    <x v="7"/>
    <s v="Notables - Jujuy 1 Col"/>
    <x v="0"/>
    <n v="43.083999999999996"/>
    <x v="1"/>
    <x v="2"/>
    <m/>
    <x v="0"/>
    <x v="0"/>
    <n v="1"/>
    <n v="2.0000000005"/>
    <x v="0"/>
    <n v="2"/>
    <x v="5"/>
  </r>
  <r>
    <x v="0"/>
    <x v="8"/>
    <s v="VALDIVIEZO LILA FERNANDA"/>
    <x v="4"/>
    <s v="GNC MINUTO"/>
    <x v="8"/>
    <s v="Notables - Jujuy 1 Col"/>
    <x v="1"/>
    <n v="180.95266666666666"/>
    <x v="1"/>
    <x v="2"/>
    <m/>
    <x v="0"/>
    <x v="0"/>
    <n v="1"/>
    <n v="6.0000000015000001"/>
    <x v="0"/>
    <n v="6"/>
    <x v="6"/>
  </r>
  <r>
    <x v="0"/>
    <x v="9"/>
    <s v="BOSIO CRISTIAN HUMBERTO"/>
    <x v="5"/>
    <s v="LCB POLARIZADOS ..."/>
    <x v="9"/>
    <s v="Notables - Jujuy 1 Col"/>
    <x v="1"/>
    <n v="161.565"/>
    <x v="1"/>
    <x v="2"/>
    <m/>
    <x v="0"/>
    <x v="0"/>
    <n v="1"/>
    <n v="5.0000000012500001"/>
    <x v="0"/>
    <n v="5"/>
    <x v="0"/>
  </r>
  <r>
    <x v="0"/>
    <x v="10"/>
    <s v="Yañez Edgardo Jesus"/>
    <x v="6"/>
    <s v="PRODUGAS TALLER PERICO"/>
    <x v="10"/>
    <s v="Notables - Jujuy 1 Col"/>
    <x v="1"/>
    <n v="90.476333333333329"/>
    <x v="1"/>
    <x v="2"/>
    <m/>
    <x v="0"/>
    <x v="0"/>
    <n v="1"/>
    <n v="3.0000000007500001"/>
    <x v="0"/>
    <n v="3"/>
    <x v="1"/>
  </r>
  <r>
    <x v="0"/>
    <x v="11"/>
    <s v="ARMELLA CESAR DANIEL"/>
    <x v="7"/>
    <s v="GNC MYN GRAN PROMOCION..."/>
    <x v="11"/>
    <s v="Notables - Jujuy 1 Col"/>
    <x v="1"/>
    <n v="180.95266666666666"/>
    <x v="1"/>
    <x v="2"/>
    <m/>
    <x v="0"/>
    <x v="0"/>
    <n v="1"/>
    <n v="6.0000000015000001"/>
    <x v="0"/>
    <n v="6"/>
    <x v="6"/>
  </r>
  <r>
    <x v="0"/>
    <x v="12"/>
    <s v="Markas Sociedad Anonima"/>
    <x v="8"/>
    <s v="MARKAS"/>
    <x v="12"/>
    <s v="Notables - Jujuy 1 Col"/>
    <x v="1"/>
    <n v="707.87352941176482"/>
    <x v="1"/>
    <x v="2"/>
    <m/>
    <x v="0"/>
    <x v="0"/>
    <n v="1"/>
    <n v="18.000000000972221"/>
    <x v="0"/>
    <n v="18"/>
    <x v="7"/>
  </r>
  <r>
    <x v="0"/>
    <x v="13"/>
    <s v="Garrido Ahirini Isabel"/>
    <x v="9"/>
    <s v="XTREME NEUMATICOS"/>
    <x v="13"/>
    <s v="Notables - Jujuy 1 Col"/>
    <x v="1"/>
    <n v="164.7329411764706"/>
    <x v="1"/>
    <x v="2"/>
    <m/>
    <x v="0"/>
    <x v="0"/>
    <n v="1"/>
    <n v="5.0000000012500001"/>
    <x v="0"/>
    <n v="5"/>
    <x v="0"/>
  </r>
  <r>
    <x v="0"/>
    <x v="14"/>
    <s v="Giulianotti  Juan Pablo"/>
    <x v="0"/>
    <s v="DUEÑO VENDE  ECOSPORT SE 0 km.  Cel. 388-57462288 5746228"/>
    <x v="14"/>
    <s v="Notables - Jujuy 1 Col"/>
    <x v="0"/>
    <n v="60.318000000000005"/>
    <x v="1"/>
    <x v="2"/>
    <m/>
    <x v="0"/>
    <x v="0"/>
    <n v="1"/>
    <n v="2.0000000005"/>
    <x v="0"/>
    <n v="2"/>
    <x v="5"/>
  </r>
  <r>
    <x v="0"/>
    <x v="15"/>
    <s v="LOZANO GABRIELA MERCEDES"/>
    <x v="10"/>
    <s v="ECOSPORT TITANIUM 1.6"/>
    <x v="15"/>
    <s v="Notables - Jujuy 1 Col"/>
    <x v="1"/>
    <n v="123.09714285714287"/>
    <x v="1"/>
    <x v="2"/>
    <m/>
    <x v="0"/>
    <x v="0"/>
    <n v="1"/>
    <n v="4.0000000010000001"/>
    <x v="0"/>
    <n v="4"/>
    <x v="3"/>
  </r>
  <r>
    <x v="0"/>
    <x v="16"/>
    <s v="LOPEZ DELGADO CLAUDIA TATIANA"/>
    <x v="0"/>
    <s v="MARTILLERO LÓPEZ  * COMPRAS * VENTAS de CAMPOS-FINCAS Para loja - Ganadería y afines. * TASACIONES  CONTACTO 388 4084933"/>
    <x v="16"/>
    <s v="Notables - Jujuy 1 Col"/>
    <x v="0"/>
    <n v="180.95266666666666"/>
    <x v="1"/>
    <x v="3"/>
    <m/>
    <x v="0"/>
    <x v="0"/>
    <n v="1"/>
    <n v="6.0000000015000001"/>
    <x v="0"/>
    <n v="6"/>
    <x v="6"/>
  </r>
  <r>
    <x v="0"/>
    <x v="17"/>
    <s v="Salazar Cristina"/>
    <x v="0"/>
    <s v=" DUEÑO VENDE FINCA 4Has. En Los Lapachos RUTA 43 Cel. 388 43537608 4353760"/>
    <x v="17"/>
    <s v="Notables - Jujuy 1 Col"/>
    <x v="0"/>
    <n v="61.548571428571435"/>
    <x v="1"/>
    <x v="3"/>
    <m/>
    <x v="0"/>
    <x v="0"/>
    <n v="1"/>
    <n v="2.0000000005"/>
    <x v="0"/>
    <n v="2"/>
    <x v="5"/>
  </r>
  <r>
    <x v="0"/>
    <x v="18"/>
    <s v="Brandan  Mariana"/>
    <x v="0"/>
    <s v="OPORTUNIDAD DUEÑO VENDE TERRENO en Cuntry Las Delicias 2000 m2 Cel 388 -154295892 / 154886288"/>
    <x v="18"/>
    <s v="Notables - Jujuy 1 Col"/>
    <x v="0"/>
    <n v="43.083999999999996"/>
    <x v="1"/>
    <x v="4"/>
    <m/>
    <x v="0"/>
    <x v="0"/>
    <n v="1"/>
    <n v="2.0000000005"/>
    <x v="0"/>
    <n v="2"/>
    <x v="5"/>
  </r>
  <r>
    <x v="0"/>
    <x v="19"/>
    <s v="Reyna  Zulema Lucia"/>
    <x v="0"/>
    <s v="PERICO  VENDO  LOTE (ESQ.) Bº J. PABLO II CEL.3884082595"/>
    <x v="19"/>
    <s v="Notables - Jujuy 1 Col"/>
    <x v="0"/>
    <n v="90.475999999999999"/>
    <x v="1"/>
    <x v="4"/>
    <m/>
    <x v="0"/>
    <x v="0"/>
    <n v="1"/>
    <n v="3.0000000007500001"/>
    <x v="0"/>
    <n v="3"/>
    <x v="1"/>
  </r>
  <r>
    <x v="0"/>
    <x v="20"/>
    <s v="Agostini Desarrollos Inmobiliarios Sociedad De Responsabilidad Limitada"/>
    <x v="11"/>
    <s v="AGOSTINI DES. INMOB."/>
    <x v="20"/>
    <s v="Notables - Jujuy 1 Col"/>
    <x v="1"/>
    <n v="301.58766666666662"/>
    <x v="1"/>
    <x v="4"/>
    <m/>
    <x v="0"/>
    <x v="0"/>
    <n v="1"/>
    <n v="9.999999998972223"/>
    <x v="0"/>
    <n v="10"/>
    <x v="8"/>
  </r>
  <r>
    <x v="0"/>
    <x v="21"/>
    <s v="RODRIGUEZ QUIROGA MARTIN"/>
    <x v="12"/>
    <s v="RQ VENDE"/>
    <x v="21"/>
    <s v="Notables - Jujuy 1 Col"/>
    <x v="1"/>
    <n v="180.95266666666666"/>
    <x v="1"/>
    <x v="4"/>
    <m/>
    <x v="0"/>
    <x v="0"/>
    <n v="1"/>
    <n v="6.0000000015000001"/>
    <x v="0"/>
    <n v="6"/>
    <x v="6"/>
  </r>
  <r>
    <x v="0"/>
    <x v="22"/>
    <s v="Caballero Horacio Manuel"/>
    <x v="13"/>
    <s v="CABALLERO VENDE LOTES DETRAS YAGUAR"/>
    <x v="22"/>
    <s v="Notables - Jujuy 1 Col"/>
    <x v="1"/>
    <n v="153.87142857142857"/>
    <x v="1"/>
    <x v="4"/>
    <m/>
    <x v="0"/>
    <x v="0"/>
    <n v="1"/>
    <n v="5.0000000012500001"/>
    <x v="0"/>
    <n v="5"/>
    <x v="0"/>
  </r>
  <r>
    <x v="0"/>
    <x v="23"/>
    <s v="Caballero Horacio Manuel"/>
    <x v="14"/>
    <s v="CABALLERO VENDE LOTES"/>
    <x v="23"/>
    <s v="Notables - Jujuy 1 Col"/>
    <x v="1"/>
    <n v="153.87142857142857"/>
    <x v="1"/>
    <x v="4"/>
    <m/>
    <x v="0"/>
    <x v="0"/>
    <n v="1"/>
    <n v="5.0000000012500001"/>
    <x v="0"/>
    <n v="5"/>
    <x v="0"/>
  </r>
  <r>
    <x v="0"/>
    <x v="24"/>
    <s v="Lopez  Jose Rafael Martin"/>
    <x v="0"/>
    <s v="VENDO TERRENO  de 15x40 Higuerillas. Cel.388-155007477"/>
    <x v="24"/>
    <s v="Notables - Jujuy 1 Col"/>
    <x v="0"/>
    <n v="60.317666666666668"/>
    <x v="1"/>
    <x v="4"/>
    <m/>
    <x v="0"/>
    <x v="0"/>
    <n v="1"/>
    <n v="2.0000000005"/>
    <x v="0"/>
    <n v="2"/>
    <x v="5"/>
  </r>
  <r>
    <x v="0"/>
    <x v="25"/>
    <s v="Giulianotti  Juan Pablo"/>
    <x v="0"/>
    <s v="OPORTUNIDAD!! DUEÑO VENDE  TERRENO SIN CONSTRUCCION  EN CIUDD DE NIEVA CALLE  PEDRO DEL PORTAL 10 X 40 MTS.  3885746228."/>
    <x v="25"/>
    <s v="Notables - Jujuy 1 Col"/>
    <x v="0"/>
    <n v="90.475999999999999"/>
    <x v="1"/>
    <x v="4"/>
    <m/>
    <x v="0"/>
    <x v="0"/>
    <n v="1"/>
    <n v="3.0000000007500001"/>
    <x v="0"/>
    <n v="3"/>
    <x v="1"/>
  </r>
  <r>
    <x v="0"/>
    <x v="26"/>
    <s v="Roca Enrique Vicente"/>
    <x v="15"/>
    <s v="CLUB DE CAMPO LA ALMONA"/>
    <x v="26"/>
    <s v="Notables - Jujuy 1 Col"/>
    <x v="1"/>
    <n v="150.79400000000001"/>
    <x v="1"/>
    <x v="4"/>
    <m/>
    <x v="0"/>
    <x v="0"/>
    <n v="1"/>
    <n v="5.0000000012500001"/>
    <x v="0"/>
    <n v="5"/>
    <x v="0"/>
  </r>
  <r>
    <x v="0"/>
    <x v="27"/>
    <s v="Martinez  Facundo Daniel"/>
    <x v="0"/>
    <s v="LOTEO LA ARBOLADA  B° STO. CABRAL  FRENTE NUEVA TERMINAL  MEA DEL 50 % SALDO HASTA 60 CUOTAS FIJAS.  CEL. 388- 154141541"/>
    <x v="27"/>
    <s v="Notables - Jujuy 1 Col"/>
    <x v="0"/>
    <n v="143.61333333333332"/>
    <x v="1"/>
    <x v="4"/>
    <m/>
    <x v="0"/>
    <x v="0"/>
    <n v="1"/>
    <n v="5.0000000012500001"/>
    <x v="0"/>
    <n v="5"/>
    <x v="0"/>
  </r>
  <r>
    <x v="0"/>
    <x v="28"/>
    <s v="Martinez  Facundo Daniel"/>
    <x v="0"/>
    <s v="LOTEO VALLE VERDE  PREVENTA  A 10 MIN. DEL CENTRO DE S.SALVA $ 300.000 SALDO HASTA 84 CUOTAS FIJAS.  CEL. 388- 154141541"/>
    <x v="28"/>
    <s v="Notables - Jujuy 1 Col"/>
    <x v="0"/>
    <n v="143.61333333333332"/>
    <x v="1"/>
    <x v="4"/>
    <m/>
    <x v="0"/>
    <x v="0"/>
    <n v="1"/>
    <n v="5.0000000012500001"/>
    <x v="0"/>
    <n v="5"/>
    <x v="0"/>
  </r>
  <r>
    <x v="0"/>
    <x v="29"/>
    <s v="Martinez  Facundo Daniel"/>
    <x v="0"/>
    <s v="VDO. TERRENO SOBRE RUTA N9   B° LAS COLINAS  MEDIDAS  350 M2 36 CUOTAS FIJAS  LISTO PARA ESCRITURAR  CEL. 388- 154141541"/>
    <x v="29"/>
    <s v="Notables - Jujuy 1 Col"/>
    <x v="0"/>
    <n v="150.79400000000001"/>
    <x v="1"/>
    <x v="4"/>
    <m/>
    <x v="0"/>
    <x v="0"/>
    <n v="1"/>
    <n v="5.0000000012500001"/>
    <x v="0"/>
    <n v="5"/>
    <x v="0"/>
  </r>
  <r>
    <x v="0"/>
    <x v="30"/>
    <s v="David Ezequiel Flores"/>
    <x v="0"/>
    <s v="VENDO TERRENO 8x26 en Cnel. Arias, calle Echagüe, excelente er Comodín y ½ cuadra Av. Savio, u$d 42.000. Cel 388 5026727"/>
    <x v="30"/>
    <s v="Notables - Jujuy 1 Col"/>
    <x v="0"/>
    <n v="92.322857142857146"/>
    <x v="1"/>
    <x v="4"/>
    <m/>
    <x v="0"/>
    <x v="0"/>
    <n v="1"/>
    <n v="3.0000000007500001"/>
    <x v="0"/>
    <n v="3"/>
    <x v="1"/>
  </r>
  <r>
    <x v="0"/>
    <x v="31"/>
    <s v="LOPEZ DELGADO CLAUDIA TATIANA"/>
    <x v="0"/>
    <s v="LÒPEZ  INMOBILIARIA  ESTAMOS EN TODA LA PROVINCIA  COMPRAS- S  S/ Ruta Prov.47  Santo Domingo-Perico TEL. 0388 8 4913660"/>
    <x v="31"/>
    <s v="Notables - Jujuy 1 Col"/>
    <x v="0"/>
    <n v="211.11133333333336"/>
    <x v="1"/>
    <x v="5"/>
    <m/>
    <x v="0"/>
    <x v="0"/>
    <n v="1"/>
    <n v="7.0000000017499984"/>
    <x v="0"/>
    <n v="7"/>
    <x v="9"/>
  </r>
  <r>
    <x v="0"/>
    <x v="32"/>
    <s v="Reimundin Nugue Diego Alejandro"/>
    <x v="0"/>
    <s v="PARTICULAR VENDE"/>
    <x v="32"/>
    <s v="Notables - Jujuy 1 Col"/>
    <x v="0"/>
    <n v="153.87142857142857"/>
    <x v="1"/>
    <x v="5"/>
    <m/>
    <x v="0"/>
    <x v="0"/>
    <n v="1"/>
    <n v="5.0000000012500001"/>
    <x v="0"/>
    <n v="5"/>
    <x v="0"/>
  </r>
  <r>
    <x v="0"/>
    <x v="33"/>
    <s v="Busigniani  Daniel"/>
    <x v="0"/>
    <s v="INMOBILIARIA EXCONORT  COMPRA  VENTA ALQUILERES  Administracencia Necochea 456  Tel. 4231842  (fondo rojo letra8 4231842"/>
    <x v="33"/>
    <s v="Notables - Jujuy 1 Col"/>
    <x v="0"/>
    <n v="153.87142857142857"/>
    <x v="1"/>
    <x v="5"/>
    <m/>
    <x v="0"/>
    <x v="0"/>
    <n v="1"/>
    <n v="5.0000000012500001"/>
    <x v="0"/>
    <n v="5"/>
    <x v="0"/>
  </r>
  <r>
    <x v="0"/>
    <x v="34"/>
    <s v="Arnedo  Martha Fabiana"/>
    <x v="0"/>
    <s v="ARNEDO VENDE DPTO. Céntrico 3 dorm. 2 baños 5to piso calle Lavalle. 388-4162167 / 388-68558898 4162167"/>
    <x v="34"/>
    <s v="Notables - Jujuy 1 Col"/>
    <x v="0"/>
    <n v="60.317666666666668"/>
    <x v="1"/>
    <x v="5"/>
    <m/>
    <x v="0"/>
    <x v="0"/>
    <n v="1"/>
    <n v="2.0000000005"/>
    <x v="0"/>
    <n v="2"/>
    <x v="5"/>
  </r>
  <r>
    <x v="0"/>
    <x v="35"/>
    <s v="Arnedo  Martha Fabiana"/>
    <x v="0"/>
    <s v="ARNEDO VENDE IMPORTANTE PROPIEDAD Ciudad de Nieva a 1 cuadra de la Plaza. 388-4162167 / 388-68558898 4162167"/>
    <x v="35"/>
    <s v="Notables - Jujuy 1 Col"/>
    <x v="0"/>
    <n v="60.317666666666668"/>
    <x v="1"/>
    <x v="5"/>
    <m/>
    <x v="0"/>
    <x v="0"/>
    <n v="1"/>
    <n v="2.0000000005"/>
    <x v="0"/>
    <n v="2"/>
    <x v="5"/>
  </r>
  <r>
    <x v="0"/>
    <x v="36"/>
    <s v="Marcalain Eduardo Héctor"/>
    <x v="0"/>
    <s v="MARCALAIN VENDE"/>
    <x v="36"/>
    <s v="Notables - Jujuy 1 Col"/>
    <x v="0"/>
    <n v="461.61428571428576"/>
    <x v="1"/>
    <x v="5"/>
    <m/>
    <x v="0"/>
    <x v="0"/>
    <n v="1"/>
    <n v="15.000000000222226"/>
    <x v="0"/>
    <n v="15"/>
    <x v="10"/>
  </r>
  <r>
    <x v="0"/>
    <x v="37"/>
    <s v="Caballero Horacio Manuel"/>
    <x v="16"/>
    <s v="CABALLERO VENDE LIBERTADOR"/>
    <x v="37"/>
    <s v="Notables - Jujuy 1 Col"/>
    <x v="1"/>
    <n v="153.87142857142857"/>
    <x v="1"/>
    <x v="5"/>
    <m/>
    <x v="0"/>
    <x v="0"/>
    <n v="1"/>
    <n v="5.0000000012500001"/>
    <x v="0"/>
    <n v="5"/>
    <x v="0"/>
  </r>
  <r>
    <x v="0"/>
    <x v="38"/>
    <s v="Caballero Horacio Manuel"/>
    <x v="17"/>
    <s v="CABALLERO VENDE CASAS"/>
    <x v="38"/>
    <s v="Notables - Jujuy 1 Col"/>
    <x v="1"/>
    <n v="153.87142857142857"/>
    <x v="1"/>
    <x v="5"/>
    <m/>
    <x v="0"/>
    <x v="0"/>
    <n v="1"/>
    <n v="5.0000000012500001"/>
    <x v="0"/>
    <n v="5"/>
    <x v="0"/>
  </r>
  <r>
    <x v="0"/>
    <x v="39"/>
    <s v="Cañas  Carlos Alberto"/>
    <x v="0"/>
    <s v="///LOGO////  SOLICITAMOS PROPIEDADES PARA LA VENTA Y ALQUILE PLATA.-  Tel 388-4227132 - 4233776 canasinmuebles@8 4227132"/>
    <x v="39"/>
    <s v="Notables - Jujuy 1 Col"/>
    <x v="0"/>
    <n v="624.4671428571429"/>
    <x v="1"/>
    <x v="5"/>
    <m/>
    <x v="0"/>
    <x v="0"/>
    <n v="1"/>
    <n v="17.000000000722224"/>
    <x v="0"/>
    <n v="17"/>
    <x v="11"/>
  </r>
  <r>
    <x v="0"/>
    <x v="40"/>
    <s v="Bianco  Daniel"/>
    <x v="0"/>
    <s v="PROPIETARIO VENDE a un paso del Centro Dúplex B° Pregón, 3 dorm, 3 baños, garaje, u$d 90.000. Cel 388-154039266"/>
    <x v="40"/>
    <s v="Notables - Jujuy 1 Col"/>
    <x v="0"/>
    <n v="92.322857142857146"/>
    <x v="1"/>
    <x v="5"/>
    <m/>
    <x v="0"/>
    <x v="0"/>
    <n v="1"/>
    <n v="3.0000000007500001"/>
    <x v="0"/>
    <n v="3"/>
    <x v="1"/>
  </r>
  <r>
    <x v="0"/>
    <x v="41"/>
    <s v="Martinez  Facundo Daniel"/>
    <x v="0"/>
    <s v="DUEÑO VENDE DTO. EN PALPALÁ  ZONA CENTRO / FRENTE CLÍNICA NTAR  COCINA   LAVADERO  INCLUYE COCHERA  CEL: 388 - 154141541"/>
    <x v="41"/>
    <s v="Notables - Jujuy 1 Col"/>
    <x v="0"/>
    <n v="143.61333333333332"/>
    <x v="1"/>
    <x v="5"/>
    <m/>
    <x v="0"/>
    <x v="0"/>
    <n v="1"/>
    <n v="5.0000000012500001"/>
    <x v="0"/>
    <n v="5"/>
    <x v="0"/>
  </r>
  <r>
    <x v="0"/>
    <x v="42"/>
    <s v="Aguado  Marina"/>
    <x v="0"/>
    <s v="(LOGO)    AGUADO INMOBILIARIA                VENTA  - Dpto. juy Facebook: Aguado Inmobiliaria www.aguadoinmobil8 4265597"/>
    <x v="42"/>
    <s v="Notables - Jujuy 1 Col"/>
    <x v="0"/>
    <n v="461.61428571428576"/>
    <x v="1"/>
    <x v="5"/>
    <m/>
    <x v="0"/>
    <x v="0"/>
    <n v="1"/>
    <n v="15.000000000222226"/>
    <x v="0"/>
    <n v="15"/>
    <x v="10"/>
  </r>
  <r>
    <x v="0"/>
    <x v="43"/>
    <s v="HORIZONTES ON LINE S.A."/>
    <x v="18"/>
    <s v="CUBIERTAS Y LLANTAS ORIGINALES"/>
    <x v="43"/>
    <s v="Notables - Jujuy 1 Col"/>
    <x v="1"/>
    <n v="219.22176470588235"/>
    <x v="1"/>
    <x v="6"/>
    <m/>
    <x v="0"/>
    <x v="0"/>
    <n v="1"/>
    <n v="5.0000000012500001"/>
    <x v="0"/>
    <n v="5"/>
    <x v="0"/>
  </r>
  <r>
    <x v="0"/>
    <x v="44"/>
    <s v="Saldeño Luis Alberto"/>
    <x v="19"/>
    <s v="GUERRERO NEUMATICOS SRL"/>
    <x v="44"/>
    <s v="Remates/Edictos Cm- Jujuy"/>
    <x v="1"/>
    <n v="440"/>
    <x v="1"/>
    <x v="7"/>
    <m/>
    <x v="0"/>
    <x v="0"/>
    <n v="3"/>
    <n v="13.999999999972225"/>
    <x v="0"/>
    <n v="14"/>
    <x v="12"/>
  </r>
  <r>
    <x v="0"/>
    <x v="45"/>
    <s v="El Mundo De Las Herramientas S.R.L."/>
    <x v="20"/>
    <s v="CARMOTO FERRETERIA INDUSTRIAL"/>
    <x v="45"/>
    <s v="Notables - Jujuy 1 Col"/>
    <x v="1"/>
    <n v="422.22266666666673"/>
    <x v="1"/>
    <x v="8"/>
    <m/>
    <x v="0"/>
    <x v="0"/>
    <n v="1"/>
    <n v="13.999999999972225"/>
    <x v="0"/>
    <n v="14"/>
    <x v="13"/>
  </r>
  <r>
    <x v="0"/>
    <x v="46"/>
    <s v="Dergam Srl"/>
    <x v="21"/>
    <s v="DERGAM"/>
    <x v="46"/>
    <s v="Notables - Jujuy 1 Col"/>
    <x v="1"/>
    <n v="472.26653846153846"/>
    <x v="1"/>
    <x v="8"/>
    <m/>
    <x v="0"/>
    <x v="0"/>
    <n v="1"/>
    <n v="15.000000000222226"/>
    <x v="0"/>
    <n v="15"/>
    <x v="10"/>
  </r>
  <r>
    <x v="0"/>
    <x v="47"/>
    <s v="Agropecuario SRL."/>
    <x v="0"/>
    <s v="INCORPORAMOS PEÓN GENERAL para Granja Porcina, preferentemenon movilidad propia. Enviar CV agropecuariosrl2011@gmail.com"/>
    <x v="47"/>
    <s v="Notables - Jujuy 1 Col"/>
    <x v="0"/>
    <n v="120.63500000000001"/>
    <x v="1"/>
    <x v="9"/>
    <m/>
    <x v="0"/>
    <x v="0"/>
    <n v="1"/>
    <n v="4.0000000010000001"/>
    <x v="0"/>
    <n v="4"/>
    <x v="3"/>
  </r>
  <r>
    <x v="0"/>
    <x v="48"/>
    <s v="Cultivar S.r.l."/>
    <x v="22"/>
    <s v="empresa constructora solicita chofer transportista para camimandar curriculum al correo corporativo.rrhh2021@hotmail.com"/>
    <x v="48"/>
    <s v="Notables - Jujuy 1 Col"/>
    <x v="1"/>
    <n v="252.75933333333336"/>
    <x v="1"/>
    <x v="9"/>
    <m/>
    <x v="0"/>
    <x v="0"/>
    <n v="1"/>
    <n v="7.9999999984722239"/>
    <x v="0"/>
    <n v="8"/>
    <x v="2"/>
  </r>
  <r>
    <x v="0"/>
    <x v="49"/>
    <s v="El Trebol S.r.l."/>
    <x v="0"/>
    <s v="EMPRESA CONSTRUCTORA INCORPORA OFICIAL ALBAÑIL para trabajosales Nº 920 de Lunes a Viernes de 08 a 12 hs y de 14 a 18 hs"/>
    <x v="49"/>
    <s v="Notables - Jujuy 1 Col"/>
    <x v="0"/>
    <n v="153.87142857142857"/>
    <x v="1"/>
    <x v="9"/>
    <m/>
    <x v="0"/>
    <x v="0"/>
    <n v="1"/>
    <n v="5.0000000012500001"/>
    <x v="0"/>
    <n v="5"/>
    <x v="0"/>
  </r>
  <r>
    <x v="0"/>
    <x v="50"/>
    <s v="JUMI SRL Emprendimiento Rio Grande Sidera SRL UTE"/>
    <x v="0"/>
    <s v="SE NECESITA oficiales armadores encofradores para obra en el Centro. Comunicarse al 388-4042090.8 4042090"/>
    <x v="50"/>
    <s v="Notables - Jujuy 1 Col"/>
    <x v="0"/>
    <n v="61.548571428571435"/>
    <x v="1"/>
    <x v="9"/>
    <m/>
    <x v="0"/>
    <x v="0"/>
    <n v="1"/>
    <n v="2.0000000005"/>
    <x v="0"/>
    <n v="2"/>
    <x v="5"/>
  </r>
  <r>
    <x v="0"/>
    <x v="51"/>
    <s v="Diaverum Argentina S.A."/>
    <x v="0"/>
    <s v="SE BUSCA MEDICO/A para cubrir guardias de lunes a jueves poro de Hemodiálisis. Llamar o enviar Wapp al Cel. 3888 5031101"/>
    <x v="51"/>
    <s v="Notables - Jujuy 1 Col"/>
    <x v="0"/>
    <n v="90.476333333333329"/>
    <x v="1"/>
    <x v="9"/>
    <m/>
    <x v="0"/>
    <x v="0"/>
    <n v="1"/>
    <n v="3.0000000007500001"/>
    <x v="0"/>
    <n v="3"/>
    <x v="1"/>
  </r>
  <r>
    <x v="0"/>
    <x v="52"/>
    <s v="Diaverum Argentina S.A."/>
    <x v="0"/>
    <s v="URGENTE CLÍNICA SOLICITA MOVILES PARA TRASLADO DE PACIENTES  de Lunes a Viernes de 13 a 18 hs. al 388-154194387 (o wtpp)"/>
    <x v="52"/>
    <s v="Notables - Jujuy 1 Col"/>
    <x v="0"/>
    <n v="123.09714285714287"/>
    <x v="1"/>
    <x v="9"/>
    <m/>
    <x v="0"/>
    <x v="0"/>
    <n v="1"/>
    <n v="4.0000000010000001"/>
    <x v="0"/>
    <n v="4"/>
    <x v="3"/>
  </r>
  <r>
    <x v="0"/>
    <x v="53"/>
    <s v="G.H. S.r.l."/>
    <x v="0"/>
    <s v="IMPORTANTE EMPRESA DEL MEDIO solicita chofer de camiones, co.V. con foto de perfil actualizada a: admi.ghsrl @gmail.com."/>
    <x v="53"/>
    <s v="Notables - Jujuy 1 Col"/>
    <x v="0"/>
    <n v="246.19428571428574"/>
    <x v="1"/>
    <x v="9"/>
    <m/>
    <x v="0"/>
    <x v="0"/>
    <n v="1"/>
    <n v="7.9999999984722239"/>
    <x v="0"/>
    <n v="8"/>
    <x v="2"/>
  </r>
  <r>
    <x v="0"/>
    <x v="54"/>
    <s v="Condori Celeste"/>
    <x v="0"/>
    <s v="SE BUSCA JEFE DE COCINA con experiencia más de 3 años, liderables. Enviar CV a ullana.condori @gmail.com. Cel 1132273437"/>
    <x v="54"/>
    <s v="Notables - Jujuy 1 Col"/>
    <x v="0"/>
    <n v="123.09714285714287"/>
    <x v="1"/>
    <x v="9"/>
    <m/>
    <x v="0"/>
    <x v="0"/>
    <n v="1"/>
    <n v="4.0000000010000001"/>
    <x v="0"/>
    <n v="4"/>
    <x v="3"/>
  </r>
  <r>
    <x v="0"/>
    <x v="55"/>
    <s v="MCM CONSTRUCCIONES Y SERVICIOS SAS"/>
    <x v="0"/>
    <s v="OFIAL ALBAÑIL Con experiencia en instalación electrica/sanito en Av. Senador Pérez 383 de Lunes a Viernes de 118  847927"/>
    <x v="55"/>
    <s v="Notables - Jujuy 1 Col"/>
    <x v="0"/>
    <n v="184.64571428571429"/>
    <x v="1"/>
    <x v="9"/>
    <m/>
    <x v="0"/>
    <x v="0"/>
    <n v="1"/>
    <n v="6.0000000015000001"/>
    <x v="0"/>
    <n v="6"/>
    <x v="6"/>
  </r>
  <r>
    <x v="0"/>
    <x v="56"/>
    <s v="MCM CONSTRUCCIONES Y SERVICIOS SAS"/>
    <x v="0"/>
    <s v="VENDEDOR/A   -Con experiencia comprobable en ventas - Carneto en Av. Senador Pérez 383 de Lunes a Viernes de 118  847927"/>
    <x v="56"/>
    <s v="Notables - Jujuy 1 Col"/>
    <x v="0"/>
    <n v="246.19428571428574"/>
    <x v="1"/>
    <x v="9"/>
    <m/>
    <x v="0"/>
    <x v="0"/>
    <n v="1"/>
    <n v="7.9999999984722239"/>
    <x v="0"/>
    <n v="8"/>
    <x v="2"/>
  </r>
  <r>
    <x v="0"/>
    <x v="57"/>
    <s v="Supermat S A"/>
    <x v="23"/>
    <s v="VENDEDOR DE SALON"/>
    <x v="57"/>
    <s v="Notables - Jujuy 1 Col"/>
    <x v="1"/>
    <n v="226.19"/>
    <x v="1"/>
    <x v="9"/>
    <m/>
    <x v="0"/>
    <x v="0"/>
    <n v="1"/>
    <n v="7.0000000017499984"/>
    <x v="0"/>
    <n v="7"/>
    <x v="9"/>
  </r>
  <r>
    <x v="0"/>
    <x v="58"/>
    <s v="Supermat S A"/>
    <x v="24"/>
    <s v="VENDEDOR VIAJANTE"/>
    <x v="58"/>
    <s v="Notables - Jujuy 1 Col"/>
    <x v="1"/>
    <n v="226.19"/>
    <x v="1"/>
    <x v="9"/>
    <m/>
    <x v="0"/>
    <x v="0"/>
    <n v="1"/>
    <n v="7.0000000017499984"/>
    <x v="0"/>
    <n v="7"/>
    <x v="9"/>
  </r>
  <r>
    <x v="0"/>
    <x v="59"/>
    <s v="MCM CONSTRUCCIONES Y SERVICIOS SAS"/>
    <x v="0"/>
    <s v="CAPTADOR-A/VENDEDOR-A - Capacidad concretar operaciones inmoo en Av. Senador Pérez 383 de Lunes a Viernes de 118  847927"/>
    <x v="59"/>
    <s v="Notables - Jujuy 1 Col"/>
    <x v="0"/>
    <n v="304.70714285714286"/>
    <x v="1"/>
    <x v="9"/>
    <m/>
    <x v="0"/>
    <x v="0"/>
    <n v="1"/>
    <n v="9.999999998972223"/>
    <x v="0"/>
    <n v="10"/>
    <x v="8"/>
  </r>
  <r>
    <x v="0"/>
    <x v="60"/>
    <s v="Almazan  Moises"/>
    <x v="0"/>
    <s v="NECESITO LIC. en Adm. De Empresas. Enviar CV al 388-58001508 5800150"/>
    <x v="60"/>
    <s v="Notables - Jujuy 1 Col"/>
    <x v="0"/>
    <n v="61.548571428571435"/>
    <x v="1"/>
    <x v="9"/>
    <m/>
    <x v="0"/>
    <x v="0"/>
    <n v="1"/>
    <n v="2.0000000005"/>
    <x v="0"/>
    <n v="2"/>
    <x v="5"/>
  </r>
  <r>
    <x v="0"/>
    <x v="61"/>
    <s v="Rodriguez Juan Angel"/>
    <x v="25"/>
    <s v="EMPRESA NECESITA AYUDANTE DE DEPOSITO"/>
    <x v="61"/>
    <s v="Notables - Jujuy 1 Col"/>
    <x v="1"/>
    <n v="96.940000000000026"/>
    <x v="1"/>
    <x v="9"/>
    <m/>
    <x v="0"/>
    <x v="0"/>
    <n v="1"/>
    <n v="3.0000000007500001"/>
    <x v="0"/>
    <n v="3"/>
    <x v="1"/>
  </r>
  <r>
    <x v="0"/>
    <x v="62"/>
    <s v="Lopez  Jose Rafael Martin"/>
    <x v="0"/>
    <s v="JUBILACIÓN PARA PERSONAL DE SERVICIO DOMESTICO  Lic. Martín López  Cel. 155007477"/>
    <x v="62"/>
    <s v="Notables - Jujuy 1 Col"/>
    <x v="0"/>
    <n v="60.317666666666668"/>
    <x v="1"/>
    <x v="10"/>
    <m/>
    <x v="0"/>
    <x v="0"/>
    <n v="1"/>
    <n v="2.0000000005"/>
    <x v="0"/>
    <n v="2"/>
    <x v="5"/>
  </r>
  <r>
    <x v="0"/>
    <x v="63"/>
    <s v="Antonio Noguera"/>
    <x v="0"/>
    <s v="ALQUILO BAÑOS QUIMICOS, DESAGOTES (0388)156855015 - 42503528 4250352"/>
    <x v="63"/>
    <s v="Notables - Jujuy 1 Col"/>
    <x v="0"/>
    <n v="64.626000000000005"/>
    <x v="1"/>
    <x v="11"/>
    <m/>
    <x v="0"/>
    <x v="0"/>
    <n v="1"/>
    <n v="3.0000000007500001"/>
    <x v="0"/>
    <n v="3"/>
    <x v="1"/>
  </r>
  <r>
    <x v="0"/>
    <x v="64"/>
    <s v="Vega  Rodrigo"/>
    <x v="0"/>
    <s v="IMPERBEABILIZACION          DE TECHOS,  ,nos dedicamos unicaas.  Buenos precios, mejoramos presupuesto.  CEL. 3884842488"/>
    <x v="64"/>
    <s v="Notables - Jujuy 1 Col"/>
    <x v="0"/>
    <n v="123.09714285714287"/>
    <x v="1"/>
    <x v="11"/>
    <m/>
    <x v="0"/>
    <x v="0"/>
    <n v="1"/>
    <n v="4.0000000010000001"/>
    <x v="0"/>
    <n v="4"/>
    <x v="3"/>
  </r>
  <r>
    <x v="0"/>
    <x v="65"/>
    <s v="Lopez  Jose Rafael Martin"/>
    <x v="0"/>
    <s v="JUBILACION - PENSION Ama de Casa  Fallecimiento: Jubilado  T 674 Bº Chijra.  Lunes  Miércoles  y Viernes  de 17 a 21 hs."/>
    <x v="65"/>
    <s v="Notables - Jujuy 1 Col"/>
    <x v="0"/>
    <n v="180.95266666666666"/>
    <x v="1"/>
    <x v="11"/>
    <m/>
    <x v="0"/>
    <x v="0"/>
    <n v="1"/>
    <n v="6.0000000015000001"/>
    <x v="0"/>
    <n v="6"/>
    <x v="6"/>
  </r>
  <r>
    <x v="0"/>
    <x v="66"/>
    <s v="Antonio Noguera"/>
    <x v="0"/>
    <s v="ALQUILO MAQUINA RETROPALA -Zona Minería Nivelaciones Todo tipo de trabajos &quot;EL HORNERO&quot; Cel.156855015"/>
    <x v="66"/>
    <s v="Notables - Jujuy 1 Col"/>
    <x v="0"/>
    <n v="86.167999999999992"/>
    <x v="1"/>
    <x v="12"/>
    <m/>
    <x v="0"/>
    <x v="0"/>
    <n v="1"/>
    <n v="4.0000000010000001"/>
    <x v="0"/>
    <n v="4"/>
    <x v="3"/>
  </r>
  <r>
    <x v="0"/>
    <x v="67"/>
    <s v="Lopez  Jose Rafael Martin"/>
    <x v="0"/>
    <s v="ALQUILA: MESAS &amp; SILLAS Manteles, Vajilla, Puff. Gazebos. Ll477- Los Manantiales 674, Bº Chijra Facebook: Mesas &amp; Sillas"/>
    <x v="67"/>
    <s v="Notables - Jujuy 1 Col"/>
    <x v="0"/>
    <n v="120.63500000000001"/>
    <x v="1"/>
    <x v="13"/>
    <m/>
    <x v="0"/>
    <x v="0"/>
    <n v="1"/>
    <n v="4.0000000010000001"/>
    <x v="0"/>
    <n v="4"/>
    <x v="3"/>
  </r>
  <r>
    <x v="0"/>
    <x v="68"/>
    <s v="Urbania S.R.L."/>
    <x v="26"/>
    <s v="HORMIGONERA + DE 20 AÑOS"/>
    <x v="68"/>
    <s v="Notables - Jujuy 1 Col"/>
    <x v="1"/>
    <n v="150.79366666666664"/>
    <x v="1"/>
    <x v="14"/>
    <m/>
    <x v="0"/>
    <x v="0"/>
    <n v="1"/>
    <n v="5.0000000012500001"/>
    <x v="0"/>
    <n v="5"/>
    <x v="0"/>
  </r>
  <r>
    <x v="0"/>
    <x v="69"/>
    <s v="HORMIGONERA JUJUY S.R.L."/>
    <x v="27"/>
    <s v="HORMIGONERA -VENTA DE HORMIGON EN MIXER  ****NUEVO***  TEL. 4259148  ALTE BROWN Nº 19698 4259148"/>
    <x v="69"/>
    <s v="Notables - Jujuy 1 Col"/>
    <x v="1"/>
    <n v="150.79366666666664"/>
    <x v="1"/>
    <x v="14"/>
    <m/>
    <x v="0"/>
    <x v="0"/>
    <n v="1"/>
    <n v="5.0000000012500001"/>
    <x v="0"/>
    <n v="5"/>
    <x v="0"/>
  </r>
  <r>
    <x v="0"/>
    <x v="70"/>
    <s v="HORMIGONERA JUJUY S.R.L."/>
    <x v="28"/>
    <s v="HORMIGONERA  JUJUY S.R.L. VENTA DE ARIDOS: PIEDRA, ARENA, RIPIO.  RELLENO DE TERRENO TEL. 4259148  ALTE BROWN N8 4259148"/>
    <x v="70"/>
    <s v="Notables - Jujuy 1 Col"/>
    <x v="1"/>
    <n v="150.79366666666664"/>
    <x v="1"/>
    <x v="14"/>
    <m/>
    <x v="0"/>
    <x v="0"/>
    <n v="1"/>
    <n v="5.0000000012500001"/>
    <x v="0"/>
    <n v="5"/>
    <x v="0"/>
  </r>
  <r>
    <x v="0"/>
    <x v="71"/>
    <s v="Cari  Valeria Vanesa"/>
    <x v="0"/>
    <s v="EDICTO - - JUZGADO DE PRIMERA INSTANCIA EN LO CIVIL Y COMERCÍAS.- - - - SAN SALVADOR DE JUJUY,   DE SEPTIEMBRE 8 0184052"/>
    <x v="71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72"/>
    <s v="Juarez Valeria"/>
    <x v="0"/>
    <s v="EDICTO Juzgado Multifuero  Perico  Civil y Comercial., a carina Ezequiel Ricardo  Pro secretario Tecnico Administrativo."/>
    <x v="72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73"/>
    <s v="Castro Reyna Maria Sofia"/>
    <x v="0"/>
    <s v="  ------------------------------------ EDICTO SUCESORIO ----sto de 2022.- - - -Proc. Ana María Hoyos  Firma habilitada.-"/>
    <x v="73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74"/>
    <s v="Castro Reyna Maria Sofia"/>
    <x v="0"/>
    <s v="Ref. Expte. Nº D-039670/2022 caratulado: &quot;SUCESORIO AB INTEScnico de juzgado.  San Pedro de Jujuy, 30 de agosto8  039670"/>
    <x v="74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75"/>
    <s v="Gabriela  Cañas"/>
    <x v="0"/>
    <s v="EDICTO - - - JUZGADO DE PRIMERA INSTANCIA EN LO CIVIL Y COME del Dr. SERGIO ANDRÉS ÁLVAREZ- SECRETARIO.-----------------"/>
    <x v="75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76"/>
    <s v="Gabriela  Cañas"/>
    <x v="0"/>
    <s v="EDICTO - - - JUZGADO DE PRIMERA INSTANCIA EN LO CIVIL Y COME del Dr. SERGIO ANDRÉS ÁLVAREZ- SECRETARIO.-----------------"/>
    <x v="75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77"/>
    <s v="Gonzalez  Elisa"/>
    <x v="0"/>
    <s v="============== = = = = = =  EDICTO SUCESORIO ======== = = = osto de 2022. = = =Proc. Ana Maria Hoyos  Firma Hab8  204407"/>
    <x v="76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78"/>
    <s v="Burgos  Miguel Angel"/>
    <x v="0"/>
    <s v="Ref. Expte. Nº C-203942/2022 caratulado: &quot;SUCESORIO AB INTESnico Administrativo Archivos adjuntos: Sin archivos8  203942"/>
    <x v="77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79"/>
    <s v="Machado  Rodrigo"/>
    <x v="0"/>
    <s v="EDICTO SUCESORIO  Juzgado Multifueros - Perico - Civil y Comdor de Jujuy. Fdo.  Dr. EZEQUIEL R. TEJERINA  Prose8  205671"/>
    <x v="78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80"/>
    <s v="Galindo  Lidia"/>
    <x v="0"/>
    <s v=" EDICTO SUCESORIO  = = = = = = = = = = = = = = = = = = = EL -------------  = = = PROSECREARIO: DR. FABIAN CARLO8  197955"/>
    <x v="79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81"/>
    <s v="Carrillo  Patricio"/>
    <x v="0"/>
    <s v="EDICTO EL JUZGADO DE PRIMERA INSTANCIA EN LO CIVIL Y COMERCIe de 2022.- Proc. Enzo Gerardo Ruiz  Secretario Hab8  202850"/>
    <x v="80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82"/>
    <s v="Castrillo  Miguel Angel"/>
    <x v="0"/>
    <s v="Ref. Expte. Nº D-041772/2022 caratulado: &quot;SUCESORIO AB INTESARIA.- Libertador General San Martín, 18 de Agosto 8  041772"/>
    <x v="81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83"/>
    <s v="Castrillo  Miguel Angel"/>
    <x v="0"/>
    <s v="=====================EDICTO SUCESORIO=======================yo de 2022.   ===SECRETARIA: DRA. MARIA LAURA LOPEZ8  189917"/>
    <x v="82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84"/>
    <s v="Castrillo  Miguel Angel"/>
    <x v="0"/>
    <s v="=====================EDICTO SUCESORIO=======================os 20 de Mayo de 2022.   Secretaria N° 4  Proc. ENZ8  196849"/>
    <x v="82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85"/>
    <s v="Navas Marcela"/>
    <x v="29"/>
    <s v="EDICTO     JUZGADO MULTIFUERO DE PRIMERA INSTANCIA EN LO CIVIA.     Libertador General San Martin, 18 de Agosto8  041201"/>
    <x v="83"/>
    <s v="Remates/Edictos Cm- Jujuy"/>
    <x v="1"/>
    <n v="113.50666666666667"/>
    <x v="1"/>
    <x v="15"/>
    <m/>
    <x v="0"/>
    <x v="0"/>
    <n v="1"/>
    <n v="7.9999999984722239"/>
    <x v="0"/>
    <n v="8"/>
    <x v="2"/>
  </r>
  <r>
    <x v="0"/>
    <x v="86"/>
    <s v="Paz  Franco Ezequiel"/>
    <x v="0"/>
    <s v="EDICTO  Dr. JORGE DANIEL ALSINA, Juez de la Cámara en lo CivRES (3) VECES en CINCO (5) DÍAS.-------------------8  150061"/>
    <x v="84"/>
    <s v="Remates/Edictos Cm- Jujuy"/>
    <x v="0"/>
    <n v="567.52666666666664"/>
    <x v="1"/>
    <x v="15"/>
    <m/>
    <x v="0"/>
    <x v="0"/>
    <n v="2"/>
    <n v="20.000000001472223"/>
    <x v="0"/>
    <n v="20"/>
    <x v="14"/>
  </r>
  <r>
    <x v="0"/>
    <x v="87"/>
    <s v="Santillan  Ana Maria"/>
    <x v="0"/>
    <s v="EDICTO SUCESORIO  ------ JUZGADO DE PRIMERA INSTANCIA EN LO a Monica. - ------ SAN SALVADOR DE JUJUY, 26 agosto8  206173"/>
    <x v="85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88"/>
    <s v="Vargas  Maribela Clara"/>
    <x v="0"/>
    <s v=" Ref. Expte. Nº C-204020/2022 caratulado: &quot;SUCESORIO AB INTEEZEQUIEL R. TEJERINA. Ciudad Perico, 30 de Agosto d8  204020"/>
    <x v="86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89"/>
    <s v="Torres  Jaquelina Carolina"/>
    <x v="0"/>
    <s v="EDICTO DE CITACION   LA COORDINACION DE HABITAT, en el Expedde Septiembre de 2022- Coord. Sra. Ruth Liliana Gut8 0619339"/>
    <x v="87"/>
    <s v="Remates/Edictos Cm- Jujuy"/>
    <x v="0"/>
    <n v="283.76333333333332"/>
    <x v="1"/>
    <x v="15"/>
    <m/>
    <x v="0"/>
    <x v="0"/>
    <n v="2"/>
    <n v="9.999999998972223"/>
    <x v="0"/>
    <n v="10"/>
    <x v="15"/>
  </r>
  <r>
    <x v="0"/>
    <x v="90"/>
    <s v="Navas Marcela"/>
    <x v="30"/>
    <s v="---------------------------------------------------EDICTO---RIA.-  Libertador General San Martín, 17 de Agosto 8  041240"/>
    <x v="88"/>
    <s v="Remates/Edictos Cm- Jujuy"/>
    <x v="1"/>
    <n v="113.50666666666667"/>
    <x v="1"/>
    <x v="15"/>
    <m/>
    <x v="0"/>
    <x v="0"/>
    <n v="1"/>
    <n v="7.9999999984722239"/>
    <x v="0"/>
    <n v="8"/>
    <x v="2"/>
  </r>
  <r>
    <x v="0"/>
    <x v="91"/>
    <s v="Rios  Evangelina"/>
    <x v="0"/>
    <s v="EDICTO SUCESORIO  = = = JUZGADO DE PRIMERA INSTANCIA EN LO CZ. = = = SECRETARIO: PROC. ENZO RUIZ  SECRETARIO HA8  204654"/>
    <x v="89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92"/>
    <s v="Mamani  Viviana"/>
    <x v="0"/>
    <s v="      E D ICTOS=== Juzgado de Primera Instancia en lo Civil JUEZ- ante mi Dra. MARIA BELEN DOMINGUEZ  PRO- SECR8  205566"/>
    <x v="90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93"/>
    <s v="Ruiz  Elizabeth"/>
    <x v="0"/>
    <s v="                                              ----------- E COPIA: SAN SALVADOR DE JUJUY, 24 DE AGOSTO DE 2022.8  184487"/>
    <x v="91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94"/>
    <s v="Ruiz  Elizabeth"/>
    <x v="0"/>
    <s v="           EDICTO  SUCESORIO  - - - El Juzgado Multifueros - DIAS.- - - - Dr. Ezequiel Ricardo Tejerina  Prosec8  202282"/>
    <x v="92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95"/>
    <s v="Cufi  Maria Eugenia"/>
    <x v="0"/>
    <s v="-----------------------------------------------EDICTOS------e 2022. A cargo del DR. PROC. ENZO RUIZ FIRMA HABIL8  202689"/>
    <x v="88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96"/>
    <s v="Vargas  Claudia Alejandra"/>
    <x v="0"/>
    <s v="EDICTO SUCESORIO .-.-JUZGADO DE PRIMERA INSTANCIA EN LO CIVIE AGOSTO DE 2022. .-.Prosecretaria: Dra. NATACHA BU8  202382"/>
    <x v="93"/>
    <s v="Remates/Edictos Cm- Jujuy"/>
    <x v="0"/>
    <n v="141.88333333333333"/>
    <x v="1"/>
    <x v="15"/>
    <m/>
    <x v="0"/>
    <x v="0"/>
    <n v="1"/>
    <n v="9.999999998972223"/>
    <x v="0"/>
    <n v="10"/>
    <x v="8"/>
  </r>
  <r>
    <x v="0"/>
    <x v="97"/>
    <s v="Navas Marcela"/>
    <x v="31"/>
    <s v="EDICTO     JUZGADO MULTIFUERO DE PRIMERA INSTANCIA EN LO CIVANCIA.  Libertador General San Martin, 25 de Agosto8  041266"/>
    <x v="83"/>
    <s v="Remates/Edictos Cm- Jujuy"/>
    <x v="1"/>
    <n v="113.50666666666667"/>
    <x v="1"/>
    <x v="15"/>
    <m/>
    <x v="0"/>
    <x v="0"/>
    <n v="1"/>
    <n v="7.9999999984722239"/>
    <x v="0"/>
    <n v="8"/>
    <x v="2"/>
  </r>
  <r>
    <x v="0"/>
    <x v="98"/>
    <s v="Montiel  Liliana Beatriz"/>
    <x v="32"/>
    <s v="EFECTIVO  EFECTIVO EN EL ACTO CON TODAS LAS TARJETAS DE CREDNO 775  GALERIA IMPULSO LOCAL 14 PLANTA BAJA TEL. 3886039919"/>
    <x v="94"/>
    <s v="Notables - Jujuy 1 Col"/>
    <x v="1"/>
    <n v="387.75566666666668"/>
    <x v="0"/>
    <x v="16"/>
    <m/>
    <x v="0"/>
    <x v="0"/>
    <n v="1"/>
    <n v="9.999999998972223"/>
    <x v="0"/>
    <n v="10"/>
    <x v="8"/>
  </r>
  <r>
    <x v="0"/>
    <x v="99"/>
    <s v="Marcalain Eduardo Héctor"/>
    <x v="33"/>
    <s v="MARCALAIN VENTAS ALQUILERES"/>
    <x v="95"/>
    <s v="Notables - Jujuy 1 Col"/>
    <x v="0"/>
    <n v="184.64535714285714"/>
    <x v="1"/>
    <x v="17"/>
    <m/>
    <x v="0"/>
    <x v="0"/>
    <n v="1"/>
    <n v="6.0000000015000001"/>
    <x v="0"/>
    <n v="6"/>
    <x v="6"/>
  </r>
  <r>
    <x v="0"/>
    <x v="100"/>
    <s v="Aldo Sotelo"/>
    <x v="0"/>
    <s v="AS SOLUCIONES INMOBILIARIA  SE REALIZAN TASACIONES EN TODA L  Perito - Administ. de alquileres - Ventas Cel. 388 4539030"/>
    <x v="96"/>
    <s v="Notables - Jujuy 1 Col"/>
    <x v="0"/>
    <n v="60.317666666666668"/>
    <x v="1"/>
    <x v="17"/>
    <m/>
    <x v="0"/>
    <x v="0"/>
    <n v="1"/>
    <n v="2.0000000005"/>
    <x v="0"/>
    <n v="2"/>
    <x v="5"/>
  </r>
  <r>
    <x v="0"/>
    <x v="101"/>
    <s v="Vilar Cristian Leandro"/>
    <x v="0"/>
    <s v="CRISTIAN L. VILAR TASADOR PROFESIONAL Tel 388-4311517 / 1550112208 4311517"/>
    <x v="97"/>
    <s v="Notables - Jujuy 1 Col"/>
    <x v="0"/>
    <n v="60.317666666666668"/>
    <x v="1"/>
    <x v="17"/>
    <m/>
    <x v="0"/>
    <x v="0"/>
    <n v="1"/>
    <n v="2.0000000005"/>
    <x v="0"/>
    <n v="2"/>
    <x v="5"/>
  </r>
  <r>
    <x v="0"/>
    <x v="102"/>
    <s v="Moreno Dante"/>
    <x v="0"/>
    <s v="PERITO TASADOR Profesional Matriculada Moreno Redolez MP Nº 304.  Cel. 3886650479"/>
    <x v="98"/>
    <s v="Notables - Jujuy 1 Col"/>
    <x v="0"/>
    <n v="60.317666666666668"/>
    <x v="1"/>
    <x v="17"/>
    <m/>
    <x v="0"/>
    <x v="0"/>
    <n v="1"/>
    <n v="2.0000000005"/>
    <x v="0"/>
    <n v="2"/>
    <x v="5"/>
  </r>
  <r>
    <x v="0"/>
    <x v="103"/>
    <s v="PANERO JULIO CESAR"/>
    <x v="34"/>
    <s v="JULIO PANERO"/>
    <x v="99"/>
    <s v="Notables - Jujuy 1 Col"/>
    <x v="1"/>
    <n v="63.189999999999991"/>
    <x v="1"/>
    <x v="17"/>
    <m/>
    <x v="0"/>
    <x v="0"/>
    <n v="1"/>
    <n v="2.0000000005"/>
    <x v="0"/>
    <n v="2"/>
    <x v="5"/>
  </r>
  <r>
    <x v="0"/>
    <x v="104"/>
    <s v="Marino Rotolos Susana Ivonne."/>
    <x v="35"/>
    <s v="SUSANA MARINO"/>
    <x v="100"/>
    <s v="Notables - Jujuy 1 Col"/>
    <x v="1"/>
    <n v="197.67941176470589"/>
    <x v="1"/>
    <x v="17"/>
    <m/>
    <x v="0"/>
    <x v="0"/>
    <n v="1"/>
    <n v="6.0000000015000001"/>
    <x v="0"/>
    <n v="6"/>
    <x v="6"/>
  </r>
  <r>
    <x v="0"/>
    <x v="105"/>
    <s v="Caballero Horacio Manuel"/>
    <x v="36"/>
    <s v="CABALLERO PROPIEDADES"/>
    <x v="101"/>
    <s v="Notables - Jujuy 1 Col"/>
    <x v="1"/>
    <n v="153.87142857142857"/>
    <x v="1"/>
    <x v="17"/>
    <m/>
    <x v="0"/>
    <x v="0"/>
    <n v="1"/>
    <n v="5.0000000012500001"/>
    <x v="0"/>
    <n v="5"/>
    <x v="0"/>
  </r>
  <r>
    <x v="0"/>
    <x v="106"/>
    <s v="Roca Enrique Vicente"/>
    <x v="37"/>
    <s v="DESCANSA TRANQUILO"/>
    <x v="102"/>
    <s v="Notables - Jujuy 1 Col"/>
    <x v="1"/>
    <n v="301.58800000000002"/>
    <x v="1"/>
    <x v="17"/>
    <m/>
    <x v="0"/>
    <x v="0"/>
    <n v="1"/>
    <n v="9.999999998972223"/>
    <x v="0"/>
    <n v="10"/>
    <x v="8"/>
  </r>
  <r>
    <x v="0"/>
    <x v="107"/>
    <s v="Ascociacion civil Rotary Club Jujuy"/>
    <x v="0"/>
    <s v="ASOCIACIÓN CIVIL ROTARY CLUB JUJUY CONVOCATORIA La Comisión Pedro Marcelo Sato Secretario  Sonia Isabel Palla P8   06408"/>
    <x v="103"/>
    <s v="Asamblea Cm- Jujuy"/>
    <x v="0"/>
    <n v="662.3366666666667"/>
    <x v="1"/>
    <x v="18"/>
    <m/>
    <x v="0"/>
    <x v="0"/>
    <n v="2"/>
    <n v="9.999999998972223"/>
    <x v="0"/>
    <n v="10"/>
    <x v="15"/>
  </r>
  <r>
    <x v="0"/>
    <x v="108"/>
    <s v="Asoc Civil Del Sector Pasivo"/>
    <x v="0"/>
    <s v="A.CI.SE.PA Asociación Civil del Sector Pasivo CONVOCATORIA Ates (art. 34 del Estatuto Social). Petrona Arias  Presidente"/>
    <x v="104"/>
    <s v="Asamblea Cm- Jujuy"/>
    <x v="0"/>
    <n v="794.8033333333334"/>
    <x v="1"/>
    <x v="18"/>
    <m/>
    <x v="0"/>
    <x v="0"/>
    <n v="2"/>
    <n v="11.999999999472221"/>
    <x v="0"/>
    <n v="12"/>
    <x v="16"/>
  </r>
  <r>
    <x v="0"/>
    <x v="109"/>
    <s v="Centro Vecinal B° Constitucion- Palpalá- Jujuy"/>
    <x v="0"/>
    <s v="CENTRO VECINAL CONSTITUCIÓN DE PALPALÁ CONVOCATORIA ASAMBLEAtar subsidios nacionales y provinciales.  COMISIÓN 8    8754"/>
    <x v="105"/>
    <s v="Asamblea Cm- Jujuy"/>
    <x v="0"/>
    <n v="662.3366666666667"/>
    <x v="1"/>
    <x v="18"/>
    <m/>
    <x v="0"/>
    <x v="0"/>
    <n v="2"/>
    <n v="9.999999998972223"/>
    <x v="0"/>
    <n v="10"/>
    <x v="15"/>
  </r>
  <r>
    <x v="0"/>
    <x v="110"/>
    <s v="INST. DE EDUC. SUP. IES Nº 9 JUANA AZURDUY"/>
    <x v="0"/>
    <s v="INSTITUTO DE EDUCACION SUPERIOR Nº 9 “JUANA AZURDUY” CONVOCA Lic. Juan Ariel Burgos Rector   I.E.S. N° 9 “Juana8    0372"/>
    <x v="106"/>
    <s v="Asamblea Cm- Jujuy"/>
    <x v="0"/>
    <n v="1059.74"/>
    <x v="1"/>
    <x v="18"/>
    <m/>
    <x v="0"/>
    <x v="0"/>
    <n v="2"/>
    <n v="16.000000000472223"/>
    <x v="0"/>
    <n v="16"/>
    <x v="17"/>
  </r>
  <r>
    <x v="0"/>
    <x v="111"/>
    <s v="COOPERATIVA DE TRABAJO MANOS SOLIDARIAS LIMITADA"/>
    <x v="0"/>
    <s v="LA COOPERATIVA DE TRABAJO MANOS UNIDAS SOLIDARIAS LIMITADA C de autoridades. 4-Elección de 2 socios para firmar el acta."/>
    <x v="107"/>
    <s v="Asamblea Cm- Jujuy"/>
    <x v="0"/>
    <n v="529.87"/>
    <x v="1"/>
    <x v="18"/>
    <m/>
    <x v="0"/>
    <x v="0"/>
    <n v="2"/>
    <n v="7.9999999984722239"/>
    <x v="0"/>
    <n v="8"/>
    <x v="18"/>
  </r>
  <r>
    <x v="0"/>
    <x v="112"/>
    <s v="Giulianotti  Juan Pablo"/>
    <x v="0"/>
    <s v="DUEÑO ALQUILA galpón en la Ciudad de la Quiaca, sobre ruta n° 5. Cel 388-57462288 5746228"/>
    <x v="108"/>
    <s v="Notables - Jujuy 1 Col"/>
    <x v="0"/>
    <n v="90.475999999999999"/>
    <x v="1"/>
    <x v="19"/>
    <m/>
    <x v="0"/>
    <x v="0"/>
    <n v="1"/>
    <n v="3.0000000007500001"/>
    <x v="0"/>
    <n v="3"/>
    <x v="1"/>
  </r>
  <r>
    <x v="0"/>
    <x v="113"/>
    <s v="Reyna  Zulema Lucia"/>
    <x v="0"/>
    <s v="CIUDAD PERICO  ALQUILO: OFICINAS CONSULTORIOS  CEL.3884082595"/>
    <x v="109"/>
    <s v="Notables - Jujuy 1 Col"/>
    <x v="0"/>
    <n v="90.475999999999999"/>
    <x v="1"/>
    <x v="20"/>
    <m/>
    <x v="0"/>
    <x v="0"/>
    <n v="1"/>
    <n v="3.0000000007500001"/>
    <x v="0"/>
    <n v="3"/>
    <x v="1"/>
  </r>
  <r>
    <x v="0"/>
    <x v="114"/>
    <s v="Rodriguez  Javier"/>
    <x v="0"/>
    <s v="ALQUILO DPTO  TEMPORAL AMOBLADO  Centro 388-44672048 4467204"/>
    <x v="110"/>
    <s v="Notables - Jujuy 1 Col"/>
    <x v="0"/>
    <n v="60.317666666666668"/>
    <x v="1"/>
    <x v="21"/>
    <m/>
    <x v="0"/>
    <x v="0"/>
    <n v="1"/>
    <n v="2.0000000005"/>
    <x v="0"/>
    <n v="2"/>
    <x v="5"/>
  </r>
  <r>
    <x v="0"/>
    <x v="115"/>
    <s v="Zamar  Juan Jose"/>
    <x v="38"/>
    <s v="ALQUILO DEPTO"/>
    <x v="111"/>
    <s v="Notables - Jujuy 1 Col"/>
    <x v="1"/>
    <n v="150.79366666666664"/>
    <x v="1"/>
    <x v="21"/>
    <m/>
    <x v="0"/>
    <x v="0"/>
    <n v="1"/>
    <n v="5.0000000012500001"/>
    <x v="0"/>
    <n v="5"/>
    <x v="0"/>
  </r>
  <r>
    <x v="0"/>
    <x v="116"/>
    <s v="Caballero Horacio Manuel"/>
    <x v="39"/>
    <s v="CABALLERO ALQUILA CASAS"/>
    <x v="112"/>
    <s v="Notables - Jujuy 1 Col"/>
    <x v="1"/>
    <n v="246.19428571428574"/>
    <x v="1"/>
    <x v="21"/>
    <m/>
    <x v="0"/>
    <x v="0"/>
    <n v="1"/>
    <n v="7.9999999984722239"/>
    <x v="0"/>
    <n v="8"/>
    <x v="2"/>
  </r>
  <r>
    <x v="0"/>
    <x v="117"/>
    <s v="Caballero Horacio Manuel"/>
    <x v="40"/>
    <s v="CABALLERO ALQUILA A EMPRESAS CHALET"/>
    <x v="113"/>
    <s v="Notables - Jujuy 1 Col"/>
    <x v="1"/>
    <n v="153.87142857142857"/>
    <x v="1"/>
    <x v="21"/>
    <m/>
    <x v="0"/>
    <x v="0"/>
    <n v="1"/>
    <n v="5.0000000012500001"/>
    <x v="0"/>
    <n v="5"/>
    <x v="0"/>
  </r>
  <r>
    <x v="0"/>
    <x v="118"/>
    <s v="Cruz  Manuel Joaquin"/>
    <x v="0"/>
    <s v="GRACIAS SAN EXPEDITO POR LOS FAVORES RECIBIDOS.      M.J.C."/>
    <x v="114"/>
    <s v="Notables - Jujuy 1 Col"/>
    <x v="0"/>
    <n v="129.25"/>
    <x v="1"/>
    <x v="22"/>
    <m/>
    <x v="0"/>
    <x v="1"/>
    <n v="1"/>
    <n v="3.0000000007500001"/>
    <x v="0"/>
    <n v="3"/>
    <x v="1"/>
  </r>
  <r>
    <x v="0"/>
    <x v="119"/>
    <s v="Cruz  Manuel Joaquin"/>
    <x v="0"/>
    <s v="GRACIAS  SEÑOR JESUCRISTO POR LOS FAVORES RECIBIDOS.      M.J.C."/>
    <x v="115"/>
    <s v="Notables - Jujuy 1 Col"/>
    <x v="0"/>
    <n v="129.25"/>
    <x v="1"/>
    <x v="22"/>
    <m/>
    <x v="0"/>
    <x v="1"/>
    <n v="1"/>
    <n v="3.0000000007500001"/>
    <x v="0"/>
    <n v="3"/>
    <x v="1"/>
  </r>
  <r>
    <x v="0"/>
    <x v="120"/>
    <s v="Cruz  Manuel Joaquin"/>
    <x v="0"/>
    <s v="GRACIAS  VIRGEN DEL VALLE POR LOS FAVORES RECIBIDOS.      M.J.C."/>
    <x v="116"/>
    <s v="Notables - Jujuy 1 Col"/>
    <x v="0"/>
    <n v="129.25"/>
    <x v="1"/>
    <x v="22"/>
    <m/>
    <x v="0"/>
    <x v="1"/>
    <n v="1"/>
    <n v="3.0000000007500001"/>
    <x v="0"/>
    <n v="3"/>
    <x v="1"/>
  </r>
  <r>
    <x v="0"/>
    <x v="121"/>
    <s v="Martinez  Geronimo"/>
    <x v="0"/>
    <s v="Nadie supera mis trabajos porque yo nací donde se hacen los  jamás igualarme!! Cel.: 3884626046 Atención en S.S de Jujuy"/>
    <x v="117"/>
    <s v="Notables - Jujuy +1 Col"/>
    <x v="0"/>
    <n v="430.83966666666669"/>
    <x v="1"/>
    <x v="23"/>
    <m/>
    <x v="0"/>
    <x v="0"/>
    <n v="2"/>
    <n v="5.0000000012500001"/>
    <x v="0"/>
    <n v="5"/>
    <x v="19"/>
  </r>
  <r>
    <x v="0"/>
    <x v="122"/>
    <s v="Luis  Cabrera"/>
    <x v="0"/>
    <s v="/////////////////JESUS TAROT//////// PARAPSICOLOGO   NUMERO NUEVO 388 4613315"/>
    <x v="118"/>
    <s v="Notables - Jujuy +1 Col"/>
    <x v="0"/>
    <n v="452.38149999999996"/>
    <x v="1"/>
    <x v="23"/>
    <m/>
    <x v="0"/>
    <x v="0"/>
    <n v="3"/>
    <n v="5.0000000012500001"/>
    <x v="0"/>
    <n v="5"/>
    <x v="20"/>
  </r>
  <r>
    <x v="0"/>
    <x v="123"/>
    <s v="Miranda Andrea"/>
    <x v="0"/>
    <s v="ELENA - ESPIRITISTA"/>
    <x v="119"/>
    <s v="Notables - Jujuy +1 Col"/>
    <x v="0"/>
    <n v="430.83928571428572"/>
    <x v="1"/>
    <x v="23"/>
    <m/>
    <x v="0"/>
    <x v="0"/>
    <n v="2"/>
    <n v="7.0000000017499984"/>
    <x v="0"/>
    <n v="7"/>
    <x v="21"/>
  </r>
  <r>
    <x v="0"/>
    <x v="124"/>
    <s v="Jairo Montes"/>
    <x v="0"/>
    <s v="COSEJERO y HECHICERO DEL AMOR JAIRO 388 4670393 (Provisorio )"/>
    <x v="120"/>
    <s v="Notables - Jujuy +1 Col"/>
    <x v="0"/>
    <n v="452.38133333333337"/>
    <x v="1"/>
    <x v="23"/>
    <m/>
    <x v="0"/>
    <x v="0"/>
    <n v="3"/>
    <n v="5.0000000012500001"/>
    <x v="0"/>
    <n v="5"/>
    <x v="20"/>
  </r>
  <r>
    <x v="0"/>
    <x v="125"/>
    <s v="Videotel S.R.L"/>
    <x v="0"/>
    <s v="SE SOLICITA PARA PUESTO TECNICO   PERSONAS MAYORES DE EDAD. EN INTERNET Y CABLEADO.   ENVIAR CV A: palpalarrhh@gmail.com"/>
    <x v="121"/>
    <s v="Notables - Jujuy +1 Col"/>
    <x v="0"/>
    <n v="301.58800000000002"/>
    <x v="1"/>
    <x v="23"/>
    <m/>
    <x v="0"/>
    <x v="0"/>
    <n v="2"/>
    <n v="5.0000000012500001"/>
    <x v="0"/>
    <n v="5"/>
    <x v="19"/>
  </r>
  <r>
    <x v="1"/>
    <x v="126"/>
    <s v="Editora Sociedad Anonima"/>
    <x v="0"/>
    <s v="VUELVE AZULADO JUJUY FM"/>
    <x v="122"/>
    <s v="Editorial Comercial - Jujuy"/>
    <x v="2"/>
    <n v="1498.06"/>
    <x v="0"/>
    <x v="24"/>
    <s v="SUDC"/>
    <x v="1"/>
    <x v="0"/>
    <n v="2"/>
    <n v="9.8777777777777782"/>
    <x v="0"/>
    <n v="10"/>
    <x v="15"/>
  </r>
  <r>
    <x v="1"/>
    <x v="127"/>
    <s v="Rodriguez  Javier"/>
    <x v="0"/>
    <s v="SEX SHOP ///AVISO ARMADO////"/>
    <x v="123"/>
    <s v="Editorial Comercial - Jujuy"/>
    <x v="0"/>
    <n v="499.35"/>
    <x v="0"/>
    <x v="24"/>
    <s v="SUDC"/>
    <x v="2"/>
    <x v="0"/>
    <n v="1"/>
    <n v="6.3217777777777773"/>
    <x v="0"/>
    <n v="6"/>
    <x v="6"/>
  </r>
  <r>
    <x v="1"/>
    <x v="128"/>
    <s v="Editora Sociedad Anonima"/>
    <x v="41"/>
    <s v="EL MATUTINO"/>
    <x v="124"/>
    <s v="Editorial Comercial - Jujuy"/>
    <x v="2"/>
    <n v="6241.91"/>
    <x v="0"/>
    <x v="24"/>
    <m/>
    <x v="0"/>
    <x v="0"/>
    <n v="5"/>
    <n v="16.989777777777778"/>
    <x v="0"/>
    <n v="17"/>
    <x v="22"/>
  </r>
  <r>
    <x v="1"/>
    <x v="129"/>
    <s v=" COLSA SOCIEDAD DE RESPONSABILIDAD LIMITADA (FRIAR)"/>
    <x v="42"/>
    <s v="FRIAR"/>
    <x v="125"/>
    <s v="Editorial Comercial - Jujuy"/>
    <x v="1"/>
    <n v="2768.15"/>
    <x v="1"/>
    <x v="24"/>
    <s v="SUDC"/>
    <x v="3"/>
    <x v="0"/>
    <n v="5"/>
    <n v="9.8777777777777782"/>
    <x v="0"/>
    <n v="10"/>
    <x v="23"/>
  </r>
  <r>
    <x v="1"/>
    <x v="130"/>
    <s v="La Cocheria S.r.l."/>
    <x v="43"/>
    <s v="LA COCHERIA SRL"/>
    <x v="126"/>
    <s v="Editorial Comercial - Jujuy"/>
    <x v="1"/>
    <n v="634.1"/>
    <x v="0"/>
    <x v="25"/>
    <s v="SU"/>
    <x v="4"/>
    <x v="0"/>
    <n v="3"/>
    <n v="2.7657777777777777"/>
    <x v="0"/>
    <n v="3"/>
    <x v="24"/>
  </r>
  <r>
    <x v="1"/>
    <x v="131"/>
    <s v="Farmacia Yrigoyen S C S"/>
    <x v="44"/>
    <s v="FARMACIA YRIGOYEN"/>
    <x v="127"/>
    <s v="Editorial Comercial - Jujuy"/>
    <x v="1"/>
    <n v="279.26"/>
    <x v="0"/>
    <x v="26"/>
    <m/>
    <x v="0"/>
    <x v="0"/>
    <n v="2"/>
    <n v="2.7657777777777777"/>
    <x v="0"/>
    <n v="3"/>
    <x v="25"/>
  </r>
  <r>
    <x v="1"/>
    <x v="132"/>
    <s v="WERCHOW MEDICINA PRIVADA S.A."/>
    <x v="45"/>
    <s v="WERCHOW OBITUARIO"/>
    <x v="128"/>
    <s v="Editorial Comercial - Jujuy"/>
    <x v="1"/>
    <n v="820.47"/>
    <x v="0"/>
    <x v="26"/>
    <s v="SER"/>
    <x v="4"/>
    <x v="0"/>
    <n v="5"/>
    <n v="2.7657777777777777"/>
    <x v="0"/>
    <n v="3"/>
    <x v="26"/>
  </r>
  <r>
    <x v="1"/>
    <x v="133"/>
    <s v="Servicios Sociales Futuro S R L"/>
    <x v="46"/>
    <s v="SERIVICIO SOCIALES FUTURO..."/>
    <x v="129"/>
    <s v="Editorial Comercial - Jujuy"/>
    <x v="1"/>
    <n v="586.27"/>
    <x v="0"/>
    <x v="26"/>
    <s v="SER"/>
    <x v="4"/>
    <x v="0"/>
    <n v="5"/>
    <n v="2.7657777777777777"/>
    <x v="0"/>
    <n v="3"/>
    <x v="26"/>
  </r>
  <r>
    <x v="1"/>
    <x v="134"/>
    <s v="Martin Mendoza Producciones"/>
    <x v="47"/>
    <s v="LA BRESH - 10 DE SEPTIEMBRE"/>
    <x v="130"/>
    <s v="Editorial Comercial - Jujuy"/>
    <x v="1"/>
    <n v="3908.85"/>
    <x v="0"/>
    <x v="27"/>
    <s v="PES"/>
    <x v="5"/>
    <x v="0"/>
    <n v="5"/>
    <n v="13.433777777777777"/>
    <x v="0"/>
    <n v="13"/>
    <x v="27"/>
  </r>
  <r>
    <x v="1"/>
    <x v="135"/>
    <s v="Direccion De Prensa Y Medios De Comunicacion"/>
    <x v="48"/>
    <s v="GOBIERNO  LA DRA. TULIA SNOPEK DE MORALESCONVOCATORIA PARA PARTICIPAR..."/>
    <x v="131"/>
    <s v="Editorial Comercial - Jujuy cm OFICIAL"/>
    <x v="1"/>
    <n v="108538.46"/>
    <x v="0"/>
    <x v="28"/>
    <s v="PAG3"/>
    <x v="6"/>
    <x v="0"/>
    <n v="5"/>
    <n v="17.000000000722224"/>
    <x v="1"/>
    <n v="17"/>
    <x v="22"/>
  </r>
  <r>
    <x v="1"/>
    <x v="136"/>
    <s v="Direccion De Prensa Y Medios De Comunicacion"/>
    <x v="48"/>
    <s v="GOBIERNO  SOLICITADA.. A través del Decreto No 6.545, el Gobierno de la Provincia de Jujuy ordenó a Ejesa:"/>
    <x v="132"/>
    <s v="Editorial Comercial - Jujuy cm OFICIAL"/>
    <x v="1"/>
    <n v="223461.54"/>
    <x v="0"/>
    <x v="28"/>
    <s v="PAG3"/>
    <x v="7"/>
    <x v="0"/>
    <n v="5"/>
    <n v="35.000000001694445"/>
    <x v="0"/>
    <n v="35"/>
    <x v="28"/>
  </r>
  <r>
    <x v="1"/>
    <x v="137"/>
    <s v="Velazquez Sonia Veronica"/>
    <x v="0"/>
    <s v="TEMAS MEDICOS  SHALOM"/>
    <x v="133"/>
    <s v="Editorial Comercial - Jujuy"/>
    <x v="0"/>
    <n v="1733"/>
    <x v="0"/>
    <x v="29"/>
    <s v="PAC"/>
    <x v="8"/>
    <x v="0"/>
    <n v="2"/>
    <n v="9.8777777777777782"/>
    <x v="0"/>
    <n v="10"/>
    <x v="15"/>
  </r>
  <r>
    <x v="1"/>
    <x v="138"/>
    <s v="Norte Servicios Sociales - Segura Ana"/>
    <x v="49"/>
    <s v="NORTE SERVICIO SOCIALES ...."/>
    <x v="134"/>
    <s v="Editorial Comercial - Jujuy"/>
    <x v="1"/>
    <n v="615.55999999999995"/>
    <x v="0"/>
    <x v="30"/>
    <s v="OBI"/>
    <x v="4"/>
    <x v="0"/>
    <n v="3"/>
    <n v="2.7657777777777777"/>
    <x v="0"/>
    <n v="3"/>
    <x v="24"/>
  </r>
  <r>
    <x v="1"/>
    <x v="139"/>
    <s v="Aguero Polito Fabiana Elisa"/>
    <x v="50"/>
    <s v="NICO FIAMBRES"/>
    <x v="135"/>
    <s v="Editorial Comercial - Jujuy"/>
    <x v="1"/>
    <n v="16284"/>
    <x v="0"/>
    <x v="31"/>
    <s v="IAC"/>
    <x v="9"/>
    <x v="0"/>
    <n v="5"/>
    <n v="34.769777777777783"/>
    <x v="0"/>
    <n v="35"/>
    <x v="28"/>
  </r>
  <r>
    <x v="1"/>
    <x v="140"/>
    <s v="Direccion De Prensa Y Medios De Comunicacion"/>
    <x v="48"/>
    <s v="TOMBOSUERTE..."/>
    <x v="136"/>
    <s v="Editorial Comercial - Jujuy cm OFICIAL"/>
    <x v="1"/>
    <n v="2381.9699999999998"/>
    <x v="0"/>
    <x v="31"/>
    <s v="IAC"/>
    <x v="10"/>
    <x v="1"/>
    <n v="5"/>
    <n v="16.989999999555558"/>
    <x v="1"/>
    <n v="17"/>
    <x v="22"/>
  </r>
  <r>
    <x v="1"/>
    <x v="141"/>
    <s v="Direccion De Prensa Y Medios De Comunicacion"/>
    <x v="48"/>
    <s v="GOBIERNO - CINE DE LAS ALTURASJUJUY UN DESTINO DE PELICULA"/>
    <x v="137"/>
    <s v="Editorial Comercial - Jujuy cm OFICIAL"/>
    <x v="1"/>
    <n v="108538.46"/>
    <x v="0"/>
    <x v="31"/>
    <s v="IAC"/>
    <x v="6"/>
    <x v="0"/>
    <n v="5"/>
    <n v="17.000000000722224"/>
    <x v="0"/>
    <n v="17"/>
    <x v="22"/>
  </r>
  <r>
    <x v="1"/>
    <x v="142"/>
    <s v="Club Atletico Gimnasia y Esgrima"/>
    <x v="51"/>
    <s v="BINGO LOBO...."/>
    <x v="138"/>
    <s v="Editorial Comercial - Jujuy"/>
    <x v="1"/>
    <n v="5617.9800000000005"/>
    <x v="0"/>
    <x v="31"/>
    <s v="IAC"/>
    <x v="11"/>
    <x v="0"/>
    <n v="5"/>
    <n v="9.8777777777777782"/>
    <x v="0"/>
    <n v="10"/>
    <x v="23"/>
  </r>
  <r>
    <x v="1"/>
    <x v="143"/>
    <s v="Alberdi Sociedad Anónima"/>
    <x v="52"/>
    <s v="COMODIN mayorista"/>
    <x v="139"/>
    <s v="Editorial Comercial - Jujuy"/>
    <x v="1"/>
    <n v="16853.939999999999"/>
    <x v="0"/>
    <x v="31"/>
    <s v="IAC"/>
    <x v="12"/>
    <x v="0"/>
    <n v="5"/>
    <n v="34.769777777777783"/>
    <x v="0"/>
    <n v="35"/>
    <x v="28"/>
  </r>
  <r>
    <x v="1"/>
    <x v="144"/>
    <s v="Alberdi Sociedad Anónima"/>
    <x v="53"/>
    <s v="COMODIN"/>
    <x v="140"/>
    <s v="Editorial Comercial - Jujuy"/>
    <x v="1"/>
    <n v="20090.5"/>
    <x v="0"/>
    <x v="32"/>
    <s v="CTAPA"/>
    <x v="13"/>
    <x v="0"/>
    <n v="5"/>
    <n v="34.769777777777783"/>
    <x v="0"/>
    <n v="35"/>
    <x v="28"/>
  </r>
  <r>
    <x v="2"/>
    <x v="145"/>
    <s v="Romero  Gabriel"/>
    <x v="0"/>
    <s v="CONSULTORIO DE PODOLOGIA Uñas encarnadas- Micosis (hongos)- ALVEAR 730 PLATA ALTA RECIBIMOS TARJETAS DE CRÉDITO8 4228088"/>
    <x v="141"/>
    <s v="Guia Prof 2 Col - Jujuy"/>
    <x v="0"/>
    <n v="114.66666666666669"/>
    <x v="1"/>
    <x v="33"/>
    <m/>
    <x v="0"/>
    <x v="0"/>
    <n v="2"/>
    <n v="5.0000000012500001"/>
    <x v="0"/>
    <n v="5"/>
    <x v="19"/>
  </r>
  <r>
    <x v="2"/>
    <x v="146"/>
    <s v="Calpanchay Adolfina"/>
    <x v="0"/>
    <s v="PODOLOGIA  Uñas encarnadas - Micosis (hongos) Pie diabético-de 16 a 20 hs. Juana Manuela Gorriti N° 16 - Tel. 3884852247"/>
    <x v="142"/>
    <s v="Guia Prof 2 Col - Jujuy"/>
    <x v="0"/>
    <n v="114.71000000000001"/>
    <x v="0"/>
    <x v="33"/>
    <m/>
    <x v="0"/>
    <x v="0"/>
    <n v="2"/>
    <n v="5.0000000012500001"/>
    <x v="0"/>
    <n v="5"/>
    <x v="19"/>
  </r>
  <r>
    <x v="2"/>
    <x v="147"/>
    <s v="Torres  Patricia"/>
    <x v="0"/>
    <s v="///LOGO//// CENTRO AUDIFONOS  PARA OIR MEJOR VARIEDAD DE AUD a 12 y de  17 a 20 hs. Mensajes y Whatsapp 3886868919 Jujuy"/>
    <x v="143"/>
    <s v="Guia Prof 2 Col - Jujuy"/>
    <x v="0"/>
    <n v="91.768000000000001"/>
    <x v="1"/>
    <x v="34"/>
    <m/>
    <x v="0"/>
    <x v="0"/>
    <n v="2"/>
    <n v="4.0000000010000001"/>
    <x v="0"/>
    <n v="4"/>
    <x v="29"/>
  </r>
  <r>
    <x v="2"/>
    <x v="148"/>
    <s v="CRUZ DIEGO FERNANDO"/>
    <x v="0"/>
    <s v="LIC. DIEGO CRUZ QUIROPRAXIA  ////CAMBIAR DIRECCION///  OTERO N° 464, 1er Piso, Consultorio 9 Cel 388-154096585"/>
    <x v="144"/>
    <s v="Guia Prof 2 Col - Jujuy"/>
    <x v="0"/>
    <n v="59.62133333333334"/>
    <x v="1"/>
    <x v="35"/>
    <m/>
    <x v="0"/>
    <x v="0"/>
    <n v="2"/>
    <n v="2.0000000005"/>
    <x v="0"/>
    <n v="2"/>
    <x v="30"/>
  </r>
  <r>
    <x v="2"/>
    <x v="149"/>
    <s v="Palavecino Rodriguez Jose Miguel"/>
    <x v="0"/>
    <s v="PROBLEMAS DE COLUMNA Y EXTREMIDADES                 QUIROPRAM. Palavecino  M.P. 1899 Independencia 518 - Cel. 155090998."/>
    <x v="145"/>
    <s v="Guia Prof 2 Col - Jujuy"/>
    <x v="0"/>
    <n v="68.825999999999993"/>
    <x v="1"/>
    <x v="35"/>
    <m/>
    <x v="0"/>
    <x v="0"/>
    <n v="2"/>
    <n v="3.0000000007500001"/>
    <x v="0"/>
    <n v="3"/>
    <x v="25"/>
  </r>
  <r>
    <x v="2"/>
    <x v="150"/>
    <s v="Empresa La Piedad S.A."/>
    <x v="54"/>
    <s v="CEMER..."/>
    <x v="146"/>
    <s v="Guia Prof 2 Col - Jujuy"/>
    <x v="1"/>
    <n v="119.28"/>
    <x v="1"/>
    <x v="36"/>
    <m/>
    <x v="0"/>
    <x v="0"/>
    <n v="2"/>
    <n v="4.0000000010000001"/>
    <x v="0"/>
    <n v="4"/>
    <x v="29"/>
  </r>
  <r>
    <x v="2"/>
    <x v="151"/>
    <s v="Noguera  Analia"/>
    <x v="0"/>
    <s v="ESTUDIO CONTABLE Monotributo - Ganancias- Bienes Personales- RENTAS- BALANCES Certificaciones Contables Tel. 388 6856144"/>
    <x v="147"/>
    <s v="Guia Prof 2 Col - Jujuy"/>
    <x v="0"/>
    <n v="68.825999999999993"/>
    <x v="1"/>
    <x v="37"/>
    <m/>
    <x v="0"/>
    <x v="0"/>
    <n v="2"/>
    <n v="3.0000000007500001"/>
    <x v="0"/>
    <n v="3"/>
    <x v="25"/>
  </r>
  <r>
    <x v="2"/>
    <x v="152"/>
    <s v="Herrera  Crisitian"/>
    <x v="0"/>
    <s v="C.P.N. CRISTIAN HERRERA M.P. 1556 Inscripciones Afip-Rentas.rtificaciones. Monotributo. Planes de pago. Cel: 388 4107749"/>
    <x v="148"/>
    <s v="Guia Prof 2 Col - Jujuy"/>
    <x v="0"/>
    <n v="68.825999999999993"/>
    <x v="1"/>
    <x v="37"/>
    <m/>
    <x v="0"/>
    <x v="0"/>
    <n v="2"/>
    <n v="3.0000000007500001"/>
    <x v="0"/>
    <n v="3"/>
    <x v="25"/>
  </r>
  <r>
    <x v="2"/>
    <x v="153"/>
    <s v="Vilte  Mariana"/>
    <x v="0"/>
    <s v="ASESORAMIENTO CONTABLE E IMPOSITIVO Inscripción AFIP, RENTASa 20 horas Jorge Newbery N° 914 Cel 388-4340868  388 4340868"/>
    <x v="149"/>
    <s v="Guia Prof 2 Col - Jujuy"/>
    <x v="0"/>
    <n v="45.884"/>
    <x v="1"/>
    <x v="37"/>
    <m/>
    <x v="0"/>
    <x v="0"/>
    <n v="2"/>
    <n v="2.0000000005"/>
    <x v="0"/>
    <n v="2"/>
    <x v="30"/>
  </r>
  <r>
    <x v="2"/>
    <x v="154"/>
    <s v="Burgos Claudia Belen"/>
    <x v="0"/>
    <s v="ESTUDIO-JURÌDICO  DRA. CLAUDIA BELEN BURGOS               MP4372 PERICO"/>
    <x v="150"/>
    <s v="Guia Prof 2 Col - Jujuy"/>
    <x v="0"/>
    <n v="68.825999999999993"/>
    <x v="1"/>
    <x v="38"/>
    <m/>
    <x v="0"/>
    <x v="0"/>
    <n v="2"/>
    <n v="3.0000000007500001"/>
    <x v="0"/>
    <n v="3"/>
    <x v="25"/>
  </r>
  <r>
    <x v="2"/>
    <x v="155"/>
    <s v="Caro Victoria"/>
    <x v="0"/>
    <s v="ESTUDIO JURIDICO Dra. María de los Ángeles Caro Familia  Sucesiones  Comercial Sarmiento N° 386  Tel 388-5004018 5004015"/>
    <x v="151"/>
    <s v="Guia Prof 2 Col - Jujuy"/>
    <x v="0"/>
    <n v="45.884"/>
    <x v="1"/>
    <x v="38"/>
    <m/>
    <x v="0"/>
    <x v="0"/>
    <n v="2"/>
    <n v="2.0000000005"/>
    <x v="0"/>
    <n v="2"/>
    <x v="30"/>
  </r>
  <r>
    <x v="2"/>
    <x v="156"/>
    <s v="Cruz  Samuel Jose"/>
    <x v="0"/>
    <s v="DA. LYNN E. CRUZ (especialista en jubilaciones y Pensiones) 8 a 21 hs.  3885884113  388685343 Independencia 607  Ciudad."/>
    <x v="152"/>
    <s v="Guia Prof 2 Col - Jujuy"/>
    <x v="0"/>
    <n v="68.825999999999993"/>
    <x v="1"/>
    <x v="38"/>
    <m/>
    <x v="0"/>
    <x v="0"/>
    <n v="2"/>
    <n v="3.0000000007500001"/>
    <x v="0"/>
    <n v="3"/>
    <x v="25"/>
  </r>
  <r>
    <x v="2"/>
    <x v="157"/>
    <s v="Kairuz  Juan Pio"/>
    <x v="0"/>
    <s v="ESTUDIO JURIDICO MEYER ALCARAZ Te Asesoramos en Derecho Laboor - Derecho Sucesorio - Derecho Civil  Teléfono: 3885206107"/>
    <x v="153"/>
    <s v="Guia Prof 2 Col - Jujuy"/>
    <x v="0"/>
    <n v="45.884"/>
    <x v="1"/>
    <x v="38"/>
    <m/>
    <x v="0"/>
    <x v="0"/>
    <n v="2"/>
    <n v="2.0000000005"/>
    <x v="0"/>
    <n v="2"/>
    <x v="30"/>
  </r>
  <r>
    <x v="2"/>
    <x v="158"/>
    <s v="Romeo  Eduardo Jose"/>
    <x v="0"/>
    <s v=" EDUARDO JOSE ROMEO            ABOGADO....... *DERECHO LABOR30 y 18.30 a 20.30 RAMIREZ DE VELAZCO 672 TEL:0388-154176693"/>
    <x v="154"/>
    <s v="Guia Prof 2 Col - Jujuy"/>
    <x v="0"/>
    <n v="45.884"/>
    <x v="1"/>
    <x v="38"/>
    <m/>
    <x v="0"/>
    <x v="0"/>
    <n v="2"/>
    <n v="2.0000000005"/>
    <x v="0"/>
    <n v="2"/>
    <x v="30"/>
  </r>
  <r>
    <x v="3"/>
    <x v="159"/>
    <s v="Sepelios San Jose SRL."/>
    <x v="0"/>
    <s v="SEPELIOS SAN JOSE SRL SERVICIOS SOCIALES"/>
    <x v="155"/>
    <s v="Obituario Modulo - Jujuy"/>
    <x v="0"/>
    <n v="397.03800000000001"/>
    <x v="0"/>
    <x v="39"/>
    <m/>
    <x v="0"/>
    <x v="0"/>
    <n v="1"/>
    <n v="6.3217777777777773"/>
    <x v="0"/>
    <n v="6"/>
    <x v="6"/>
  </r>
  <r>
    <x v="3"/>
    <x v="160"/>
    <s v="WERCHOW MEDICINA PRIVADA S.A."/>
    <x v="55"/>
    <s v="CEFERINO FLORES"/>
    <x v="156"/>
    <s v="Obituario Modulo - Jujuy"/>
    <x v="1"/>
    <n v="850.79000000000019"/>
    <x v="1"/>
    <x v="39"/>
    <m/>
    <x v="0"/>
    <x v="0"/>
    <n v="1"/>
    <n v="9.8777777777777782"/>
    <x v="0"/>
    <n v="10"/>
    <x v="8"/>
  </r>
  <r>
    <x v="3"/>
    <x v="161"/>
    <s v="Mamani  Clemente"/>
    <x v="0"/>
    <s v="+ RUBEN DANIEL MAMANI SANCHEZ “PACO” q.e.p.d. 15/9/76  9/9/2 Descansa en Paz mi Rubén sos mi Ángel!.  Clemente Tu padre."/>
    <x v="157"/>
    <s v="Obituario Modulo - Jujuy"/>
    <x v="0"/>
    <n v="1956.8300000000004"/>
    <x v="0"/>
    <x v="39"/>
    <m/>
    <x v="0"/>
    <x v="0"/>
    <n v="2"/>
    <n v="9.8777777777777782"/>
    <x v="0"/>
    <n v="10"/>
    <x v="15"/>
  </r>
  <r>
    <x v="3"/>
    <x v="162"/>
    <s v="Mamani  Clemente"/>
    <x v="0"/>
    <s v="+ RUBEN DANIEL MAMANI SANCHEZ “PACO” q.e.p.d. 15/9/76  9/9/2escansa en Paz hermanito querido!. Tu hermana Gloria Fabiana"/>
    <x v="157"/>
    <s v="Obituario Modulo - Jujuy"/>
    <x v="0"/>
    <n v="1956.8300000000004"/>
    <x v="0"/>
    <x v="39"/>
    <m/>
    <x v="0"/>
    <x v="0"/>
    <n v="2"/>
    <n v="9.8777777777777782"/>
    <x v="0"/>
    <n v="10"/>
    <x v="15"/>
  </r>
  <r>
    <x v="3"/>
    <x v="163"/>
    <s v="Diaz Laura"/>
    <x v="0"/>
    <s v="+ POLONIA ÁNGELA GUITIAN (Q.E.P.D.) Falleció el día 30 de ag San Francisco para pedir por el eterno descanso de su alma."/>
    <x v="158"/>
    <s v="Obituario Modulo - Jujuy"/>
    <x v="0"/>
    <n v="1304.55"/>
    <x v="0"/>
    <x v="39"/>
    <m/>
    <x v="0"/>
    <x v="0"/>
    <n v="2"/>
    <n v="6.3217777777777773"/>
    <x v="0"/>
    <n v="6"/>
    <x v="31"/>
  </r>
  <r>
    <x v="3"/>
    <x v="164"/>
    <s v="Asociación Gestores Del Automotor Prov. De Jujuy"/>
    <x v="0"/>
    <s v="+MONTALDI MARCELA ALEJANDRA  Q.E.P.D. Falleció el día 7 de s Ruega elevar una oración por el eterno descanso de su alma."/>
    <x v="159"/>
    <s v="Obituario Modulo - Jujuy"/>
    <x v="0"/>
    <n v="1956.8300000000004"/>
    <x v="0"/>
    <x v="39"/>
    <m/>
    <x v="0"/>
    <x v="0"/>
    <n v="2"/>
    <n v="9.8777777777777782"/>
    <x v="0"/>
    <n v="10"/>
    <x v="15"/>
  </r>
  <r>
    <x v="3"/>
    <x v="165"/>
    <s v="Galian Gabriela"/>
    <x v="0"/>
    <s v="+ PABLO ELOY GALIAN q.e.p.d. Te fuiste a la casa del Señor e2022 a horas 17 en el cementerio de la localidad de Tumbaya."/>
    <x v="160"/>
    <s v="Obituario Modulo - Jujuy"/>
    <x v="0"/>
    <n v="1956.83"/>
    <x v="0"/>
    <x v="39"/>
    <m/>
    <x v="0"/>
    <x v="0"/>
    <n v="2"/>
    <n v="9.8777777777777782"/>
    <x v="0"/>
    <n v="10"/>
    <x v="15"/>
  </r>
  <r>
    <x v="3"/>
    <x v="166"/>
    <s v="Cruz  Oscar Orias"/>
    <x v="0"/>
    <s v="ANTONIA DIAZ  “Pelusita” Falleció en San Salvador de Jujuy ela iglesia Santa Teresita para rogar por su eterno descanso."/>
    <x v="161"/>
    <s v="Obituario Modulo - Jujuy"/>
    <x v="0"/>
    <n v="2935.2400000000002"/>
    <x v="0"/>
    <x v="39"/>
    <m/>
    <x v="0"/>
    <x v="0"/>
    <n v="3"/>
    <n v="9.8777777777777782"/>
    <x v="0"/>
    <n v="10"/>
    <x v="32"/>
  </r>
  <r>
    <x v="4"/>
    <x v="167"/>
    <s v="Cine Teatro Alfa S.R.L."/>
    <x v="56"/>
    <s v="CINE ALFA..."/>
    <x v="162"/>
    <s v="Editorial Comercial - Jujuy"/>
    <x v="2"/>
    <n v="4229"/>
    <x v="0"/>
    <x v="24"/>
    <s v="SUDC"/>
    <x v="14"/>
    <x v="0"/>
    <n v="5"/>
    <n v="13.433777777777777"/>
    <x v="0"/>
    <n v="13"/>
    <x v="27"/>
  </r>
  <r>
    <x v="4"/>
    <x v="168"/>
    <s v="Direccion De Prensa Y Medios De Comunicacion"/>
    <x v="48"/>
    <s v="gOBIERNO TRABAJADOR ELECTRICIDADA..."/>
    <x v="163"/>
    <s v="Editorial Comercial - Jujuy OFICIAL"/>
    <x v="1"/>
    <n v="11146.960000000001"/>
    <x v="0"/>
    <x v="25"/>
    <m/>
    <x v="0"/>
    <x v="1"/>
    <n v="5"/>
    <n v="13.433777777777777"/>
    <x v="0"/>
    <n v="13"/>
    <x v="27"/>
  </r>
  <r>
    <x v="4"/>
    <x v="169"/>
    <s v="Direccion De Prensa Y Medios De Comunicacion"/>
    <x v="48"/>
    <s v="GOBIERNO  FIESTAS PATRONALES EL CARMEN..."/>
    <x v="164"/>
    <s v="Editorial Comercial - Jujuy OFICIAL"/>
    <x v="1"/>
    <n v="11146.960000000001"/>
    <x v="0"/>
    <x v="25"/>
    <m/>
    <x v="0"/>
    <x v="1"/>
    <n v="5"/>
    <n v="13.433777777777777"/>
    <x v="0"/>
    <n v="13"/>
    <x v="27"/>
  </r>
  <r>
    <x v="4"/>
    <x v="170"/>
    <s v="Direccion De Prensa Y Medios De Comunicacion"/>
    <x v="48"/>
    <s v="GOBIERNO   FNE  ONDA ESTUDIANTIL"/>
    <x v="165"/>
    <s v="Editorial Comercial - Jujuy OFICIAL"/>
    <x v="1"/>
    <n v="8360.2199999999993"/>
    <x v="0"/>
    <x v="25"/>
    <m/>
    <x v="0"/>
    <x v="0"/>
    <n v="5"/>
    <n v="9.8777777777777782"/>
    <x v="0"/>
    <n v="10"/>
    <x v="23"/>
  </r>
  <r>
    <x v="5"/>
    <x v="171"/>
    <s v="GIMENEZ CRISTIAN ADRIAN"/>
    <x v="57"/>
    <s v="LA CASA DE JEREMIAS"/>
    <x v="166"/>
    <s v="Editorial Comercial - Jujuy"/>
    <x v="1"/>
    <n v="1202.76"/>
    <x v="0"/>
    <x v="25"/>
    <s v="SU"/>
    <x v="15"/>
    <x v="0"/>
    <n v="3"/>
    <n v="9.8777777777777782"/>
    <x v="0"/>
    <n v="10"/>
    <x v="32"/>
  </r>
  <r>
    <x v="5"/>
    <x v="172"/>
    <s v="Editora Sociedad Anonima"/>
    <x v="58"/>
    <s v="PIZPIRETA  FM JUJUY ...."/>
    <x v="167"/>
    <s v="Editorial Comercial - Jujuy"/>
    <x v="2"/>
    <n v="1069.1199999999999"/>
    <x v="0"/>
    <x v="25"/>
    <s v="SU"/>
    <x v="15"/>
    <x v="0"/>
    <n v="2"/>
    <n v="13.433777777777777"/>
    <x v="0"/>
    <n v="13"/>
    <x v="33"/>
  </r>
  <r>
    <x v="5"/>
    <x v="173"/>
    <s v="Siufi García Adrián Esteban"/>
    <x v="59"/>
    <s v="SIRIO LIBANESA"/>
    <x v="168"/>
    <s v="Editorial Comercial - Jujuy"/>
    <x v="1"/>
    <n v="534.55999999999995"/>
    <x v="0"/>
    <x v="25"/>
    <s v="SU"/>
    <x v="7"/>
    <x v="0"/>
    <n v="2"/>
    <n v="6.3217777777777773"/>
    <x v="0"/>
    <n v="6"/>
    <x v="31"/>
  </r>
  <r>
    <x v="5"/>
    <x v="174"/>
    <s v="GRAN MONARCA ALVEAR (HERRERA, JORGE RAFAEL)"/>
    <x v="60"/>
    <s v="GRAN MONARCA - ALVEAR"/>
    <x v="169"/>
    <s v="Editorial Comercial - Jujuy"/>
    <x v="1"/>
    <n v="2806.44"/>
    <x v="0"/>
    <x v="25"/>
    <s v="SU"/>
    <x v="7"/>
    <x v="0"/>
    <n v="3"/>
    <n v="24.10177777777778"/>
    <x v="0"/>
    <n v="24"/>
    <x v="34"/>
  </r>
  <r>
    <x v="5"/>
    <x v="175"/>
    <s v="Proyección SACIFI"/>
    <x v="61"/>
    <s v="LOLA M agosto  PNT en Radio FM SOL Rotativa en FM SOLBanner web 10 mil impresionesInfomercial Web en Redes sociales"/>
    <x v="170"/>
    <s v="Editorial Comercial - Jujuy"/>
    <x v="1"/>
    <n v="4301.3500000000004"/>
    <x v="0"/>
    <x v="25"/>
    <s v="SU"/>
    <x v="16"/>
    <x v="0"/>
    <n v="5"/>
    <n v="9.8777777777777782"/>
    <x v="0"/>
    <n v="10"/>
    <x v="23"/>
  </r>
  <r>
    <x v="5"/>
    <x v="176"/>
    <s v="IGARZABAL CLAUDIO ALEJANDRO"/>
    <x v="48"/>
    <s v="LA DELIO VALDEZ"/>
    <x v="171"/>
    <s v="Editorial Comercial - Jujuy"/>
    <x v="2"/>
    <n v="2672.8"/>
    <x v="0"/>
    <x v="25"/>
    <s v="SU"/>
    <x v="14"/>
    <x v="0"/>
    <n v="5"/>
    <n v="13.433777777777777"/>
    <x v="0"/>
    <n v="13"/>
    <x v="27"/>
  </r>
  <r>
    <x v="5"/>
    <x v="177"/>
    <s v="Arte Nativo"/>
    <x v="0"/>
    <s v="APACHETA publicado el 9/08 - 25/08- carabajal + cuatro cuerdas"/>
    <x v="172"/>
    <s v="Editorial Comercial - Jujuy"/>
    <x v="0"/>
    <n v="3800.9"/>
    <x v="0"/>
    <x v="25"/>
    <s v="SU"/>
    <x v="15"/>
    <x v="0"/>
    <n v="3"/>
    <n v="13.433777777777777"/>
    <x v="0"/>
    <n v="13"/>
    <x v="35"/>
  </r>
  <r>
    <x v="5"/>
    <x v="178"/>
    <s v="Arte Nativo"/>
    <x v="0"/>
    <s v="APACHETA LA YUNTA"/>
    <x v="173"/>
    <s v="Editorial Comercial - Jujuy"/>
    <x v="2"/>
    <n v="3800.9"/>
    <x v="0"/>
    <x v="25"/>
    <m/>
    <x v="0"/>
    <x v="1"/>
    <n v="3"/>
    <n v="13.433777777777777"/>
    <x v="0"/>
    <n v="13"/>
    <x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206" firstHeaderRow="1" firstDataRow="1" firstDataCol="11"/>
  <pivotFields count="19">
    <pivotField axis="axisRow" compact="0" outline="0" showAll="0" defaultSubtotal="0">
      <items count="16">
        <item m="1" x="14"/>
        <item m="1" x="7"/>
        <item x="5"/>
        <item m="1" x="13"/>
        <item m="1" x="12"/>
        <item m="1" x="10"/>
        <item m="1" x="8"/>
        <item x="4"/>
        <item m="1" x="15"/>
        <item m="1" x="6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323"/>
        <item m="1" x="197"/>
        <item m="1" x="5074"/>
        <item m="1" x="5038"/>
        <item m="1" x="6906"/>
        <item m="1" x="3288"/>
        <item m="1" x="3929"/>
        <item m="1" x="6513"/>
        <item m="1" x="5956"/>
        <item m="1" x="2825"/>
        <item m="1" x="3230"/>
        <item m="1" x="6354"/>
        <item m="1" x="4867"/>
        <item m="1" x="311"/>
        <item m="1" x="6937"/>
        <item m="1" x="6962"/>
        <item m="1" x="1395"/>
        <item m="1" x="4702"/>
        <item m="1" x="7547"/>
        <item m="1" x="456"/>
        <item m="1" x="6971"/>
        <item m="1" x="7306"/>
        <item m="1" x="4322"/>
        <item m="1" x="4564"/>
        <item m="1" x="1512"/>
        <item m="1" x="2716"/>
        <item m="1" x="6128"/>
        <item m="1" x="2461"/>
        <item m="1" x="6514"/>
        <item m="1" x="7663"/>
        <item m="1" x="5837"/>
        <item m="1" x="2173"/>
        <item m="1" x="535"/>
        <item m="1" x="7084"/>
        <item m="1" x="1218"/>
        <item m="1" x="3521"/>
        <item m="1" x="2913"/>
        <item m="1" x="2476"/>
        <item m="1" x="7104"/>
        <item m="1" x="4323"/>
        <item m="1" x="7124"/>
        <item m="1" x="7830"/>
        <item m="1" x="7804"/>
        <item m="1" x="2108"/>
        <item m="1" x="5334"/>
        <item m="1" x="6490"/>
        <item m="1" x="1026"/>
        <item m="1" x="1660"/>
        <item m="1" x="4376"/>
        <item m="1" x="4819"/>
        <item m="1" x="4547"/>
        <item m="1" x="7673"/>
        <item m="1" x="2299"/>
        <item m="1" x="4427"/>
        <item m="1" x="7747"/>
        <item m="1" x="7829"/>
        <item m="1" x="5895"/>
        <item m="1" x="2150"/>
        <item m="1" x="607"/>
        <item m="1" x="6532"/>
        <item m="1" x="1919"/>
        <item m="1" x="282"/>
        <item m="1" x="6090"/>
        <item m="1" x="1304"/>
        <item m="1" x="7720"/>
        <item m="1" x="5845"/>
        <item m="1" x="5342"/>
        <item m="1" x="1007"/>
        <item m="1" x="583"/>
        <item m="1" x="1057"/>
        <item m="1" x="1896"/>
        <item m="1" x="2847"/>
        <item m="1" x="1640"/>
        <item m="1" x="2520"/>
        <item m="1" x="3575"/>
        <item m="1" x="7831"/>
        <item m="1" x="536"/>
        <item m="1" x="856"/>
        <item m="1" x="2873"/>
        <item m="1" x="1692"/>
        <item m="1" x="2538"/>
        <item m="1" x="3654"/>
        <item m="1" x="5460"/>
        <item m="1" x="7418"/>
        <item m="1" x="2905"/>
        <item m="1" x="1305"/>
        <item m="1" x="2521"/>
        <item m="1" x="1439"/>
        <item m="1" x="4884"/>
        <item m="1" x="2240"/>
        <item m="1" x="2202"/>
        <item m="1" x="3001"/>
        <item m="1" x="1939"/>
        <item m="1" x="3676"/>
        <item m="1" x="2826"/>
        <item m="1" x="5678"/>
        <item m="1" x="7021"/>
        <item m="1" x="5428"/>
        <item m="1" x="2958"/>
        <item m="1" x="5189"/>
        <item m="1" x="5727"/>
        <item m="1" x="7143"/>
        <item m="1" x="7144"/>
        <item m="1" x="313"/>
        <item m="1" x="2563"/>
        <item m="1" x="3655"/>
        <item m="1" x="5763"/>
        <item m="1" x="6303"/>
        <item m="1" x="5498"/>
        <item m="1" x="3000"/>
        <item m="1" x="1751"/>
        <item m="1" x="4015"/>
        <item m="1" x="7877"/>
        <item m="1" x="441"/>
        <item m="1" x="6753"/>
        <item m="1" x="4048"/>
        <item m="1" x="4659"/>
        <item m="1" x="4922"/>
        <item m="1" x="3388"/>
        <item m="1" x="4120"/>
        <item m="1" x="5219"/>
        <item m="1" x="7188"/>
        <item m="1" x="7918"/>
        <item m="1" x="3405"/>
        <item m="1" x="4978"/>
        <item m="1" x="3020"/>
        <item m="1" x="1470"/>
        <item m="1" x="5175"/>
        <item m="1" x="7291"/>
        <item m="1" x="2327"/>
        <item m="1" x="5728"/>
        <item m="1" x="5710"/>
        <item m="1" x="3041"/>
        <item m="1" x="4773"/>
        <item m="1" x="2405"/>
        <item m="1" x="5256"/>
        <item m="1" x="6957"/>
        <item m="1" x="5190"/>
        <item m="1" x="7636"/>
        <item m="1" x="2058"/>
        <item m="1" x="5793"/>
        <item m="1" x="5499"/>
        <item m="1" x="6338"/>
        <item m="1" x="4923"/>
        <item m="1" x="7221"/>
        <item m="1" x="6674"/>
        <item m="1" x="3042"/>
        <item m="1" x="5810"/>
        <item m="1" x="3095"/>
        <item m="1" x="7263"/>
        <item m="1" x="3096"/>
        <item m="1" x="3786"/>
        <item m="1" x="3469"/>
        <item m="1" x="6446"/>
        <item m="1" x="7069"/>
        <item m="1" x="4085"/>
        <item m="1" x="4166"/>
        <item m="1" x="4660"/>
        <item m="1" x="3717"/>
        <item m="1" x="7603"/>
        <item m="1" x="5811"/>
        <item m="1" x="4165"/>
        <item m="1" x="4794"/>
        <item m="1" x="5293"/>
        <item m="1" x="2732"/>
        <item m="1" x="5922"/>
        <item m="1" x="5533"/>
        <item m="1" x="3143"/>
        <item m="1" x="4709"/>
        <item m="1" x="3741"/>
        <item m="1" x="7977"/>
        <item m="1" x="2253"/>
        <item m="1" x="2861"/>
        <item m="1" x="3877"/>
        <item m="1" x="469"/>
        <item m="1" x="6798"/>
        <item m="1" x="4084"/>
        <item m="1" x="4697"/>
        <item m="1" x="4402"/>
        <item m="1" x="5851"/>
        <item m="1" x="7129"/>
        <item m="1" x="2406"/>
        <item m="1" x="3121"/>
        <item m="1" x="3144"/>
        <item m="1" x="4232"/>
        <item m="1" x="7155"/>
        <item m="1" x="5326"/>
        <item m="1" x="3855"/>
        <item m="1" x="7335"/>
        <item m="1" x="5257"/>
        <item m="1" x="6158"/>
        <item m="1" x="6469"/>
        <item m="1" x="3949"/>
        <item m="1" x="4492"/>
        <item m="1" x="623"/>
        <item m="1" x="5206"/>
        <item m="1" x="7794"/>
        <item m="1" x="6842"/>
        <item m="1" x="5327"/>
        <item m="1" x="7489"/>
        <item m="1" x="7425"/>
        <item m="1" x="280"/>
        <item m="1" x="7327"/>
        <item m="1" x="2143"/>
        <item m="1" x="4734"/>
        <item m="1" x="2784"/>
        <item m="1" x="3145"/>
        <item m="1" x="4147"/>
        <item m="1" x="2167"/>
        <item m="1" x="3175"/>
        <item m="1" x="3856"/>
        <item m="1" x="4759"/>
        <item m="1" x="6183"/>
        <item m="1" x="2425"/>
        <item m="1" x="1885"/>
        <item m="1" x="779"/>
        <item m="1" x="6470"/>
        <item m="1" x="5343"/>
        <item m="1" x="5963"/>
        <item m="1" x="1404"/>
        <item m="1" x="2833"/>
        <item m="1" x="1974"/>
        <item m="1" x="3173"/>
        <item m="1" x="7835"/>
        <item m="1" x="1265"/>
        <item m="1" x="5534"/>
        <item m="1" x="2515"/>
        <item m="1" x="1890"/>
        <item m="1" x="5812"/>
        <item m="1" x="1097"/>
        <item m="1" x="1957"/>
        <item m="1" x="1280"/>
        <item m="1" x="4513"/>
        <item m="1" x="881"/>
        <item m="1" x="2272"/>
        <item m="1" x="4575"/>
        <item m="1" x="1521"/>
        <item m="1" x="7769"/>
        <item m="1" x="6884"/>
        <item m="1" x="4285"/>
        <item m="1" x="5359"/>
        <item m="1" x="595"/>
        <item m="1" x="346"/>
        <item m="1" x="3785"/>
        <item m="1" x="2972"/>
        <item m="1" x="1932"/>
        <item m="1" x="612"/>
        <item m="1" x="500"/>
        <item m="1" x="7185"/>
        <item m="1" x="882"/>
        <item m="1" x="5940"/>
        <item m="1" x="5400"/>
        <item m="1" x="7890"/>
        <item m="1" x="868"/>
        <item m="1" x="5885"/>
        <item m="1" x="1707"/>
        <item m="1" x="4218"/>
        <item m="1" x="7208"/>
        <item m="1" x="1098"/>
        <item m="1" x="5443"/>
        <item m="1" x="713"/>
        <item m="1" x="6958"/>
        <item m="1" x="1958"/>
        <item m="1" x="636"/>
        <item m="1" x="6499"/>
        <item m="1" x="908"/>
        <item m="1" x="1422"/>
        <item m="1" x="4082"/>
        <item m="1" x="7075"/>
        <item m="1" x="2032"/>
        <item m="1" x="3424"/>
        <item m="1" x="3754"/>
        <item m="1" x="7551"/>
        <item m="1" x="3455"/>
        <item m="1" x="920"/>
        <item m="1" x="883"/>
        <item m="1" x="1405"/>
        <item m="1" x="7239"/>
        <item m="1" x="4599"/>
        <item m="1" x="393"/>
        <item m="1" x="3876"/>
        <item m="1" x="3398"/>
        <item m="1" x="1206"/>
        <item m="1" x="1338"/>
        <item m="1" x="949"/>
        <item m="1" x="1200"/>
        <item m="1" x="2578"/>
        <item m="1" x="714"/>
        <item m="1" x="2649"/>
        <item m="1" x="921"/>
        <item m="1" x="1201"/>
        <item m="1" x="3084"/>
        <item m="1" x="1461"/>
        <item m="1" x="1180"/>
        <item m="1" x="1849"/>
        <item m="1" x="1571"/>
        <item m="1" x="693"/>
        <item m="1" x="429"/>
        <item m="1" x="3085"/>
        <item m="1" x="2399"/>
        <item m="1" x="3626"/>
        <item m="1" x="4114"/>
        <item m="1" x="1620"/>
        <item m="1" x="2710"/>
        <item m="1" x="1579"/>
        <item m="1" x="3793"/>
        <item m="1" x="3231"/>
        <item m="1" x="7110"/>
        <item m="1" x="6785"/>
        <item m="1" x="6453"/>
        <item m="1" x="2128"/>
        <item m="1" x="1250"/>
        <item m="1" x="6860"/>
        <item m="1" x="5028"/>
        <item m="1" x="2161"/>
        <item m="1" x="4457"/>
        <item m="1" x="3908"/>
        <item m="1" x="6207"/>
        <item m="1" x="1842"/>
        <item m="1" x="5618"/>
        <item m="1" x="1557"/>
        <item m="1" x="2448"/>
        <item m="1" x="4600"/>
        <item m="1" x="1266"/>
        <item m="1" x="3841"/>
        <item m="1" x="5298"/>
        <item m="1" x="5619"/>
        <item m="1" x="1821"/>
        <item m="1" x="2739"/>
        <item m="1" x="4443"/>
        <item m="1" x="3129"/>
        <item m="1" x="6483"/>
        <item m="1" x="6316"/>
        <item m="1" x="5330"/>
        <item m="1" x="3955"/>
        <item m="1" x="7158"/>
        <item m="1" x="1281"/>
        <item m="1" x="7429"/>
        <item m="1" x="6838"/>
        <item m="1" x="6910"/>
        <item m="1" x="3536"/>
        <item m="1" x="5946"/>
        <item m="1" x="4524"/>
        <item m="1" x="7885"/>
        <item m="1" x="7813"/>
        <item m="1" x="4219"/>
        <item m="1" x="3272"/>
        <item m="1" x="3885"/>
        <item m="1" x="3992"/>
        <item m="1" x="3974"/>
        <item m="1" x="3956"/>
        <item m="1" x="2516"/>
        <item m="1" x="5107"/>
        <item m="1" x="3213"/>
        <item m="1" x="5364"/>
        <item m="1" x="6208"/>
        <item m="1" x="3299"/>
        <item m="1" x="5050"/>
        <item m="1" x="5348"/>
        <item m="1" x="4576"/>
        <item m="1" x="5119"/>
        <item m="1" x="6008"/>
        <item m="1" x="3233"/>
        <item m="1" x="1656"/>
        <item m="1" x="2558"/>
        <item m="1" x="3250"/>
        <item m="1" x="7157"/>
        <item m="1" x="7928"/>
        <item m="1" x="7159"/>
        <item m="1" x="2493"/>
        <item m="1" x="5603"/>
        <item m="1" x="3993"/>
        <item m="1" x="4856"/>
        <item m="1" x="5365"/>
        <item m="1" x="6229"/>
        <item m="1" x="4601"/>
        <item m="1" x="5383"/>
        <item m="1" x="5724"/>
        <item m="1" x="2012"/>
        <item m="1" x="4538"/>
        <item m="1" x="5152"/>
        <item m="1" x="7467"/>
        <item m="1" x="5132"/>
        <item m="1" x="3313"/>
        <item m="1" x="6907"/>
        <item m="1" x="4030"/>
        <item m="1" x="6540"/>
        <item m="1" x="5651"/>
        <item m="1" x="7929"/>
        <item m="1" x="5652"/>
        <item m="1" x="6504"/>
        <item m="1" x="5620"/>
        <item m="1" x="5925"/>
        <item m="1" x="4180"/>
        <item m="1" x="5672"/>
        <item m="1" x="7487"/>
        <item m="1" x="6355"/>
        <item m="1" x="1915"/>
        <item m="1" x="2579"/>
        <item m="1" x="5153"/>
        <item m="1" x="4555"/>
        <item m="1" x="534"/>
        <item m="1" x="2789"/>
        <item m="1" x="3184"/>
        <item m="1" x="6370"/>
        <item m="1" x="275"/>
        <item m="1" x="6228"/>
        <item m="1" x="6786"/>
        <item m="1" x="5173"/>
        <item m="1" x="5673"/>
        <item m="1" x="7342"/>
        <item m="1" x="6604"/>
        <item m="1" x="7248"/>
        <item m="1" x="7624"/>
        <item m="1" x="7905"/>
        <item m="1" x="5759"/>
        <item m="1" x="6951"/>
        <item m="1" x="3692"/>
        <item m="1" x="5447"/>
        <item m="1" x="1406"/>
        <item m="1" x="6301"/>
        <item m="1" x="6047"/>
        <item m="1" x="3787"/>
        <item m="1" x="6074"/>
        <item m="1" x="207"/>
        <item m="1" x="2357"/>
        <item m="1" x="223"/>
        <item m="1" x="748"/>
        <item m="1" x="5442"/>
        <item m="1" x="1522"/>
        <item m="1" x="7318"/>
        <item m="1" x="7195"/>
        <item m="1" x="7234"/>
        <item m="1" x="222"/>
        <item m="1" x="3762"/>
        <item m="1" x="1229"/>
        <item m="1" x="2144"/>
        <item m="1" x="5420"/>
        <item m="1" x="3062"/>
        <item m="1" x="3532"/>
        <item m="1" x="2842"/>
        <item m="1" x="3232"/>
        <item m="1" x="7196"/>
        <item m="1" x="1167"/>
        <item m="1" x="2193"/>
        <item m="1" x="1815"/>
        <item m="1" x="4471"/>
        <item m="1" x="7273"/>
        <item m="1" x="2785"/>
        <item m="1" x="190"/>
        <item m="1" x="5205"/>
        <item m="1" x="7706"/>
        <item m="1" x="818"/>
        <item m="1" x="1593"/>
        <item m="1" x="7961"/>
        <item m="1" x="2388"/>
        <item m="1" x="3788"/>
        <item m="1" x="6730"/>
        <item m="1" x="6985"/>
        <item m="1" x="2969"/>
        <item m="1" x="3709"/>
        <item m="1" x="4594"/>
        <item m="1" x="850"/>
        <item m="1" x="1632"/>
        <item m="1" x="208"/>
        <item m="1" x="737"/>
        <item m="1" x="780"/>
        <item m="1" x="635"/>
        <item m="1" x="360"/>
        <item m="1" x="392"/>
        <item m="1" x="259"/>
        <item m="1" x="6334"/>
        <item m="1" x="681"/>
        <item m="1" x="4353"/>
        <item m="1" x="224"/>
        <item m="1" x="3878"/>
        <item m="1" x="934"/>
        <item m="1" x="1292"/>
        <item m="1" x="2169"/>
        <item m="1" x="1335"/>
        <item m="1" x="2805"/>
        <item m="1" x="2168"/>
        <item m="1" x="3903"/>
        <item m="1" x="7029"/>
        <item m="1" x="6744"/>
        <item m="1" x="509"/>
        <item m="1" x="1036"/>
        <item m="1" x="2426"/>
        <item m="1" x="801"/>
        <item m="1" x="3122"/>
        <item m="1" x="7272"/>
        <item m="1" x="7232"/>
        <item m="1" x="6963"/>
        <item m="1" x="1541"/>
        <item m="1" x="994"/>
        <item m="1" x="5758"/>
        <item m="1" x="7978"/>
        <item m="1" x="7307"/>
        <item m="1" x="782"/>
        <item m="1" x="238"/>
        <item m="1" x="2896"/>
        <item m="1" x="3271"/>
        <item m="1" x="7233"/>
        <item m="1" x="7341"/>
        <item m="1" x="291"/>
        <item m="1" x="1017"/>
        <item m="1" x="5234"/>
        <item m="1" x="6125"/>
        <item m="1" x="5480"/>
        <item m="1" x="3205"/>
        <item m="1" x="1354"/>
        <item m="1" x="7672"/>
        <item m="1" x="7077"/>
        <item m="1" x="7430"/>
        <item m="1" x="722"/>
        <item m="1" x="260"/>
        <item m="1" x="802"/>
        <item m="1" x="7000"/>
        <item m="1" x="1293"/>
        <item m="1" x="2862"/>
        <item m="1" x="3926"/>
        <item m="1" x="6857"/>
        <item m="1" x="865"/>
        <item m="1" x="533"/>
        <item m="1" x="7379"/>
        <item m="1" x="3592"/>
        <item m="1" x="783"/>
        <item m="1" x="7141"/>
        <item m="1" x="5794"/>
        <item m="1" x="1906"/>
        <item m="1" x="4507"/>
        <item m="1" x="1603"/>
        <item m="1" x="2946"/>
        <item m="1" x="6230"/>
        <item m="1" x="7111"/>
        <item m="1" x="6209"/>
        <item m="1" x="340"/>
        <item m="1" x="571"/>
        <item m="1" x="2921"/>
        <item m="1" x="819"/>
        <item m="1" x="1853"/>
        <item m="1" x="2009"/>
        <item m="1" x="3989"/>
        <item m="1" x="2512"/>
        <item m="1" x="3970"/>
        <item m="1" x="6787"/>
        <item m="1" x="7841"/>
        <item m="1" x="391"/>
        <item m="1" x="835"/>
        <item m="1" x="1381"/>
        <item m="1" x="7407"/>
        <item m="1" x="6765"/>
        <item m="1" x="820"/>
        <item m="1" x="2044"/>
        <item m="1" x="293"/>
        <item m="1" x="7719"/>
        <item m="1" x="3293"/>
        <item m="1" x="1050"/>
        <item m="1" x="230"/>
        <item m="1" x="851"/>
        <item m="1" x="2283"/>
        <item m="1" x="2084"/>
        <item m="1" x="1940"/>
        <item m="1" x="747"/>
        <item m="1" x="292"/>
        <item m="1" x="7340"/>
        <item m="1" x="3576"/>
        <item m="1" x="2848"/>
        <item m="1" x="3120"/>
        <item m="1" x="5515"/>
        <item m="1" x="5220"/>
        <item m="1" x="7204"/>
        <item m="1" x="4891"/>
        <item m="1" x="2176"/>
        <item m="1" x="6930"/>
        <item m="1" x="2554"/>
        <item m="1" x="4242"/>
        <item m="1" x="4826"/>
        <item m="1" x="4840"/>
        <item m="1" x="5352"/>
        <item m="1" x="4317"/>
        <item m="1" x="7160"/>
        <item m="1" x="5430"/>
        <item m="1" x="6065"/>
        <item m="1" x="6858"/>
        <item m="1" x="7604"/>
        <item m="1" x="3369"/>
        <item m="1" x="4944"/>
        <item m="1" x="1122"/>
        <item m="1" x="2223"/>
        <item m="1" x="1712"/>
        <item m="1" x="5546"/>
        <item m="1" x="3021"/>
        <item m="1" x="4049"/>
        <item m="1" x="6977"/>
        <item m="1" x="5191"/>
        <item m="1" x="4066"/>
        <item m="1" x="7015"/>
        <item m="1" x="7780"/>
        <item m="1" x="4423"/>
        <item m="1" x="3699"/>
        <item m="1" x="6655"/>
        <item m="1" x="4334"/>
        <item m="1" x="781"/>
        <item m="1" x="322"/>
        <item m="1" x="5992"/>
        <item m="1" x="7637"/>
        <item m="1" x="3742"/>
        <item m="1" x="6066"/>
        <item m="1" x="5485"/>
        <item m="1" x="3002"/>
        <item m="1" x="7240"/>
        <item m="1" x="1151"/>
        <item m="1" x="2358"/>
        <item m="1" x="2678"/>
        <item m="1" x="3718"/>
        <item m="1" x="3063"/>
        <item m="1" x="4993"/>
        <item m="1" x="5781"/>
        <item m="1" x="5535"/>
        <item m="1" x="6385"/>
        <item m="1" x="4361"/>
        <item m="1" x="2263"/>
        <item m="1" x="566"/>
        <item m="1" x="4294"/>
        <item m="1" x="4863"/>
        <item m="1" x="4880"/>
        <item m="1" x="5391"/>
        <item m="1" x="5029"/>
        <item m="1" x="6083"/>
        <item m="1" x="3097"/>
        <item m="1" x="7348"/>
        <item m="1" x="7758"/>
        <item m="1" x="1064"/>
        <item m="1" x="4735"/>
        <item m="1" x="4979"/>
        <item m="1" x="2652"/>
        <item m="1" x="7062"/>
        <item m="1" x="7828"/>
        <item m="1" x="4945"/>
        <item m="1" x="4957"/>
        <item m="1" x="5486"/>
        <item m="1" x="6635"/>
        <item m="1" x="1187"/>
        <item m="1" x="2059"/>
        <item m="1" x="3043"/>
        <item m="1" x="1816"/>
        <item m="1" x="5500"/>
        <item m="1" x="3836"/>
        <item m="1" x="6740"/>
        <item m="1" x="4086"/>
        <item m="1" x="5258"/>
        <item m="1" x="7729"/>
        <item m="1" x="4451"/>
        <item m="1" x="3064"/>
        <item m="1" x="390"/>
        <item m="1" x="6037"/>
        <item m="1" x="5064"/>
        <item m="1" x="4980"/>
        <item m="1" x="2407"/>
        <item m="1" x="5277"/>
        <item m="1" x="5063"/>
        <item m="1" x="4508"/>
        <item m="1" x="6386"/>
        <item m="1" x="4760"/>
        <item m="1" x="6084"/>
        <item m="1" x="6636"/>
        <item m="1" x="4167"/>
        <item m="1" x="3763"/>
        <item m="1" x="5360"/>
        <item m="1" x="7349"/>
        <item m="1" x="3857"/>
        <item m="1" x="6137"/>
        <item m="1" x="4981"/>
        <item m="1" x="5010"/>
        <item m="1" x="3879"/>
        <item m="1" x="5444"/>
        <item m="1" x="4552"/>
        <item m="1" x="5344"/>
        <item m="1" x="565"/>
        <item m="1" x="5573"/>
        <item m="1" x="3206"/>
        <item m="1" x="4909"/>
        <item m="1" x="5429"/>
        <item m="1" x="5091"/>
        <item m="1" x="4452"/>
        <item m="1" x="5615"/>
        <item m="1" x="3927"/>
        <item m="1" x="1600"/>
        <item m="1" x="6761"/>
        <item m="1" x="5572"/>
        <item m="1" x="2197"/>
        <item m="1" x="5046"/>
        <item m="1" x="7103"/>
        <item m="1" x="7876"/>
        <item m="1" x="2517"/>
        <item m="1" x="1933"/>
        <item m="1" x="6731"/>
        <item m="1" x="6474"/>
        <item m="1" x="5117"/>
        <item m="1" x="3810"/>
        <item m="1" x="5082"/>
        <item m="1" x="7770"/>
        <item m="1" x="596"/>
        <item m="1" x="613"/>
        <item m="1" x="1580"/>
        <item m="1" x="1135"/>
        <item m="1" x="1669"/>
        <item m="1" x="895"/>
        <item m="1" x="1639"/>
        <item m="1" x="4943"/>
        <item m="1" x="5470"/>
        <item m="1" x="1651"/>
        <item m="1" x="2867"/>
        <item m="1" x="1113"/>
        <item m="1" x="1978"/>
        <item m="1" x="1158"/>
        <item m="1" x="1708"/>
        <item m="1" x="7820"/>
        <item m="1" x="6819"/>
        <item m="1" x="7891"/>
        <item m="1" x="5146"/>
        <item m="1" x="1202"/>
        <item m="1" x="1746"/>
        <item m="1" x="2073"/>
        <item m="1" x="5105"/>
        <item m="1" x="1670"/>
        <item m="1" x="7142"/>
        <item m="1" x="7917"/>
        <item m="1" x="637"/>
        <item m="1" x="1720"/>
        <item m="1" x="1759"/>
        <item m="1" x="1240"/>
        <item m="1" x="7453"/>
        <item m="1" x="614"/>
        <item m="1" x="1652"/>
        <item m="1" x="2273"/>
        <item m="1" x="2994"/>
        <item m="1" x="1071"/>
        <item m="1" x="3574"/>
        <item m="1" x="638"/>
        <item m="1" x="1850"/>
        <item m="1" x="2256"/>
        <item m="1" x="909"/>
        <item m="1" x="376"/>
        <item m="1" x="597"/>
        <item m="1" x="1721"/>
        <item m="1" x="2973"/>
        <item m="1" x="3670"/>
        <item m="1" x="2673"/>
        <item m="1" x="675"/>
        <item m="1" x="2310"/>
        <item m="1" x="1879"/>
        <item m="1" x="3713"/>
        <item m="1" x="6978"/>
        <item m="1" x="7935"/>
        <item m="1" x="1747"/>
        <item m="1" x="3736"/>
        <item m="1" x="1994"/>
        <item m="1" x="6861"/>
        <item m="1" x="5130"/>
        <item m="1" x="1791"/>
        <item m="1" x="625"/>
        <item m="1" x="734"/>
        <item m="1" x="2947"/>
        <item m="1" x="1134"/>
        <item m="1" x="1760"/>
        <item m="1" x="1497"/>
        <item m="1" x="2337"/>
        <item m="1" x="2051"/>
        <item m="1" x="3086"/>
        <item m="1" x="7510"/>
        <item m="1" x="394"/>
        <item m="1" x="7552"/>
        <item m="1" x="943"/>
        <item m="1" x="716"/>
        <item m="1" x="3850"/>
        <item m="1" x="7044"/>
        <item m="1" x="655"/>
        <item m="1" x="431"/>
        <item m="1" x="798"/>
        <item m="1" x="6979"/>
        <item m="1" x="1776"/>
        <item m="1" x="676"/>
        <item m="1" x="1159"/>
        <item m="1" x="981"/>
        <item m="1" x="799"/>
        <item m="1" x="4399"/>
        <item m="1" x="235"/>
        <item m="1" x="7976"/>
        <item m="1" x="674"/>
        <item m="1" x="2338"/>
        <item m="1" x="7909"/>
        <item m="1" x="1146"/>
        <item m="1" x="3756"/>
        <item m="1" x="7579"/>
        <item m="1" x="4489"/>
        <item m="1" x="5180"/>
        <item m="1" x="1758"/>
        <item m="1" x="2052"/>
        <item m="1" x="3776"/>
        <item m="1" x="827"/>
        <item m="1" x="1709"/>
        <item m="1" x="2539"/>
        <item m="1" x="7605"/>
        <item m="1" x="1147"/>
        <item m="1" x="849"/>
        <item m="1" x="742"/>
        <item m="1" x="1680"/>
        <item m="1" x="3087"/>
        <item m="1" x="423"/>
        <item m="1" x="4448"/>
        <item m="1" x="7089"/>
        <item m="1" x="3851"/>
        <item m="1" x="1843"/>
        <item m="1" x="2431"/>
        <item m="1" x="1785"/>
        <item m="1" x="2753"/>
        <item m="1" x="4742"/>
        <item m="1" x="2885"/>
        <item m="1" x="3088"/>
        <item m="1" x="3755"/>
        <item m="1" x="4903"/>
        <item m="1" x="6788"/>
        <item m="1" x="1810"/>
        <item m="1" x="7449"/>
        <item m="1" x="6166"/>
        <item m="1" x="6423"/>
        <item m="1" x="5820"/>
        <item m="1" x="5313"/>
        <item m="1" x="5838"/>
        <item m="1" x="3909"/>
        <item m="1" x="7097"/>
        <item m="1" x="3777"/>
        <item m="1" x="3775"/>
        <item m="1" x="5839"/>
        <item m="1" x="2432"/>
        <item m="1" x="3957"/>
        <item m="1" x="1282"/>
        <item m="1" x="2494"/>
        <item m="1" x="1857"/>
        <item m="1" x="5108"/>
        <item m="1" x="3886"/>
        <item m="1" x="1790"/>
        <item m="1" x="1851"/>
        <item m="1" x="3537"/>
        <item m="1" x="2473"/>
        <item m="1" x="185"/>
        <item m="1" x="2365"/>
        <item m="1" x="7966"/>
        <item m="1" x="5604"/>
        <item m="1" x="3183"/>
        <item m="1" x="2988"/>
        <item m="1" x="2763"/>
        <item m="1" x="5872"/>
        <item m="1" x="5405"/>
        <item m="1" x="5888"/>
        <item m="1" x="5707"/>
        <item m="1" x="3515"/>
        <item m="1" x="4370"/>
        <item m="1" x="4556"/>
        <item m="1" x="3251"/>
        <item m="1" x="3314"/>
        <item m="1" x="5987"/>
        <item m="1" x="1880"/>
        <item m="1" x="1203"/>
        <item m="1" x="3930"/>
        <item m="1" x="3832"/>
        <item m="1" x="3958"/>
        <item m="1" x="5621"/>
        <item m="1" x="919"/>
        <item m="1" x="3804"/>
        <item m="1" x="5314"/>
        <item m="1" x="4577"/>
        <item m="1" x="3300"/>
        <item m="1" x="2495"/>
        <item m="1" x="5120"/>
        <item m="1" x="3994"/>
        <item m="1" x="4955"/>
        <item m="1" x="5674"/>
        <item m="1" x="6565"/>
        <item m="1" x="6282"/>
        <item m="1" x="1834"/>
        <item m="1" x="4857"/>
        <item m="1" x="4602"/>
        <item m="1" x="3301"/>
        <item m="1" x="6605"/>
        <item m="1" x="1925"/>
        <item m="1" x="7861"/>
        <item m="1" x="218"/>
        <item m="1" x="2400"/>
        <item m="1" x="5639"/>
        <item m="1" x="6908"/>
        <item m="1" x="3566"/>
        <item m="1" x="5545"/>
        <item m="1" x="6009"/>
        <item m="1" x="6631"/>
        <item m="1" x="4331"/>
        <item m="1" x="5725"/>
        <item m="1" x="7287"/>
        <item m="1" x="2597"/>
        <item m="1" x="3333"/>
        <item m="1" x="1362"/>
        <item m="1" x="3334"/>
        <item m="1" x="6669"/>
        <item m="1" x="2674"/>
        <item m="1" x="5743"/>
        <item m="1" x="1979"/>
        <item m="1" x="5421"/>
        <item m="1" x="6713"/>
        <item m="1" x="3693"/>
        <item m="1" x="6678"/>
        <item m="1" x="1969"/>
        <item m="1" x="4239"/>
        <item m="1" x="7288"/>
        <item m="1" x="1924"/>
        <item m="1" x="5133"/>
        <item m="1" x="5947"/>
        <item m="1" x="1995"/>
        <item m="1" x="6566"/>
        <item m="1" x="5466"/>
        <item m="1" x="6031"/>
        <item m="1" x="6923"/>
        <item m="1" x="6619"/>
        <item m="1" x="7571"/>
        <item m="1" x="608"/>
        <item m="1" x="1704"/>
        <item m="1" x="5988"/>
        <item m="1" x="4312"/>
        <item m="1" x="4888"/>
        <item m="1" x="3868"/>
        <item m="1" x="7264"/>
        <item m="1" x="4031"/>
        <item m="1" x="6754"/>
        <item m="1" x="1504"/>
        <item m="1" x="5023"/>
        <item m="1" x="7299"/>
        <item m="1" x="1782"/>
        <item m="1" x="924"/>
        <item m="1" x="7300"/>
        <item m="1" x="1207"/>
        <item m="1" x="860"/>
        <item m="1" x="6679"/>
        <item m="1" x="2076"/>
        <item m="1" x="6110"/>
        <item m="1" x="2424"/>
        <item m="1" x="4514"/>
        <item m="1" x="2786"/>
        <item m="1" x="1968"/>
        <item m="1" x="7324"/>
        <item m="1" x="414"/>
        <item m="1" x="6661"/>
        <item m="1" x="2706"/>
        <item m="1" x="2408"/>
        <item m="1" x="1407"/>
        <item m="1" x="5780"/>
        <item m="1" x="451"/>
        <item m="1" x="784"/>
        <item m="1" x="465"/>
        <item m="1" x="3015"/>
        <item m="1" x="6704"/>
        <item m="1" x="3921"/>
        <item m="1" x="7336"/>
        <item m="1" x="4418"/>
        <item m="1" x="3341"/>
        <item m="1" x="239"/>
        <item m="1" x="2513"/>
        <item m="1" x="4060"/>
        <item m="1" x="306"/>
        <item m="1" x="803"/>
        <item m="1" x="430"/>
        <item m="1" x="3511"/>
        <item m="1" x="6745"/>
        <item m="1" x="6703"/>
        <item m="1" x="2863"/>
        <item m="1" x="341"/>
        <item m="1" x="524"/>
        <item m="1" x="307"/>
        <item m="1" x="2834"/>
        <item m="1" x="374"/>
        <item m="1" x="323"/>
        <item m="1" x="1887"/>
        <item m="1" x="5706"/>
        <item m="1" x="7707"/>
        <item m="1" x="356"/>
        <item m="1" x="545"/>
        <item m="1" x="308"/>
        <item m="1" x="1037"/>
        <item m="1" x="836"/>
        <item m="1" x="3621"/>
        <item m="1" x="407"/>
        <item m="1" x="562"/>
        <item m="1" x="1951"/>
        <item m="1" x="7361"/>
        <item m="1" x="2959"/>
        <item m="1" x="1076"/>
        <item m="1" x="1444"/>
        <item m="1" x="442"/>
        <item m="1" x="5431"/>
        <item m="1" x="5807"/>
        <item m="1" x="3565"/>
        <item m="1" x="5695"/>
        <item m="1" x="7372"/>
        <item m="1" x="4362"/>
        <item m="1" x="5451"/>
        <item m="1" x="2922"/>
        <item m="1" x="3484"/>
        <item m="1" x="470"/>
        <item m="1" x="624"/>
        <item m="1" x="7247"/>
        <item m="1" x="1523"/>
        <item m="1" x="1941"/>
        <item m="1" x="3339"/>
        <item m="1" x="2540"/>
        <item m="1" x="2313"/>
        <item m="1" x="501"/>
        <item m="1" x="5782"/>
        <item m="1" x="5471"/>
        <item m="1" x="2581"/>
        <item m="1" x="3320"/>
        <item m="1" x="3003"/>
        <item m="1" x="4623"/>
        <item m="1" x="7580"/>
        <item m="1" x="3370"/>
        <item m="1" x="689"/>
        <item m="1" x="2291"/>
        <item m="1" x="5501"/>
        <item m="1" x="4958"/>
        <item m="1" x="5536"/>
        <item m="1" x="2060"/>
        <item m="1" x="7328"/>
        <item m="1" x="5502"/>
        <item m="1" x="715"/>
        <item m="1" x="5742"/>
        <item m="1" x="7763"/>
        <item m="1" x="3371"/>
        <item m="1" x="753"/>
        <item m="1" x="6085"/>
        <item m="1" x="7702"/>
        <item m="1" x="7393"/>
        <item m="1" x="5574"/>
        <item m="1" x="5764"/>
        <item m="1" x="5537"/>
        <item m="1" x="1795"/>
        <item m="1" x="1484"/>
        <item m="1" x="6831"/>
        <item m="1" x="5846"/>
        <item m="1" x="5600"/>
        <item m="1" x="4995"/>
        <item m="1" x="3837"/>
        <item m="1" x="5031"/>
        <item m="1" x="3146"/>
        <item m="1" x="3627"/>
        <item m="1" x="7408"/>
        <item m="1" x="2231"/>
        <item m="1" x="1559"/>
        <item m="1" x="5633"/>
        <item m="1" x="497"/>
        <item m="1" x="4067"/>
        <item m="1" x="4438"/>
        <item m="1" x="2912"/>
        <item m="1" x="7167"/>
        <item m="1" x="5554"/>
        <item m="1" x="7092"/>
        <item m="1" x="6721"/>
        <item m="1" x="1684"/>
        <item m="1" x="1299"/>
        <item m="1" x="6434"/>
        <item m="1" x="1653"/>
        <item m="1" x="2257"/>
        <item m="1" x="6771"/>
        <item m="1" x="598"/>
        <item m="1" x="1671"/>
        <item m="1" x="7433"/>
        <item m="1" x="2434"/>
        <item m="1" x="1319"/>
        <item m="1" x="4994"/>
        <item m="1" x="7415"/>
        <item m="1" x="626"/>
        <item m="1" x="4419"/>
        <item m="1" x="1980"/>
        <item m="1" x="5703"/>
        <item m="1" x="1099"/>
        <item m="1" x="694"/>
        <item m="1" x="5779"/>
        <item m="1" x="7814"/>
        <item m="1" x="327"/>
        <item m="1" x="6471"/>
        <item m="1" x="377"/>
        <item m="1" x="1385"/>
        <item m="1" x="869"/>
        <item m="1" x="2311"/>
        <item m="1" x="7553"/>
        <item m="1" x="6875"/>
        <item m="1" x="1685"/>
        <item m="1" x="7450"/>
        <item m="1" x="6843"/>
        <item m="1" x="6950"/>
        <item m="1" x="7205"/>
        <item m="1" x="7217"/>
        <item m="1" x="5880"/>
        <item m="1" x="409"/>
        <item m="1" x="1445"/>
        <item m="1" x="6879"/>
        <item m="1" x="1594"/>
        <item m="1" x="6571"/>
        <item m="1" x="5932"/>
        <item m="1" x="3350"/>
        <item m="1" x="5953"/>
        <item m="1" x="6546"/>
        <item m="1" x="7490"/>
        <item m="1" x="7910"/>
        <item m="1" x="4300"/>
        <item m="1" x="7491"/>
        <item m="1" x="532"/>
        <item m="1" x="6500"/>
        <item m="1" x="5030"/>
        <item m="1" x="1748"/>
        <item m="1" x="6852"/>
        <item m="1" x="6820"/>
        <item m="1" x="219"/>
        <item m="1" x="910"/>
        <item m="1" x="2092"/>
        <item m="1" x="3382"/>
        <item m="1" x="5210"/>
        <item m="1" x="1224"/>
        <item m="1" x="3477"/>
        <item m="1" x="5262"/>
        <item m="1" x="726"/>
        <item m="1" x="2162"/>
        <item m="1" x="1485"/>
        <item m="1" x="2074"/>
        <item m="1" x="2754"/>
        <item m="1" x="3199"/>
        <item m="1" x="5806"/>
        <item m="1" x="7862"/>
        <item m="1" x="257"/>
        <item m="1" x="6491"/>
        <item m="1" x="6422"/>
        <item m="1" x="2827"/>
        <item m="1" x="201"/>
        <item m="1" x="1881"/>
        <item m="1" x="2500"/>
        <item m="1" x="1133"/>
        <item m="1" x="5042"/>
        <item m="1" x="1562"/>
        <item m="1" x="2462"/>
        <item m="1" x="2937"/>
        <item m="1" x="7419"/>
        <item m="1" x="5335"/>
        <item m="1" x="3962"/>
        <item m="1" x="4972"/>
        <item m="1" x="6865"/>
        <item m="1" x="1275"/>
        <item m="1" x="3168"/>
        <item m="1" x="5024"/>
        <item m="1" x="6924"/>
        <item m="1" x="6702"/>
        <item m="1" x="6269"/>
        <item m="1" x="1633"/>
        <item m="1" x="5065"/>
        <item m="1" x="2989"/>
        <item m="1" x="5085"/>
        <item m="1" x="3833"/>
        <item m="1" x="7380"/>
        <item m="1" x="6214"/>
        <item m="1" x="6192"/>
        <item m="1" x="5413"/>
        <item m="1" x="1602"/>
        <item m="1" x="6178"/>
        <item m="1" x="7950"/>
        <item m="1" x="2188"/>
        <item m="1" x="3200"/>
        <item m="1" x="6179"/>
        <item m="1" x="6216"/>
        <item m="1" x="4152"/>
        <item m="1" x="1329"/>
        <item m="1" x="7495"/>
        <item m="1" x="4565"/>
        <item m="1" x="5137"/>
        <item m="1" x="6324"/>
        <item m="1" x="5936"/>
        <item m="1" x="6826"/>
        <item m="1" x="4900"/>
        <item m="1" x="5436"/>
        <item m="1" x="4020"/>
        <item m="1" x="5414"/>
        <item m="1" x="6847"/>
        <item m="1" x="5159"/>
        <item m="1" x="4883"/>
        <item m="1" x="6215"/>
        <item m="1" x="4629"/>
        <item m="1" x="5900"/>
        <item m="1" x="1396"/>
        <item m="1" x="5178"/>
        <item m="1" x="2639"/>
        <item m="1" x="7514"/>
        <item m="1" x="2104"/>
        <item m="1" x="3007"/>
        <item m="1" x="4914"/>
        <item m="1" x="4349"/>
        <item m="1" x="5226"/>
        <item m="1" x="7454"/>
        <item m="1" x="5138"/>
        <item m="1" x="2335"/>
        <item m="1" x="4949"/>
        <item m="1" x="5264"/>
        <item m="1" x="5751"/>
        <item m="1" x="6986"/>
        <item m="1" x="5211"/>
        <item m="1" x="581"/>
        <item m="1" x="4680"/>
        <item m="1" x="1413"/>
        <item m="1" x="4643"/>
        <item m="1" x="6892"/>
        <item m="1" x="7536"/>
        <item m="1" x="4002"/>
        <item m="1" x="3671"/>
        <item m="1" x="5530"/>
        <item m="1" x="7006"/>
        <item m="1" x="3799"/>
        <item m="1" x="5394"/>
        <item m="1" x="1548"/>
        <item m="1" x="4104"/>
        <item m="1" x="5374"/>
        <item m="1" x="2229"/>
        <item m="1" x="6825"/>
        <item m="1" x="6270"/>
        <item m="1" x="5769"/>
        <item m="1" x="6048"/>
        <item m="1" x="7948"/>
        <item m="1" x="2686"/>
        <item m="1" x="773"/>
        <item m="1" x="5768"/>
        <item m="1" x="7284"/>
        <item m="1" x="5752"/>
        <item m="1" x="5241"/>
        <item m="1" x="4762"/>
        <item m="1" x="247"/>
        <item m="1" x="5282"/>
        <item m="1" x="2740"/>
        <item m="1" x="5637"/>
        <item m="1" x="2621"/>
        <item m="1" x="2491"/>
        <item m="1" x="198"/>
        <item m="1" x="731"/>
        <item m="1" x="3161"/>
        <item m="1" x="2796"/>
        <item m="1" x="5315"/>
        <item m="1" x="2522"/>
        <item m="1" x="1604"/>
        <item m="1" x="1368"/>
        <item m="1" x="999"/>
        <item m="1" x="3934"/>
        <item m="1" x="744"/>
        <item m="1" x="4052"/>
        <item m="1" x="5461"/>
        <item m="1" x="1846"/>
        <item m="1" x="5197"/>
        <item m="1" x="513"/>
        <item m="1" x="1306"/>
        <item m="1" x="1582"/>
        <item m="1" x="2790"/>
        <item m="1" x="1219"/>
        <item m="1" x="6428"/>
        <item m="1" x="3892"/>
        <item m="1" x="2453"/>
        <item m="1" x="1549"/>
        <item m="1" x="2435"/>
        <item m="1" x="841"/>
        <item m="1" x="2203"/>
        <item m="1" x="4913"/>
        <item m="1" x="5886"/>
        <item m="1" x="3219"/>
        <item m="1" x="2874"/>
        <item m="1" x="7721"/>
        <item m="1" x="283"/>
        <item m="1" x="2264"/>
        <item m="1" x="2377"/>
        <item m="1" x="857"/>
        <item m="1" x="2454"/>
        <item m="1" x="1008"/>
        <item m="1" x="1897"/>
        <item m="1" x="4500"/>
        <item m="1" x="1043"/>
        <item m="1" x="2843"/>
        <item m="1" x="1641"/>
        <item m="1" x="3935"/>
        <item m="1" x="3281"/>
        <item m="1" x="330"/>
        <item m="1" x="7748"/>
        <item m="1" x="314"/>
        <item m="1" x="4543"/>
        <item m="1" x="7762"/>
        <item m="1" x="1058"/>
        <item m="1" x="3980"/>
        <item m="1" x="3913"/>
        <item m="1" x="2123"/>
        <item m="1" x="5476"/>
        <item m="1" x="461"/>
        <item m="1" x="2300"/>
        <item m="1" x="3660"/>
        <item m="1" x="4585"/>
        <item m="1" x="5112"/>
        <item m="1" x="6952"/>
        <item m="1" x="3259"/>
        <item m="1" x="299"/>
        <item m="1" x="351"/>
        <item m="1" x="584"/>
        <item m="1" x="894"/>
        <item m="1" x="3591"/>
        <item m="1" x="2897"/>
        <item m="1" x="3999"/>
        <item m="1" x="2277"/>
        <item m="1" x="6673"/>
        <item m="1" x="3321"/>
        <item m="1" x="5118"/>
        <item m="1" x="2582"/>
        <item m="1" x="4050"/>
        <item m="1" x="3979"/>
        <item m="1" x="4263"/>
        <item m="1" x="4091"/>
        <item m="1" x="5492"/>
        <item m="1" x="5225"/>
        <item m="1" x="4948"/>
        <item m="1" x="6597"/>
        <item m="1" x="2948"/>
        <item m="1" x="6684"/>
        <item m="1" x="4036"/>
        <item m="1" x="7267"/>
        <item m="1" x="7617"/>
        <item m="1" x="3666"/>
        <item m="1" x="4616"/>
        <item m="1" x="5773"/>
        <item m="1" x="2477"/>
        <item m="1" x="6053"/>
        <item m="1" x="5299"/>
        <item m="1" x="4705"/>
        <item m="1" x="4634"/>
        <item m="1" x="4087"/>
        <item m="1" x="5200"/>
        <item m="1" x="2344"/>
        <item m="1" x="2010"/>
        <item m="1" x="6598"/>
        <item m="1" x="4110"/>
        <item m="1" x="6393"/>
        <item m="1" x="7320"/>
        <item m="1" x="7034"/>
        <item m="1" x="6709"/>
        <item m="1" x="2045"/>
        <item m="1" x="2942"/>
        <item m="1" x="4986"/>
        <item m="1" x="7302"/>
        <item m="1" x="6941"/>
        <item m="1" x="2767"/>
        <item m="1" x="2417"/>
        <item m="1" x="5788"/>
        <item m="1" x="6647"/>
        <item m="1" x="3009"/>
        <item m="1" x="4094"/>
        <item m="1" x="1469"/>
        <item m="1" x="3784"/>
        <item m="1" x="3346"/>
        <item m="1" x="4043"/>
        <item m="1" x="2630"/>
        <item m="1" x="7578"/>
        <item m="1" x="4951"/>
        <item m="1" x="2923"/>
        <item m="1" x="5597"/>
        <item m="1" x="2614"/>
        <item m="1" x="3347"/>
        <item m="1" x="3282"/>
        <item m="1" x="7712"/>
        <item m="1" x="6054"/>
        <item m="1" x="4121"/>
        <item m="1" x="3440"/>
        <item m="1" x="6665"/>
        <item m="1" x="5019"/>
        <item m="1" x="5027"/>
        <item m="1" x="2717"/>
        <item m="1" x="5899"/>
        <item m="1" x="2369"/>
        <item m="1" x="6458"/>
        <item m="1" x="7713"/>
        <item m="1" x="5213"/>
        <item m="1" x="5229"/>
        <item m="1" x="5547"/>
        <item m="1" x="7359"/>
        <item m="1" x="4706"/>
        <item m="1" x="4938"/>
        <item m="1" x="4764"/>
        <item m="1" x="4714"/>
        <item m="1" x="4016"/>
        <item m="1" x="2409"/>
        <item m="1" x="4130"/>
        <item m="1" x="5526"/>
        <item m="1" x="5263"/>
        <item m="1" x="1528"/>
        <item m="1" x="4802"/>
        <item m="1" x="3493"/>
        <item m="1" x="6503"/>
        <item m="1" x="2445"/>
        <item m="1" x="4133"/>
        <item m="1" x="5244"/>
        <item m="1" x="3056"/>
        <item m="1" x="5266"/>
        <item m="1" x="6112"/>
        <item m="1" x="871"/>
        <item m="1" x="4989"/>
        <item m="1" x="5109"/>
        <item m="1" x="4803"/>
        <item m="1" x="4827"/>
        <item m="1" x="5825"/>
        <item m="1" x="6710"/>
        <item m="1" x="6821"/>
        <item m="1" x="5528"/>
        <item m="1" x="5286"/>
        <item m="1" x="4719"/>
        <item m="1" x="3474"/>
        <item m="1" x="4461"/>
        <item m="1" x="3893"/>
        <item m="1" x="3494"/>
        <item m="1" x="304"/>
        <item m="1" x="3902"/>
        <item m="1" x="6173"/>
        <item m="1" x="759"/>
        <item m="1" x="4134"/>
        <item m="1" x="5367"/>
        <item m="1" x="6782"/>
        <item m="1" x="1330"/>
        <item m="1" x="6439"/>
        <item m="1" x="1550"/>
        <item m="1" x="4484"/>
        <item m="1" x="7301"/>
        <item m="1" x="4892"/>
        <item m="1" x="5607"/>
        <item m="1" x="7481"/>
        <item m="1" x="2768"/>
        <item m="1" x="7101"/>
        <item m="1" x="6844"/>
        <item m="1" x="6241"/>
        <item m="1" x="5921"/>
        <item m="1" x="4924"/>
        <item m="1" x="1647"/>
        <item m="1" x="1414"/>
        <item m="1" x="1065"/>
        <item m="1" x="1947"/>
        <item m="1" x="6808"/>
        <item m="1" x="7464"/>
        <item m="1" x="4204"/>
        <item m="1" x="4586"/>
        <item m="1" x="828"/>
        <item m="1" x="1882"/>
        <item m="1" x="4295"/>
        <item m="1" x="4238"/>
        <item m="1" x="1359"/>
        <item m="1" x="1080"/>
        <item m="1" x="873"/>
        <item m="1" x="3326"/>
        <item m="1" x="6832"/>
        <item m="1" x="1289"/>
        <item m="1" x="7501"/>
        <item m="1" x="4171"/>
        <item m="1" x="5562"/>
        <item m="1" x="5300"/>
        <item m="1" x="2607"/>
        <item m="1" x="2623"/>
        <item m="1" x="1348"/>
        <item m="1" x="4335"/>
        <item m="1" x="1415"/>
        <item m="1" x="962"/>
        <item m="1" x="874"/>
        <item m="1" x="1737"/>
        <item m="1" x="887"/>
        <item m="1" x="7502"/>
        <item m="1" x="1699"/>
        <item m="1" x="400"/>
        <item m="1" x="386"/>
        <item m="1" x="6262"/>
        <item m="1" x="4644"/>
        <item m="1" x="2348"/>
        <item m="1" x="3819"/>
        <item m="1" x="7565"/>
        <item m="1" x="1375"/>
        <item m="1" x="5404"/>
        <item m="1" x="2741"/>
        <item m="1" x="2301"/>
        <item m="1" x="6261"/>
        <item m="1" x="2375"/>
        <item m="1" x="6362"/>
        <item m="1" x="1999"/>
        <item m="1" x="6394"/>
        <item m="1" x="3854"/>
        <item m="1" x="4037"/>
        <item m="1" x="2640"/>
        <item m="1" x="4682"/>
        <item m="1" x="3862"/>
        <item m="1" x="1431"/>
        <item m="1" x="354"/>
        <item m="1" x="2020"/>
        <item m="1" x="646"/>
        <item m="1" x="901"/>
        <item m="1" x="4243"/>
        <item m="1" x="7590"/>
        <item m="1" x="2485"/>
        <item m="1" x="3910"/>
        <item m="1" x="438"/>
        <item m="1" x="685"/>
        <item m="1" x="1451"/>
        <item m="1" x="452"/>
        <item m="1" x="1544"/>
        <item m="1" x="926"/>
        <item m="1" x="2742"/>
        <item m="1" x="4991"/>
        <item m="1" x="7618"/>
        <item m="1" x="1432"/>
        <item m="1" x="3778"/>
        <item m="1" x="1770"/>
        <item m="1" x="4715"/>
        <item m="1" x="3995"/>
        <item m="1" x="6714"/>
        <item m="1" x="2527"/>
        <item m="1" x="4490"/>
        <item m="1" x="5598"/>
        <item m="1" x="6133"/>
        <item m="1" x="6193"/>
        <item m="1" x="3503"/>
        <item m="1" x="7420"/>
        <item m="1" x="5819"/>
        <item m="1" x="6217"/>
        <item m="1" x="4032"/>
        <item m="1" x="2776"/>
        <item m="1" x="7665"/>
        <item m="1" x="5056"/>
        <item m="1" x="6849"/>
        <item m="1" x="6755"/>
        <item m="1" x="6236"/>
        <item m="1" x="2373"/>
        <item m="1" x="4061"/>
        <item m="1" x="2134"/>
        <item m="1" x="6776"/>
        <item m="1" x="6462"/>
        <item m="1" x="4786"/>
        <item m="1" x="5025"/>
        <item m="1" x="5336"/>
        <item m="1" x="2777"/>
        <item m="1" x="7496"/>
        <item m="1" x="5626"/>
        <item m="1" x="4470"/>
        <item m="1" x="2330"/>
        <item m="1" x="4467"/>
        <item m="1" x="5395"/>
        <item m="1" x="7437"/>
        <item m="1" x="7154"/>
        <item m="1" x="5531"/>
        <item m="1" x="5272"/>
        <item m="1" x="4532"/>
        <item m="1" x="3342"/>
        <item m="1" x="4549"/>
        <item m="1" x="6756"/>
        <item m="1" x="6249"/>
        <item m="1" x="4766"/>
        <item m="1" x="5608"/>
        <item m="1" x="4653"/>
        <item m="1" x="7473"/>
        <item m="1" x="5057"/>
        <item m="1" x="4296"/>
        <item m="1" x="6250"/>
        <item m="1" x="6325"/>
        <item m="1" x="1956"/>
        <item m="1" x="6848"/>
        <item m="1" x="7515"/>
        <item m="1" x="5097"/>
        <item m="1" x="2210"/>
        <item m="1" x="2778"/>
        <item m="1" x="7646"/>
        <item m="1" x="5657"/>
        <item m="1" x="7878"/>
        <item m="1" x="6361"/>
        <item m="1" x="3332"/>
        <item m="1" x="7559"/>
        <item m="1" x="684"/>
        <item m="1" x="6271"/>
        <item m="1" x="6287"/>
        <item m="1" x="7664"/>
        <item m="1" x="4548"/>
        <item m="1" x="1802"/>
        <item m="1" x="5627"/>
        <item m="1" x="5682"/>
        <item m="1" x="1948"/>
        <item m="1" x="5185"/>
        <item m="1" x="6938"/>
        <item m="1" x="5139"/>
        <item m="1" x="5697"/>
        <item m="1" x="2547"/>
        <item m="1" x="5099"/>
        <item m="1" x="5321"/>
        <item m="1" x="4799"/>
        <item m="1" x="5098"/>
        <item m="1" x="6893"/>
        <item m="1" x="1290"/>
        <item m="1" x="2319"/>
        <item m="1" x="4250"/>
        <item m="1" x="4587"/>
        <item m="1" x="5625"/>
        <item m="1" x="3548"/>
        <item m="1" x="5160"/>
        <item m="1" x="5140"/>
        <item m="1" x="3985"/>
        <item m="1" x="617"/>
        <item m="1" x="6914"/>
        <item m="1" x="6915"/>
        <item m="1" x="727"/>
        <item m="1" x="6288"/>
        <item m="1" x="6552"/>
        <item m="1" x="2414"/>
        <item m="1" x="2360"/>
        <item m="1" x="6866"/>
        <item m="1" x="5375"/>
        <item m="1" x="7474"/>
        <item m="1" x="3327"/>
        <item m="1" x="3966"/>
        <item m="1" x="7951"/>
        <item m="1" x="7053"/>
        <item m="1" x="1433"/>
        <item m="1" x="4631"/>
        <item m="1" x="6251"/>
        <item m="1" x="6305"/>
        <item m="1" x="6326"/>
        <item m="1" x="7583"/>
        <item m="1" x="5437"/>
        <item m="1" x="7613"/>
        <item m="1" x="7505"/>
        <item m="1" x="7572"/>
        <item m="1" x="4639"/>
        <item m="1" x="4336"/>
        <item m="1" x="6987"/>
        <item m="1" x="5227"/>
        <item m="1" x="5770"/>
        <item m="1" x="5753"/>
        <item m="1" x="6082"/>
        <item m="1" x="6972"/>
        <item m="1" x="6652"/>
        <item m="1" x="4934"/>
        <item m="1" x="6424"/>
        <item m="1" x="7979"/>
        <item m="1" x="4433"/>
        <item m="1" x="6062"/>
        <item m="1" x="443"/>
        <item m="1" x="935"/>
        <item m="1" x="3441"/>
        <item m="1" x="653"/>
        <item m="1" x="1920"/>
        <item m="1" x="6953"/>
        <item m="1" x="7625"/>
        <item m="1" x="2395"/>
        <item m="1" x="1525"/>
        <item m="1" x="842"/>
        <item m="1" x="7685"/>
        <item m="1" x="6973"/>
        <item m="1" x="2028"/>
        <item m="1" x="7597"/>
        <item m="1" x="1271"/>
        <item m="1" x="671"/>
        <item m="1" x="2363"/>
        <item m="1" x="7714"/>
        <item m="1" x="7560"/>
        <item m="1" x="7626"/>
        <item m="1" x="1844"/>
        <item m="1" x="1808"/>
        <item m="1" x="1173"/>
        <item m="1" x="5741"/>
        <item m="1" x="2849"/>
        <item m="1" x="752"/>
        <item m="1" x="1331"/>
        <item m="1" x="7030"/>
        <item m="1" x="5179"/>
        <item m="1" x="4462"/>
        <item m="1" x="6670"/>
        <item m="1" x="4630"/>
        <item m="1" x="5656"/>
        <item m="1" x="3613"/>
        <item m="1" x="471"/>
        <item m="1" x="248"/>
        <item m="1" x="963"/>
        <item m="1" x="5723"/>
        <item m="1" x="1691"/>
        <item m="1" x="7007"/>
        <item m="1" x="790"/>
        <item m="1" x="7016"/>
        <item m="1" x="7362"/>
        <item m="1" x="2151"/>
        <item m="1" x="265"/>
        <item m="1" x="2449"/>
        <item m="1" x="1787"/>
        <item m="1" x="1526"/>
        <item m="1" x="1705"/>
        <item m="1" x="1859"/>
        <item m="1" x="7674"/>
        <item m="1" x="2394"/>
        <item m="1" x="925"/>
        <item m="1" x="2396"/>
        <item m="1" x="712"/>
        <item m="1" x="3109"/>
        <item m="1" x="7652"/>
        <item m="1" x="7653"/>
        <item m="1" x="754"/>
        <item m="1" x="3108"/>
        <item m="1" x="1788"/>
        <item m="1" x="3495"/>
        <item m="1" x="1220"/>
        <item m="1" x="7079"/>
        <item m="1" x="1870"/>
        <item m="1" x="7740"/>
        <item m="1" x="3936"/>
        <item m="1" x="1828"/>
        <item m="1" x="1942"/>
        <item m="1" x="5754"/>
        <item m="1" x="7750"/>
        <item m="1" x="567"/>
        <item m="1" x="2501"/>
        <item m="1" x="300"/>
        <item m="1" x="1921"/>
        <item m="1" x="4501"/>
        <item m="1" x="6715"/>
        <item m="1" x="7458"/>
        <item m="1" x="1027"/>
        <item m="1" x="844"/>
        <item m="1" x="2523"/>
        <item m="1" x="7693"/>
        <item m="1" x="315"/>
        <item m="1" x="3914"/>
        <item m="1" x="7771"/>
        <item m="1" x="7612"/>
        <item m="1" x="1943"/>
        <item m="1" x="331"/>
        <item m="1" x="3605"/>
        <item m="1" x="1009"/>
        <item m="1" x="843"/>
        <item m="1" x="7078"/>
        <item m="1" x="1284"/>
        <item m="1" x="4668"/>
        <item m="1" x="1307"/>
        <item m="1" x="4661"/>
        <item m="1" x="6237"/>
        <item m="1" x="7438"/>
        <item m="1" x="5696"/>
        <item m="1" x="3661"/>
        <item m="1" x="1832"/>
        <item m="1" x="2907"/>
        <item m="1" x="7206"/>
        <item m="1" x="6218"/>
        <item m="1" x="1059"/>
        <item m="1" x="7459"/>
        <item m="1" x="2177"/>
        <item m="1" x="3190"/>
        <item m="1" x="1681"/>
        <item m="1" x="5131"/>
        <item m="1" x="2496"/>
        <item m="1" x="4726"/>
        <item m="1" x="1563"/>
        <item m="1" x="1745"/>
        <item m="1" x="7052"/>
        <item m="1" x="7749"/>
        <item m="1" x="7722"/>
        <item m="1" x="3981"/>
        <item m="1" x="2474"/>
        <item m="1" x="7751"/>
        <item m="1" x="1392"/>
        <item m="1" x="2875"/>
        <item m="1" x="6777"/>
        <item m="1" x="1963"/>
        <item m="1" x="284"/>
        <item m="1" x="810"/>
        <item m="1" x="4624"/>
        <item m="1" x="7851"/>
        <item m="1" x="7068"/>
        <item m="1" x="6602"/>
        <item m="1" x="7657"/>
        <item m="1" x="7840"/>
        <item m="1" x="1873"/>
        <item m="1" x="2254"/>
        <item m="1" x="5941"/>
        <item m="1" x="7521"/>
        <item m="1" x="3622"/>
        <item m="1" x="3294"/>
        <item m="1" x="6942"/>
        <item m="1" x="4572"/>
        <item m="1" x="6599"/>
        <item m="1" x="3710"/>
        <item m="1" x="4596"/>
        <item m="1" x="5719"/>
        <item m="1" x="1907"/>
        <item m="1" x="2305"/>
        <item m="1" x="4053"/>
        <item m="1" x="2757"/>
        <item m="1" x="1272"/>
        <item m="1" x="551"/>
        <item m="1" x="4595"/>
        <item m="1" x="5147"/>
        <item m="1" x="4445"/>
        <item m="1" x="4308"/>
        <item m="1" x="4952"/>
        <item m="1" x="4326"/>
        <item m="1" x="4783"/>
        <item m="1" x="1718"/>
        <item m="1" x="1131"/>
        <item m="1" x="5181"/>
        <item m="1" x="7805"/>
        <item m="1" x="568"/>
        <item m="1" x="4054"/>
        <item m="1" x="6347"/>
        <item m="1" x="7591"/>
        <item m="1" x="6028"/>
        <item m="1" x="7542"/>
        <item m="1" x="6901"/>
        <item m="1" x="7879"/>
        <item m="1" x="1095"/>
        <item m="1" x="5445"/>
        <item m="1" x="1111"/>
        <item m="1" x="3684"/>
        <item m="1" x="3685"/>
        <item m="1" x="3365"/>
        <item m="1" x="249"/>
        <item m="1" x="7112"/>
        <item m="1" x="1829"/>
        <item m="1" x="6992"/>
        <item m="1" x="5755"/>
        <item m="1" x="5984"/>
        <item m="1" x="7010"/>
        <item m="1" x="5983"/>
        <item m="1" x="4076"/>
        <item m="1" x="4096"/>
        <item m="1" x="6991"/>
        <item m="1" x="4077"/>
        <item m="1" x="3728"/>
        <item m="1" x="1253"/>
        <item m="1" x="4635"/>
        <item m="1" x="1197"/>
        <item m="1" x="5774"/>
        <item m="1" x="7688"/>
        <item m="1" x="5493"/>
        <item m="1" x="3076"/>
        <item m="1" x="4095"/>
        <item m="1" x="2906"/>
        <item m="1" x="3397"/>
        <item m="1" x="2665"/>
        <item m="1" x="5964"/>
        <item m="1" x="3110"/>
        <item m="1" x="7850"/>
        <item m="1" x="1237"/>
        <item m="1" x="4464"/>
        <item m="1" x="5826"/>
        <item m="1" x="4904"/>
        <item m="1" x="6685"/>
        <item m="1" x="7687"/>
        <item m="1" x="5039"/>
        <item m="1" x="6772"/>
        <item m="1" x="7772"/>
        <item m="1" x="3828"/>
        <item m="1" x="5267"/>
        <item m="1" x="4721"/>
        <item m="1" x="6027"/>
        <item m="1" x="7056"/>
        <item m="1" x="3866"/>
        <item m="1" x="4396"/>
        <item m="1" x="6459"/>
        <item m="1" x="4135"/>
        <item m="1" x="4828"/>
        <item m="1" x="5333"/>
        <item m="1" x="6440"/>
        <item m="1" x="1809"/>
        <item m="1" x="7661"/>
        <item m="1" x="6191"/>
        <item m="1" x="5168"/>
        <item m="1" x="5704"/>
        <item m="1" x="6175"/>
        <item m="1" x="4749"/>
        <item m="1" x="6773"/>
        <item m="1" x="5071"/>
        <item m="1" x="5645"/>
        <item m="1" x="1682"/>
        <item m="1" x="7161"/>
        <item m="1" x="6749"/>
        <item m="1" x="6441"/>
        <item m="1" x="3829"/>
        <item m="1" x="4765"/>
        <item m="1" x="7055"/>
        <item m="1" x="5827"/>
        <item m="1" x="7057"/>
        <item m="1" x="3604"/>
        <item m="1" x="3865"/>
        <item m="1" x="7175"/>
        <item m="1" x="1285"/>
        <item m="1" x="4672"/>
        <item m="1" x="2548"/>
        <item m="1" x="2481"/>
        <item m="1" x="3525"/>
        <item m="1" x="428"/>
        <item m="1" x="7742"/>
        <item m="1" x="2664"/>
        <item m="1" x="4862"/>
        <item m="1" x="3131"/>
        <item m="1" x="4174"/>
        <item m="1" x="6476"/>
        <item m="1" x="6794"/>
        <item m="1" x="5596"/>
        <item m="1" x="5004"/>
        <item m="1" x="6460"/>
        <item m="1" x="1900"/>
        <item m="1" x="4251"/>
        <item m="1" x="6055"/>
        <item m="1" x="902"/>
        <item m="1" x="6666"/>
        <item m="1" x="7647"/>
        <item m="1" x="1081"/>
        <item m="1" x="6833"/>
        <item m="1" x="558"/>
        <item m="1" x="1926"/>
        <item m="1" x="2528"/>
        <item m="1" x="4434"/>
        <item m="1" x="336"/>
        <item m="1" x="888"/>
        <item m="1" x="1376"/>
        <item m="1" x="6845"/>
        <item m="1" x="6402"/>
        <item m="1" x="7113"/>
        <item m="1" x="6310"/>
        <item m="1" x="1661"/>
        <item m="1" x="7227"/>
        <item m="1" x="3580"/>
        <item m="1" x="1662"/>
        <item m="1" x="2549"/>
        <item m="1" x="3289"/>
        <item m="1" x="4252"/>
        <item m="1" x="1066"/>
        <item m="1" x="1416"/>
        <item m="1" x="355"/>
        <item m="1" x="6885"/>
        <item m="1" x="7836"/>
        <item m="1" x="2657"/>
        <item m="1" x="5942"/>
        <item m="1" x="4463"/>
        <item m="1" x="4205"/>
        <item m="1" x="6508"/>
        <item m="1" x="6931"/>
        <item m="1" x="1987"/>
        <item m="1" x="6077"/>
        <item m="1" x="7686"/>
        <item m="1" x="2329"/>
        <item m="1" x="6076"/>
        <item m="1" x="1663"/>
        <item m="1" x="647"/>
        <item m="1" x="6853"/>
        <item m="1" x="2914"/>
        <item m="1" x="1717"/>
        <item m="1" x="7197"/>
        <item m="1" x="6980"/>
        <item m="1" x="1092"/>
        <item m="1" x="7102"/>
        <item m="1" x="5857"/>
        <item m="1" x="664"/>
        <item m="1" x="2248"/>
        <item m="1" x="1715"/>
        <item m="1" x="2000"/>
        <item m="1" x="2550"/>
        <item m="1" x="7482"/>
        <item m="1" x="1325"/>
        <item m="1" x="4748"/>
        <item m="1" x="7985"/>
        <item m="1" x="903"/>
        <item m="1" x="1452"/>
        <item m="1" x="5676"/>
        <item m="1" x="7543"/>
        <item m="1" x="179"/>
        <item m="1" x="632"/>
        <item m="1" x="1126"/>
        <item m="1" x="2331"/>
        <item m="1" x="706"/>
        <item m="1" x="7795"/>
        <item m="1" x="3189"/>
        <item m="1" x="4244"/>
        <item m="1" x="2022"/>
        <item m="1" x="2001"/>
        <item m="1" x="2021"/>
        <item m="1" x="4372"/>
        <item m="1" x="6580"/>
        <item m="1" x="7900"/>
        <item m="1" x="6095"/>
        <item m="1" x="6002"/>
        <item m="1" x="6547"/>
        <item m="1" x="1213"/>
        <item m="1" x="3050"/>
        <item m="1" x="1141"/>
        <item m="1" x="4529"/>
        <item m="1" x="6600"/>
        <item m="1" x="2688"/>
        <item m="1" x="1803"/>
        <item m="1" x="6346"/>
        <item m="1" x="3071"/>
        <item m="1" x="665"/>
        <item m="1" x="2361"/>
        <item m="1" x="707"/>
        <item m="1" x="6883"/>
        <item m="1" x="2687"/>
        <item m="1" x="2711"/>
        <item m="1" x="880"/>
        <item m="1" x="1267"/>
        <item m="1" x="2079"/>
        <item m="1" x="6403"/>
        <item m="1" x="1891"/>
        <item m="1" x="2743"/>
        <item m="1" x="4297"/>
        <item m="1" x="6621"/>
        <item m="1" x="6515"/>
        <item m="1" x="5337"/>
        <item m="1" x="5251"/>
        <item m="1" x="7708"/>
        <item m="1" x="6113"/>
        <item m="1" x="7741"/>
        <item m="1" x="7039"/>
        <item m="1" x="1369"/>
        <item m="1" x="7063"/>
        <item m="1" x="5322"/>
        <item m="1" x="5847"/>
        <item m="1" x="7847"/>
        <item m="1" x="3236"/>
        <item m="1" x="4337"/>
        <item m="1" x="6463"/>
        <item m="1" x="7694"/>
        <item m="1" x="6429"/>
        <item m="1" x="2105"/>
        <item m="1" x="2724"/>
        <item m="1" x="6129"/>
        <item m="1" x="2791"/>
        <item m="1" x="4143"/>
        <item m="1" x="7040"/>
        <item m="1" x="6478"/>
        <item m="1" x="4787"/>
        <item m="1" x="7162"/>
        <item m="1" x="585"/>
        <item m="1" x="6378"/>
        <item m="1" x="1901"/>
        <item m="1" x="4301"/>
        <item m="1" x="1572"/>
        <item m="1" x="5923"/>
        <item m="1" x="1033"/>
        <item m="1" x="7394"/>
        <item m="1" x="5306"/>
        <item m="1" x="5848"/>
        <item m="1" x="2189"/>
        <item m="1" x="3510"/>
        <item m="1" x="4720"/>
        <item m="1" x="3191"/>
        <item m="1" x="5842"/>
        <item m="1" x="7375"/>
        <item m="1" x="1460"/>
        <item m="1" x="2938"/>
        <item m="1" x="7899"/>
        <item m="1" x="1472"/>
        <item m="1" x="4350"/>
        <item m="1" x="2624"/>
        <item m="1" x="3705"/>
        <item m="1" x="6029"/>
        <item m="1" x="728"/>
        <item m="1" x="1491"/>
        <item m="1" x="7303"/>
        <item m="1" x="666"/>
        <item m="1" x="1753"/>
        <item m="1" x="214"/>
        <item m="1" x="1492"/>
        <item m="1" x="2383"/>
        <item m="1" x="4729"/>
        <item m="1" x="5795"/>
        <item m="1" x="4253"/>
        <item m="1" x="6399"/>
        <item m="1" x="2698"/>
        <item m="1" x="5609"/>
        <item m="1" x="4831"/>
        <item m="1" x="7145"/>
        <item m="1" x="2463"/>
        <item m="1" x="1811"/>
        <item m="1" x="2441"/>
        <item m="1" x="1627"/>
        <item m="1" x="3224"/>
        <item m="1" x="6151"/>
        <item m="1" x="7852"/>
        <item m="1" x="2855"/>
        <item m="1" x="6464"/>
        <item m="1" x="6238"/>
        <item m="1" x="3922"/>
        <item m="1" x="5881"/>
        <item m="1" x="4692"/>
        <item m="1" x="7526"/>
        <item m="1" x="7723"/>
        <item m="1" x="4806"/>
        <item m="1" x="4191"/>
        <item m="1" x="5937"/>
        <item m="1" x="5307"/>
        <item m="1" x="5289"/>
        <item m="1" x="4844"/>
        <item m="1" x="1034"/>
        <item m="1" x="3504"/>
        <item m="1" x="4192"/>
        <item m="1" x="3479"/>
        <item m="1" x="4226"/>
        <item m="1" x="4788"/>
        <item m="1" x="3549"/>
        <item m="1" x="2163"/>
        <item m="1" x="6174"/>
        <item m="1" x="3478"/>
        <item m="1" x="6553"/>
        <item m="1" x="3941"/>
        <item m="1" x="7895"/>
        <item m="1" x="1628"/>
        <item m="1" x="6492"/>
        <item m="1" x="5912"/>
        <item m="1" x="7497"/>
        <item m="1" x="6554"/>
        <item m="1" x="7198"/>
        <item m="1" x="6407"/>
        <item m="1" x="4533"/>
        <item m="1" x="5861"/>
        <item m="1" x="5086"/>
        <item m="1" x="6516"/>
        <item m="1" x="2302"/>
        <item m="1" x="5658"/>
        <item m="1" x="1067"/>
        <item m="1" x="7516"/>
        <item m="1" x="6272"/>
        <item m="1" x="3526"/>
        <item m="1" x="3357"/>
        <item m="1" x="6595"/>
        <item m="1" x="4789"/>
        <item m="1" x="3967"/>
        <item m="1" x="7169"/>
        <item m="1" x="6625"/>
        <item m="1" x="5716"/>
        <item m="1" x="2828"/>
        <item m="1" x="7764"/>
        <item m="1" x="7537"/>
        <item m="1" x="2249"/>
        <item m="1" x="6344"/>
        <item m="1" x="4004"/>
        <item m="1" x="5938"/>
        <item m="1" x="4609"/>
        <item m="1" x="3581"/>
        <item m="1" x="3312"/>
        <item m="1" x="6662"/>
        <item m="1" x="6534"/>
        <item m="1" x="5982"/>
        <item m="1" x="7139"/>
        <item m="1" x="5974"/>
        <item m="1" x="2569"/>
        <item m="1" x="3637"/>
        <item m="1" x="5957"/>
        <item m="1" x="5396"/>
        <item m="1" x="7222"/>
        <item m="1" x="5981"/>
        <item m="1" x="4845"/>
        <item m="1" x="4969"/>
        <item m="1" x="6705"/>
        <item m="1" x="5126"/>
        <item m="1" x="5438"/>
        <item m="1" x="3620"/>
        <item m="1" x="3527"/>
        <item m="1" x="3614"/>
        <item m="1" x="3584"/>
        <item m="1" x="6212"/>
        <item m="1" x="3634"/>
        <item m="1" x="7952"/>
        <item m="1" x="6533"/>
        <item m="1" x="4003"/>
        <item m="1" x="5999"/>
        <item m="1" x="1771"/>
        <item m="1" x="4055"/>
        <item m="1" x="3583"/>
        <item m="1" x="4566"/>
        <item m="1" x="2666"/>
        <item m="1" x="3413"/>
        <item m="1" x="3679"/>
        <item m="1" x="216"/>
        <item m="1" x="7627"/>
        <item m="1" x="2667"/>
        <item m="1" x="6049"/>
        <item m="1" x="975"/>
        <item m="1" x="2085"/>
        <item m="1" x="3442"/>
        <item m="1" x="1010"/>
        <item m="1" x="3723"/>
        <item m="1" x="7017"/>
        <item m="1" x="3348"/>
        <item m="1" x="6015"/>
        <item m="1" x="2418"/>
        <item m="1" x="4153"/>
        <item m="1" x="424"/>
        <item m="1" x="6022"/>
        <item m="1" x="3496"/>
        <item m="1" x="2455"/>
        <item m="1" x="2178"/>
        <item m="1" x="1254"/>
        <item m="1" x="3582"/>
        <item m="1" x="586"/>
        <item m="1" x="1011"/>
        <item m="1" x="6248"/>
        <item m="1" x="3768"/>
        <item m="1" x="217"/>
        <item m="1" x="7343"/>
        <item m="1" x="6575"/>
        <item m="1" x="6091"/>
        <item m="1" x="774"/>
        <item m="1" x="1273"/>
        <item m="1" x="2152"/>
        <item m="1" x="1551"/>
        <item m="1" x="2769"/>
        <item m="1" x="6653"/>
        <item m="1" x="3636"/>
        <item m="1" x="4608"/>
        <item m="1" x="1642"/>
        <item m="1" x="7395"/>
        <item m="1" x="3820"/>
        <item m="1" x="6690"/>
        <item m="1" x="4245"/>
        <item m="1" x="1028"/>
        <item m="1" x="6736"/>
        <item m="1" x="4038"/>
        <item m="1" x="2204"/>
        <item m="1" x="6075"/>
        <item m="1" x="1029"/>
        <item m="1" x="3541"/>
        <item m="1" x="1922"/>
        <item m="1" x="1077"/>
        <item m="1" x="3635"/>
        <item m="1" x="1583"/>
        <item m="1" x="7781"/>
        <item m="1" x="811"/>
        <item m="1" x="3662"/>
        <item m="1" x="2153"/>
        <item m="1" x="552"/>
        <item m="1" x="7381"/>
        <item m="1" x="824"/>
        <item m="1" x="1693"/>
        <item m="1" x="3522"/>
        <item m="1" x="6126"/>
        <item m="1" x="316"/>
        <item m="1" x="1605"/>
        <item m="1" x="604"/>
        <item m="1" x="1621"/>
        <item m="1" x="3680"/>
        <item m="1" x="4645"/>
        <item m="1" x="4069"/>
        <item m="1" x="6167"/>
        <item m="1" x="2564"/>
        <item m="1" x="4318"/>
        <item m="1" x="1391"/>
        <item m="1" x="2930"/>
        <item m="1" x="2292"/>
        <item m="1" x="2608"/>
        <item m="1" x="3681"/>
        <item m="1" x="4606"/>
        <item m="1" x="5655"/>
        <item m="1" x="4910"/>
        <item m="1" x="5452"/>
        <item m="1" x="7022"/>
        <item m="1" x="3412"/>
        <item m="1" x="6637"/>
        <item m="1" x="7212"/>
        <item m="1" x="6405"/>
        <item m="1" x="2931"/>
        <item m="1" x="4017"/>
        <item m="1" x="3044"/>
        <item m="1" x="4625"/>
        <item m="1" x="3700"/>
        <item m="1" x="1498"/>
        <item m="1" x="3485"/>
        <item m="1" x="3176"/>
        <item m="1" x="1448"/>
        <item m="1" x="7658"/>
        <item m="1" x="695"/>
        <item m="1" x="1069"/>
        <item m="1" x="634"/>
        <item m="1" x="1052"/>
        <item m="1" x="6846"/>
        <item m="1" x="1981"/>
        <item m="1" x="656"/>
        <item m="1" x="1181"/>
        <item m="1" x="2053"/>
        <item m="1" x="6264"/>
        <item m="1" x="3399"/>
        <item m="1" x="3806"/>
        <item m="1" x="5985"/>
        <item m="1" x="6435"/>
        <item m="1" x="3757"/>
        <item m="1" x="432"/>
        <item m="1" x="1186"/>
        <item m="1" x="1114"/>
        <item m="1" x="3789"/>
        <item m="1" x="6359"/>
        <item m="1" x="4068"/>
        <item m="1" x="3821"/>
        <item m="1" x="4607"/>
        <item m="1" x="4338"/>
        <item m="1" x="3177"/>
        <item m="1" x="1629"/>
        <item m="1" x="838"/>
        <item m="1" x="7070"/>
        <item m="1" x="4148"/>
        <item m="1" x="6418"/>
        <item m="1" x="1517"/>
        <item m="1" x="7241"/>
        <item m="1" x="2535"/>
        <item m="1" x="884"/>
        <item m="1" x="896"/>
        <item m="1" x="3351"/>
        <item m="1" x="1462"/>
        <item m="1" x="2093"/>
        <item m="1" x="3779"/>
        <item m="1" x="2035"/>
        <item m="1" x="1996"/>
        <item m="1" x="944"/>
        <item m="1" x="7275"/>
        <item m="1" x="3139"/>
        <item m="1" x="4144"/>
        <item m="1" x="2165"/>
        <item m="1" x="6562"/>
        <item m="1" x="186"/>
        <item m="1" x="4160"/>
        <item m="1" x="7230"/>
        <item m="1" x="2135"/>
        <item m="1" x="2384"/>
        <item m="1" x="2314"/>
        <item m="1" x="3207"/>
        <item m="1" x="5813"/>
        <item m="1" x="735"/>
        <item m="1" x="1421"/>
        <item m="1" x="4100"/>
        <item m="1" x="7001"/>
        <item m="1" x="3105"/>
        <item m="1" x="3807"/>
        <item m="1" x="1700"/>
        <item m="1" x="2442"/>
        <item m="1" x="870"/>
        <item m="1" x="1518"/>
        <item m="1" x="4754"/>
        <item m="1" x="1463"/>
        <item m="1" x="1182"/>
        <item m="1" x="717"/>
        <item m="1" x="1183"/>
        <item m="1" x="2054"/>
        <item m="1" x="476"/>
        <item m="1" x="2675"/>
        <item m="1" x="3425"/>
        <item m="1" x="1537"/>
        <item m="1" x="3169"/>
        <item m="1" x="2744"/>
        <item m="1" x="6472"/>
        <item m="1" x="3471"/>
        <item m="1" x="3489"/>
        <item m="1" x="6766"/>
        <item m="1" x="7350"/>
        <item m="1" x="5051"/>
        <item m="1" x="7114"/>
        <item m="1" x="3228"/>
        <item m="1" x="2148"/>
        <item m="1" x="2792"/>
        <item m="1" x="1659"/>
        <item m="1" x="1738"/>
        <item m="1" x="2482"/>
        <item m="1" x="3606"/>
        <item m="1" x="5301"/>
        <item m="1" x="4539"/>
        <item m="1" x="3155"/>
        <item m="1" x="3533"/>
        <item m="1" x="2174"/>
        <item m="1" x="7409"/>
        <item m="1" x="4813"/>
        <item m="1" x="3154"/>
        <item m="1" x="5889"/>
        <item m="1" x="6168"/>
        <item m="1" x="1971"/>
        <item m="1" x="2529"/>
        <item m="1" x="6296"/>
        <item m="1" x="2450"/>
        <item m="1" x="3253"/>
        <item m="1" x="6767"/>
        <item m="1" x="2609"/>
        <item m="1" x="446"/>
        <item m="1" x="3538"/>
        <item m="1" x="2198"/>
        <item m="1" x="7388"/>
        <item m="1" x="5622"/>
        <item m="1" x="6505"/>
        <item m="1" x="7180"/>
        <item m="1" x="7863"/>
        <item m="1" x="6231"/>
        <item m="1" x="5890"/>
        <item m="1" x="3273"/>
        <item m="1" x="7842"/>
        <item m="1" x="2033"/>
        <item m="1" x="1892"/>
        <item m="1" x="7115"/>
        <item m="1" x="1524"/>
        <item m="1" x="2497"/>
        <item m="1" x="5641"/>
        <item m="1" x="6246"/>
        <item m="1" x="3911"/>
        <item m="1" x="4010"/>
        <item m="1" x="1268"/>
        <item m="1" x="762"/>
        <item m="1" x="2220"/>
        <item m="1" x="6768"/>
        <item m="1" x="5905"/>
        <item m="1" x="5052"/>
        <item m="1" x="3156"/>
        <item m="1" x="6356"/>
        <item m="1" x="5623"/>
        <item m="1" x="6541"/>
        <item m="1" x="5852"/>
        <item m="1" x="5563"/>
        <item m="1" x="5302"/>
        <item m="1" x="5640"/>
        <item m="1" x="6484"/>
        <item m="1" x="7133"/>
        <item m="1" x="1340"/>
        <item m="1" x="1935"/>
        <item m="1" x="2898"/>
        <item m="1" x="995"/>
        <item m="1" x="3214"/>
        <item m="1" x="4907"/>
        <item m="1" x="2598"/>
        <item m="1" x="1300"/>
        <item m="1" x="2258"/>
        <item m="1" x="1959"/>
        <item m="1" x="4557"/>
        <item m="1" x="3959"/>
        <item m="1" x="5384"/>
        <item m="1" x="7488"/>
        <item m="1" x="5571"/>
        <item m="1" x="5653"/>
        <item m="1" x="5094"/>
        <item m="1" x="3274"/>
        <item m="1" x="6974"/>
        <item m="1" x="4168"/>
        <item m="1" x="4033"/>
        <item m="1" x="6265"/>
        <item m="1" x="4800"/>
        <item m="1" x="6317"/>
        <item m="1" x="7930"/>
        <item m="1" x="3593"/>
        <item m="1" x="3316"/>
        <item m="1" x="5095"/>
        <item m="1" x="7931"/>
        <item m="1" x="4348"/>
        <item m="1" x="7527"/>
        <item m="1" x="5693"/>
        <item m="1" x="1387"/>
        <item m="1" x="6603"/>
        <item m="1" x="4083"/>
        <item m="1" x="3315"/>
        <item m="1" x="7018"/>
        <item m="1" x="5448"/>
        <item m="1" x="5186"/>
        <item m="1" x="5744"/>
        <item m="1" x="2287"/>
        <item m="1" x="7906"/>
        <item m="1" x="7528"/>
        <item m="1" x="5761"/>
        <item m="1" x="7963"/>
        <item m="1" x="7064"/>
        <item m="1" x="5007"/>
        <item m="1" x="7308"/>
        <item m="1" x="6762"/>
        <item m="1" x="240"/>
        <item m="1" x="7105"/>
        <item m="1" x="4198"/>
        <item m="1" x="1595"/>
        <item m="1" x="1854"/>
        <item m="1" x="6371"/>
        <item m="1" x="6010"/>
        <item m="1" x="2619"/>
        <item m="1" x="6606"/>
        <item m="1" x="2075"/>
        <item m="1" x="5726"/>
        <item m="1" x="1208"/>
        <item m="1" x="6335"/>
        <item m="1" x="5110"/>
        <item m="1" x="3335"/>
        <item m="1" x="4313"/>
        <item m="1" x="3975"/>
        <item m="1" x="1982"/>
        <item m="1" x="2949"/>
        <item m="1" x="5423"/>
        <item m="1" x="4656"/>
        <item m="1" x="2974"/>
        <item m="1" x="7548"/>
        <item m="1" x="2511"/>
        <item m="1" x="7344"/>
        <item m="1" x="7289"/>
        <item m="1" x="1339"/>
        <item m="1" x="7531"/>
        <item m="1" x="2733"/>
        <item m="1" x="5422"/>
        <item m="1" x="4453"/>
        <item m="1" x="7146"/>
        <item m="1" x="191"/>
        <item m="1" x="763"/>
        <item m="1" x="1542"/>
        <item m="1" x="1855"/>
        <item m="1" x="7008"/>
        <item m="1" x="6169"/>
        <item m="1" x="7573"/>
        <item m="1" x="5760"/>
        <item m="1" x="7584"/>
        <item m="1" x="6644"/>
        <item m="1" x="7189"/>
        <item m="1" x="2835"/>
        <item m="1" x="785"/>
        <item m="1" x="1864"/>
        <item m="1" x="241"/>
        <item m="1" x="1243"/>
        <item m="1" x="7223"/>
        <item m="1" x="4233"/>
        <item m="1" x="3512"/>
        <item m="1" x="7031"/>
        <item m="1" x="4823"/>
        <item m="1" x="852"/>
        <item m="1" x="1386"/>
        <item m="1" x="749"/>
        <item m="1" x="2427"/>
        <item m="1" x="805"/>
        <item m="1" x="6092"/>
        <item m="1" x="276"/>
        <item m="1" x="309"/>
        <item m="1" x="1577"/>
        <item m="1" x="3178"/>
        <item m="1" x="4974"/>
        <item m="1" x="5796"/>
        <item m="1" x="2145"/>
        <item m="1" x="764"/>
        <item m="1" x="7894"/>
        <item m="1" x="765"/>
        <item m="1" x="225"/>
        <item m="1" x="3252"/>
        <item m="1" x="1294"/>
        <item m="1" x="7735"/>
        <item m="1" x="7962"/>
        <item m="1" x="1423"/>
        <item m="1" x="750"/>
        <item m="1" x="342"/>
        <item m="1" x="2232"/>
        <item m="1" x="546"/>
        <item m="1" x="1038"/>
        <item m="1" x="184"/>
        <item m="1" x="1578"/>
        <item m="1" x="2233"/>
        <item m="1" x="6769"/>
        <item m="1" x="572"/>
        <item m="1" x="1383"/>
        <item m="1" x="7373"/>
        <item m="1" x="5121"/>
        <item m="1" x="4286"/>
        <item m="1" x="1634"/>
        <item m="1" x="242"/>
        <item m="1" x="984"/>
        <item m="1" x="3208"/>
        <item m="1" x="3559"/>
        <item m="1" x="6814"/>
        <item m="1" x="2120"/>
        <item m="1" x="5830"/>
        <item m="1" x="804"/>
        <item m="1" x="766"/>
        <item m="1" x="7080"/>
        <item m="1" x="2271"/>
        <item m="1" x="2970"/>
        <item m="1" x="1635"/>
        <item m="1" x="7451"/>
        <item m="1" x="5154"/>
        <item m="1" x="1649"/>
        <item m="1" x="3647"/>
        <item m="1" x="1464"/>
        <item m="1" x="295"/>
        <item m="1" x="3971"/>
        <item m="1" x="6815"/>
        <item m="1" x="1316"/>
        <item m="1" x="3142"/>
        <item m="1" x="5862"/>
        <item m="1" x="1355"/>
        <item m="1" x="4403"/>
        <item m="1" x="2011"/>
        <item m="1" x="2097"/>
        <item m="1" x="4959"/>
        <item m="1" x="6321"/>
        <item m="1" x="3830"/>
        <item m="1" x="5156"/>
        <item m="1" x="1934"/>
        <item m="1" x="4377"/>
        <item m="1" x="7116"/>
        <item m="1" x="1731"/>
        <item m="1" x="2315"/>
        <item m="1" x="4858"/>
        <item m="1" x="6414"/>
        <item m="1" x="294"/>
        <item m="1" x="2943"/>
        <item m="1" x="2307"/>
        <item m="1" x="2565"/>
        <item m="1" x="4363"/>
        <item m="1" x="7936"/>
        <item m="1" x="6339"/>
        <item m="1" x="4772"/>
        <item m="1" x="4319"/>
        <item m="1" x="5432"/>
        <item m="1" x="5975"/>
        <item m="1" x="5765"/>
        <item m="1" x="6638"/>
        <item m="1" x="2321"/>
        <item m="1" x="7911"/>
        <item m="1" x="1104"/>
        <item m="1" x="3006"/>
        <item m="1" x="5896"/>
        <item m="1" x="5207"/>
        <item m="1" x="2960"/>
        <item m="1" x="5487"/>
        <item m="1" x="4339"/>
        <item m="1" x="7937"/>
        <item m="1" x="2359"/>
        <item m="1" x="4553"/>
        <item m="1" x="6210"/>
        <item m="1" x="277"/>
        <item m="1" x="806"/>
        <item m="1" x="6232"/>
        <item m="1" x="1908"/>
        <item m="1" x="357"/>
        <item m="1" x="3295"/>
        <item m="1" x="1401"/>
        <item m="1" x="2284"/>
        <item m="1" x="2944"/>
        <item m="1" x="4025"/>
        <item m="1" x="1993"/>
        <item m="1" x="1964"/>
        <item m="1" x="4893"/>
        <item m="1" x="1713"/>
        <item m="1" x="1336"/>
        <item m="1" x="940"/>
        <item m="1" x="7253"/>
        <item m="1" x="6981"/>
        <item m="1" x="4960"/>
        <item m="1" x="5453"/>
        <item m="1" x="4364"/>
        <item m="1" x="6116"/>
        <item m="1" x="7406"/>
        <item m="1" x="2622"/>
        <item m="1" x="7002"/>
        <item m="1" x="7638"/>
        <item m="1" x="1360"/>
        <item m="1" x="6587"/>
        <item m="1" x="5729"/>
        <item m="1" x="1668"/>
        <item m="1" x="7163"/>
        <item m="1" x="1400"/>
        <item m="1" x="1732"/>
        <item m="1" x="3372"/>
        <item m="1" x="3701"/>
        <item m="1" x="7967"/>
        <item m="1" x="6372"/>
        <item m="1" x="2164"/>
        <item m="1" x="5518"/>
        <item m="1" x="2306"/>
        <item m="1" x="3010"/>
        <item m="1" x="7329"/>
        <item m="1" x="5993"/>
        <item m="1" x="1123"/>
        <item m="1" x="5433"/>
        <item m="1" x="7276"/>
        <item m="1" x="3764"/>
        <item m="1" x="7177"/>
        <item m="1" x="1499"/>
        <item m="1" x="6387"/>
        <item m="1" x="6692"/>
        <item m="1" x="6102"/>
        <item m="1" x="6038"/>
        <item m="1" x="3743"/>
        <item m="1" x="1168"/>
        <item m="1" x="4925"/>
        <item m="1" x="5589"/>
        <item m="1" x="7730"/>
        <item m="1" x="2061"/>
        <item m="1" x="4386"/>
        <item m="1" x="6640"/>
        <item m="1" x="1188"/>
        <item m="1" x="6138"/>
        <item m="1" x="5590"/>
        <item m="1" x="2124"/>
        <item m="1" x="892"/>
        <item m="1" x="7045"/>
        <item m="1" x="7949"/>
        <item m="1" x="6639"/>
        <item m="1" x="3046"/>
        <item m="1" x="2679"/>
        <item m="1" x="5616"/>
        <item m="1" x="5238"/>
        <item m="1" x="6086"/>
        <item m="1" x="4404"/>
        <item m="1" x="2468"/>
        <item m="1" x="6026"/>
        <item m="1" x="7199"/>
        <item m="1" x="1440"/>
        <item m="1" x="4889"/>
        <item m="1" x="7123"/>
        <item m="1" x="6419"/>
        <item m="1" x="7731"/>
        <item m="1" x="6657"/>
        <item m="1" x="7071"/>
        <item m="1" x="6117"/>
        <item m="1" x="3045"/>
        <item m="1" x="1382"/>
        <item m="1" x="3686"/>
        <item m="1" x="3811"/>
        <item m="1" x="2469"/>
        <item m="1" x="6675"/>
        <item m="1" x="4405"/>
        <item m="1" x="4519"/>
        <item m="1" x="4982"/>
        <item m="1" x="5588"/>
        <item m="1" x="2008"/>
        <item m="1" x="4654"/>
        <item m="1" x="1538"/>
        <item m="1" x="6656"/>
        <item m="1" x="6722"/>
        <item m="1" x="7285"/>
        <item m="1" x="7401"/>
        <item m="1" x="4774"/>
        <item m="1" x="1838"/>
        <item m="1" x="5853"/>
        <item m="1" x="1244"/>
        <item m="1" x="4149"/>
        <item m="1" x="7351"/>
        <item m="1" x="5591"/>
        <item m="1" x="1230"/>
        <item m="1" x="2211"/>
        <item m="1" x="603"/>
        <item m="1" x="3513"/>
        <item m="1" x="4493"/>
        <item m="1" x="6226"/>
        <item m="1" x="5032"/>
        <item m="1" x="7368"/>
        <item m="1" x="6447"/>
        <item m="1" x="6242"/>
        <item m="1" x="4439"/>
        <item m="1" x="2334"/>
        <item m="1" x="3057"/>
        <item m="1" x="3099"/>
        <item m="1" x="5634"/>
        <item m="1" x="6694"/>
        <item m="1" x="3904"/>
        <item m="1" x="4795"/>
        <item m="1" x="1909"/>
        <item m="1" x="3744"/>
        <item m="1" x="493"/>
        <item m="1" x="2219"/>
        <item m="1" x="2356"/>
        <item m="1" x="1675"/>
        <item m="1" x="312"/>
        <item m="1" x="548"/>
        <item m="1" x="2868"/>
        <item m="1" x="3567"/>
        <item m="1" x="2927"/>
        <item m="1" x="529"/>
        <item m="1" x="4314"/>
        <item m="1" x="855"/>
        <item m="1" x="7390"/>
        <item m="1" x="1916"/>
        <item m="1" x="1073"/>
        <item m="1" x="1072"/>
        <item m="1" x="1320"/>
        <item m="1" x="1581"/>
        <item m="1" x="347"/>
        <item m="1" x="5083"/>
        <item m="1" x="1952"/>
        <item m="1" x="298"/>
        <item m="1" x="6774"/>
        <item m="1" x="7774"/>
        <item m="1" x="885"/>
        <item m="1" x="1520"/>
        <item m="1" x="7869"/>
        <item m="1" x="6956"/>
        <item m="1" x="3714"/>
        <item m="1" x="6863"/>
        <item m="1" x="3098"/>
        <item m="1" x="2580"/>
        <item m="1" x="7796"/>
        <item m="1" x="7455"/>
        <item m="1" x="2077"/>
        <item m="1" x="6970"/>
        <item m="1" x="2274"/>
        <item m="1" x="348"/>
        <item m="1" x="1761"/>
        <item m="1" x="2366"/>
        <item m="1" x="3016"/>
        <item m="1" x="1148"/>
        <item m="1" x="2094"/>
        <item m="1" x="2951"/>
        <item m="1" x="6693"/>
        <item m="1" x="6795"/>
        <item m="1" x="657"/>
        <item m="1" x="6103"/>
        <item m="1" x="6139"/>
        <item m="1" x="5866"/>
        <item m="1" x="4059"/>
        <item m="1" x="1686"/>
        <item m="1" x="2098"/>
        <item m="1" x="2250"/>
        <item m="1" x="2364"/>
        <item m="1" x="3111"/>
        <item m="1" x="3059"/>
        <item m="1" x="2288"/>
        <item m="1" x="658"/>
        <item m="1" x="3694"/>
        <item m="1" x="7456"/>
        <item m="1" x="3715"/>
        <item m="1" x="7870"/>
        <item m="1" x="362"/>
        <item m="1" x="1089"/>
        <item m="1" x="1654"/>
        <item m="1" x="886"/>
        <item m="1" x="2339"/>
        <item m="1" x="5204"/>
        <item m="1" x="7848"/>
        <item m="1" x="7938"/>
        <item m="1" x="220"/>
        <item m="1" x="1636"/>
        <item m="1" x="395"/>
        <item m="1" x="2325"/>
        <item m="1" x="696"/>
        <item m="1" x="7532"/>
        <item m="1" x="1762"/>
        <item m="1" x="4356"/>
        <item m="1" x="718"/>
        <item m="1" x="7968"/>
        <item m="1" x="639"/>
        <item m="1" x="411"/>
        <item m="1" x="3737"/>
        <item m="1" x="6822"/>
        <item m="1" x="4655"/>
        <item m="1" x="1722"/>
        <item m="1" x="4400"/>
        <item m="1" x="1723"/>
        <item m="1" x="7511"/>
        <item m="1" x="697"/>
        <item m="1" x="4311"/>
        <item m="1" x="3147"/>
        <item m="1" x="258"/>
        <item m="1" x="1046"/>
        <item m="1" x="941"/>
        <item m="1" x="2125"/>
        <item m="1" x="7773"/>
        <item m="1" x="5833"/>
        <item m="1" x="5081"/>
        <item m="1" x="3808"/>
        <item m="1" x="1257"/>
        <item m="1" x="3014"/>
        <item m="1" x="761"/>
        <item m="1" x="1812"/>
        <item m="1" x="3091"/>
        <item m="1" x="4571"/>
        <item m="1" x="378"/>
        <item m="1" x="3780"/>
        <item m="1" x="3037"/>
        <item m="1" x="1082"/>
        <item m="1" x="2779"/>
        <item m="1" x="7939"/>
        <item m="1" x="1204"/>
        <item m="1" x="2884"/>
        <item m="1" x="2397"/>
        <item m="1" x="3162"/>
        <item m="1" x="911"/>
        <item m="1" x="864"/>
        <item m="1" x="1214"/>
        <item m="1" x="2385"/>
        <item m="1" x="2121"/>
        <item m="1" x="3185"/>
        <item m="1" x="736"/>
        <item m="1" x="912"/>
        <item m="1" x="6170"/>
        <item m="1" x="2801"/>
        <item m="1" x="3842"/>
        <item m="1" x="6148"/>
        <item m="1" x="7410"/>
        <item m="1" x="760"/>
        <item m="1" x="4743"/>
        <item m="1" x="3186"/>
        <item m="1" x="5527"/>
        <item m="1" x="1804"/>
        <item m="1" x="2975"/>
        <item m="1" x="3863"/>
        <item m="1" x="5840"/>
        <item m="1" x="5593"/>
        <item m="1" x="7098"/>
        <item m="1" x="6816"/>
        <item m="1" x="5331"/>
        <item m="1" x="800"/>
        <item m="1" x="5891"/>
        <item m="1" x="4603"/>
        <item m="1" x="7389"/>
        <item m="1" x="7494"/>
        <item m="1" x="5069"/>
        <item m="1" x="7117"/>
        <item m="1" x="1822"/>
        <item m="1" x="6454"/>
        <item m="1" x="6211"/>
        <item m="1" x="5642"/>
        <item m="1" x="6425"/>
        <item m="1" x="829"/>
        <item m="1" x="5926"/>
        <item m="1" x="3209"/>
        <item m="1" x="1106"/>
        <item m="1" x="5855"/>
        <item m="1" x="5020"/>
        <item m="1" x="5874"/>
        <item m="1" x="4393"/>
        <item m="1" x="2451"/>
        <item m="1" x="2170"/>
        <item m="1" x="7286"/>
        <item m="1" x="3490"/>
        <item m="1" x="1871"/>
        <item m="1" x="861"/>
        <item m="1" x="6011"/>
        <item m="1" x="1142"/>
        <item m="1" x="6567"/>
        <item m="1" x="5643"/>
        <item m="1" x="4540"/>
        <item m="1" x="7164"/>
        <item m="1" x="5666"/>
        <item m="1" x="410"/>
        <item m="1" x="3090"/>
        <item m="1" x="889"/>
        <item m="1" x="6741"/>
        <item m="1" x="5385"/>
        <item m="1" x="7787"/>
        <item m="1" x="5594"/>
        <item m="1" x="7786"/>
        <item m="1" x="5968"/>
        <item m="1" x="1917"/>
        <item m="1" x="7506"/>
        <item m="1" x="5053"/>
        <item m="1" x="3254"/>
        <item m="1" x="4276"/>
        <item m="1" x="6524"/>
        <item m="1" x="5948"/>
        <item m="1" x="5332"/>
        <item m="1" x="2436"/>
        <item m="1" x="3220"/>
        <item m="1" x="5316"/>
        <item m="1" x="5873"/>
        <item m="1" x="6746"/>
        <item m="1" x="6127"/>
        <item m="1" x="2745"/>
        <item m="1" x="2764"/>
        <item m="1" x="3215"/>
        <item m="1" x="5037"/>
        <item m="1" x="3234"/>
        <item m="1" x="4801"/>
        <item m="1" x="5580"/>
        <item m="1" x="5084"/>
        <item m="1" x="5875"/>
        <item m="1" x="7815"/>
        <item m="1" x="3976"/>
        <item m="1" x="1936"/>
        <item m="1" x="4604"/>
        <item m="1" x="945"/>
        <item m="1" x="4220"/>
        <item m="1" x="3539"/>
        <item m="1" x="2192"/>
        <item m="1" x="6101"/>
        <item m="1" x="4410"/>
        <item m="1" x="5969"/>
        <item m="1" x="6568"/>
        <item m="1" x="7507"/>
        <item m="1" x="946"/>
        <item m="1" x="1667"/>
        <item m="1" x="6233"/>
        <item m="1" x="3275"/>
        <item m="1" x="2536"/>
        <item m="1" x="1893"/>
        <item m="1" x="6381"/>
        <item m="1" x="3568"/>
        <item m="1" x="3302"/>
        <item m="1" x="202"/>
        <item m="1" x="4525"/>
        <item m="1" x="5424"/>
        <item m="1" x="5675"/>
        <item m="1" x="2537"/>
        <item m="1" x="7574"/>
        <item m="1" x="6283"/>
        <item m="1" x="7886"/>
        <item m="1" x="6880"/>
        <item m="1" x="6302"/>
        <item m="1" x="3996"/>
        <item m="1" x="1960"/>
        <item m="1" x="6012"/>
        <item m="1" x="5467"/>
        <item m="1" x="6318"/>
        <item m="1" x="6862"/>
        <item m="1" x="3317"/>
        <item m="1" x="6909"/>
        <item m="1" x="1424"/>
        <item m="1" x="1961"/>
        <item m="1" x="1983"/>
        <item m="1" x="3601"/>
        <item m="1" x="6013"/>
        <item m="1" x="3318"/>
        <item m="1" x="6607"/>
        <item m="1" x="4063"/>
        <item m="1" x="3245"/>
        <item m="1" x="4558"/>
        <item m="1" x="7598"/>
        <item m="1" x="5218"/>
        <item m="1" x="4011"/>
        <item m="1" x="2215"/>
        <item m="1" x="6319"/>
        <item m="1" x="4855"/>
        <item m="1" x="6336"/>
        <item m="1" x="5551"/>
        <item m="1" x="508"/>
        <item m="1" x="644"/>
        <item m="1" x="4477"/>
        <item m="1" x="447"/>
        <item m="1" x="3202"/>
        <item m="1" x="6023"/>
        <item m="1" x="599"/>
        <item m="1" x="966"/>
        <item m="1" x="5155"/>
        <item m="1" x="4578"/>
        <item m="1" x="6284"/>
        <item m="1" x="7964"/>
        <item m="1" x="6632"/>
        <item m="1" x="723"/>
        <item m="1" x="2062"/>
        <item m="1" x="5252"/>
        <item m="1" x="2478"/>
        <item m="1" x="3891"/>
        <item m="1" x="7980"/>
        <item m="1" x="2559"/>
        <item m="1" x="7235"/>
        <item m="1" x="4062"/>
        <item m="1" x="4874"/>
        <item m="1" x="5406"/>
        <item m="1" x="3651"/>
        <item m="1" x="398"/>
        <item m="1" x="7599"/>
        <item m="1" x="2707"/>
        <item m="1" x="4605"/>
        <item m="1" x="2410"/>
        <item m="1" x="967"/>
        <item m="1" x="3470"/>
        <item m="1" x="6997"/>
        <item m="1" x="3765"/>
        <item m="1" x="5187"/>
        <item m="1" x="436"/>
        <item m="1" x="6645"/>
        <item m="1" x="209"/>
        <item m="1" x="4454"/>
        <item m="1" x="2389"/>
        <item m="1" x="2100"/>
        <item m="1" x="7319"/>
        <item m="1" x="2099"/>
        <item m="1" x="2446"/>
        <item m="1" x="479"/>
        <item m="1" x="1169"/>
        <item m="1" x="985"/>
        <item m="1" x="2734"/>
        <item m="1" x="2487"/>
        <item m="1" x="3070"/>
        <item m="1" x="466"/>
        <item m="1" x="7337"/>
        <item m="1" x="6911"/>
        <item m="1" x="3352"/>
        <item m="1" x="768"/>
        <item m="1" x="3100"/>
        <item m="1" x="7614"/>
        <item m="1" x="770"/>
        <item m="1" x="1856"/>
        <item m="1" x="4330"/>
        <item m="1" x="1018"/>
        <item m="1" x="5217"/>
        <item m="1" x="7411"/>
        <item m="1" x="2787"/>
        <item m="1" x="6171"/>
        <item m="1" x="1259"/>
        <item m="1" x="261"/>
        <item m="1" x="3433"/>
        <item m="1" x="3296"/>
        <item m="1" x="245"/>
        <item m="1" x="1189"/>
        <item m="1" x="2806"/>
        <item m="1" x="5564"/>
        <item m="1" x="6542"/>
        <item m="1" x="7374"/>
        <item m="1" x="786"/>
        <item m="1" x="2428"/>
        <item m="1" x="769"/>
        <item m="1" x="3123"/>
        <item m="1" x="1865"/>
        <item m="1" x="2759"/>
        <item m="1" x="3486"/>
        <item m="1" x="4472"/>
        <item m="1" x="7736"/>
        <item m="1" x="6680"/>
        <item m="1" x="192"/>
        <item m="1" x="724"/>
        <item m="1" x="480"/>
        <item m="1" x="1209"/>
        <item m="1" x="244"/>
        <item m="1" x="324"/>
        <item m="1" x="2429"/>
        <item m="1" x="467"/>
        <item m="1" x="7091"/>
        <item m="1" x="4473"/>
        <item m="1" x="4494"/>
        <item m="1" x="6149"/>
        <item m="1" x="751"/>
        <item m="1" x="1839"/>
        <item m="1" x="296"/>
        <item m="1" x="1246"/>
        <item m="1" x="7358"/>
        <item m="1" x="1190"/>
        <item m="1" x="226"/>
        <item m="1" x="7431"/>
        <item m="1" x="3148"/>
        <item m="1" x="918"/>
        <item m="1" x="2488"/>
        <item m="1" x="821"/>
        <item m="1" x="1295"/>
        <item m="1" x="375"/>
        <item m="1" x="2950"/>
        <item m="1" x="2555"/>
        <item m="1" x="3623"/>
        <item m="1" x="7178"/>
        <item m="1" x="704"/>
        <item m="1" x="969"/>
        <item m="1" x="1783"/>
        <item m="1" x="243"/>
        <item m="1" x="767"/>
        <item m="1" x="1245"/>
        <item m="1" x="2285"/>
        <item m="1" x="3905"/>
        <item m="1" x="1260"/>
        <item m="1" x="1888"/>
        <item m="1" x="2864"/>
        <item m="1" x="7412"/>
        <item m="1" x="3594"/>
        <item m="1" x="2470"/>
        <item m="1" x="7596"/>
        <item m="1" x="310"/>
        <item m="1" x="1247"/>
        <item m="1" x="807"/>
        <item m="1" x="1615"/>
        <item m="1" x="3950"/>
        <item m="1" x="7864"/>
        <item m="1" x="2575"/>
        <item m="1" x="878"/>
        <item m="1" x="1384"/>
        <item m="1" x="837"/>
        <item m="1" x="3648"/>
        <item m="1" x="1296"/>
        <item m="1" x="1357"/>
        <item m="1" x="3269"/>
        <item m="1" x="1953"/>
        <item m="1" x="4836"/>
        <item m="1" x="343"/>
        <item m="1" x="1139"/>
        <item m="1" x="3687"/>
        <item m="1" x="2037"/>
        <item m="1" x="3972"/>
        <item m="1" x="3577"/>
        <item m="1" x="1733"/>
        <item m="1" x="3383"/>
        <item m="1" x="1019"/>
        <item m="1" x="853"/>
        <item m="1" x="3560"/>
        <item m="1" x="6016"/>
        <item m="1" x="6588"/>
        <item m="1" x="866"/>
        <item m="1" x="2566"/>
        <item m="1" x="3607"/>
        <item m="1" x="6932"/>
        <item m="1" x="5368"/>
        <item m="1" x="6530"/>
        <item m="1" x="7940"/>
        <item m="1" x="4520"/>
        <item m="1" x="4340"/>
        <item m="1" x="5392"/>
        <item m="1" x="2583"/>
        <item m="1" x="4864"/>
        <item m="1" x="3702"/>
        <item m="1" x="6747"/>
        <item m="1" x="4387"/>
        <item m="1" x="4894"/>
        <item m="1" x="5646"/>
        <item m="1" x="5409"/>
        <item m="1" x="6039"/>
        <item m="1" x="4000"/>
        <item m="1" x="3677"/>
        <item m="1" x="1944"/>
        <item m="1" x="5135"/>
        <item m="1" x="4365"/>
        <item m="1" x="325"/>
        <item m="1" x="563"/>
        <item m="1" x="2370"/>
        <item m="1" x="3047"/>
        <item m="1" x="7218"/>
        <item m="1" x="4926"/>
        <item m="1" x="6612"/>
        <item m="1" x="2646"/>
        <item m="1" x="1458"/>
        <item m="1" x="7554"/>
        <item m="1" x="1931"/>
        <item m="1" x="4946"/>
        <item m="1" x="1278"/>
        <item m="1" x="4678"/>
        <item m="1" x="4341"/>
        <item m="1" x="6572"/>
        <item m="1" x="1965"/>
        <item m="1" x="2411"/>
        <item m="1" x="5747"/>
        <item m="1" x="4388"/>
        <item m="1" x="5488"/>
        <item m="1" x="6933"/>
        <item m="1" x="5472"/>
        <item m="1" x="6017"/>
        <item m="1" x="6040"/>
        <item m="1" x="7941"/>
        <item m="1" x="5994"/>
        <item m="1" x="2078"/>
        <item m="1" x="4662"/>
        <item m="1" x="6304"/>
        <item m="1" x="2995"/>
        <item m="1" x="2593"/>
        <item m="1" x="5124"/>
        <item m="1" x="5538"/>
        <item m="1" x="5434"/>
        <item m="1" x="3745"/>
        <item m="1" x="5503"/>
        <item m="1" x="6067"/>
        <item m="1" x="3124"/>
        <item m="1" x="1575"/>
        <item m="1" x="7606"/>
        <item m="1" x="2489"/>
        <item m="1" x="6658"/>
        <item m="1" x="6959"/>
        <item m="1" x="7293"/>
        <item m="1" x="3048"/>
        <item m="1" x="6676"/>
        <item m="1" x="7312"/>
        <item m="1" x="4342"/>
        <item m="1" x="4911"/>
        <item m="1" x="5192"/>
        <item m="1" x="5504"/>
        <item m="1" x="6068"/>
        <item m="1" x="4961"/>
        <item m="1" x="6613"/>
        <item m="1" x="5519"/>
        <item m="1" x="6104"/>
        <item m="1" x="3813"/>
        <item m="1" x="4895"/>
        <item m="1" x="2748"/>
        <item m="1" x="1529"/>
        <item m="1" x="2471"/>
        <item m="1" x="5520"/>
        <item m="1" x="2533"/>
        <item m="1" x="1191"/>
        <item m="1" x="6041"/>
        <item m="1" x="4996"/>
        <item m="1" x="3463"/>
        <item m="1" x="879"/>
        <item m="1" x="5901"/>
        <item m="1" x="5489"/>
        <item m="1" x="4474"/>
        <item m="1" x="1231"/>
        <item m="1" x="3719"/>
        <item m="1" x="4122"/>
        <item m="1" x="906"/>
        <item m="1" x="2039"/>
        <item m="1" x="3101"/>
        <item m="1" x="3812"/>
        <item m="1" x="6360"/>
        <item m="1" x="5943"/>
        <item m="1" x="4406"/>
        <item m="1" x="2390"/>
        <item m="1" x="5221"/>
        <item m="1" x="1796"/>
        <item m="1" x="6184"/>
        <item m="1" x="3373"/>
        <item m="1" x="6723"/>
        <item m="1" x="7370"/>
        <item m="1" x="1192"/>
        <item m="1" x="2063"/>
        <item m="1" x="2653"/>
        <item m="1" x="3746"/>
        <item m="1" x="1784"/>
        <item m="1" x="7093"/>
        <item m="1" x="2680"/>
        <item m="1" x="3859"/>
        <item m="1" x="7679"/>
        <item m="1" x="4407"/>
        <item m="1" x="5667"/>
        <item m="1" x="4475"/>
        <item m="1" x="5521"/>
        <item m="1" x="3860"/>
        <item m="1" x="5575"/>
        <item m="1" x="4123"/>
        <item m="1" x="1317"/>
        <item m="1" x="3330"/>
        <item m="1" x="4424"/>
        <item m="1" x="2038"/>
        <item m="1" x="2576"/>
        <item m="1" x="1261"/>
        <item m="1" x="7703"/>
        <item m="1" x="4736"/>
        <item m="1" x="5066"/>
        <item m="1" x="893"/>
        <item m="1" x="5011"/>
        <item m="1" x="7313"/>
        <item m="1" x="6118"/>
        <item m="1" x="6140"/>
        <item m="1" x="5239"/>
        <item m="1" x="5555"/>
        <item m="1" x="6695"/>
        <item m="1" x="3036"/>
        <item m="1" x="2631"/>
        <item m="1" x="4495"/>
        <item m="1" x="4983"/>
        <item m="1" x="1817"/>
        <item m="1" x="5278"/>
        <item m="1" x="7331"/>
        <item m="1" x="5033"/>
        <item m="1" x="7330"/>
        <item m="1" x="6783"/>
        <item m="1" x="5858"/>
        <item m="1" x="6724"/>
        <item m="1" x="1172"/>
        <item m="1" x="5556"/>
        <item m="1" x="549"/>
        <item m="1" x="1545"/>
        <item m="1" x="5877"/>
        <item m="1" x="3276"/>
        <item m="1" x="3505"/>
        <item m="1" x="907"/>
        <item m="1" x="3569"/>
        <item m="1" x="1074"/>
        <item m="1" x="530"/>
        <item m="1" x="1321"/>
        <item m="1" x="4267"/>
        <item m="1" x="7416"/>
        <item m="1" x="7797"/>
        <item m="1" x="3602"/>
        <item m="1" x="833"/>
        <item m="1" x="2275"/>
        <item m="1" x="615"/>
        <item m="1" x="1655"/>
        <item m="1" x="1637"/>
        <item m="1" x="3858"/>
        <item m="1" x="1749"/>
        <item m="1" x="942"/>
        <item m="1" x="7186"/>
        <item m="1" x="7254"/>
        <item m="1" x="5909"/>
        <item m="1" x="4315"/>
        <item m="1" x="2289"/>
        <item m="1" x="6796"/>
        <item m="1" x="1724"/>
        <item m="1" x="7871"/>
        <item m="1" x="3089"/>
        <item m="1" x="2928"/>
        <item m="1" x="1363"/>
        <item m="1" x="5601"/>
        <item m="1" x="1356"/>
        <item m="1" x="4455"/>
        <item m="1" x="328"/>
        <item m="1" x="574"/>
        <item m="1" x="1115"/>
        <item m="1" x="2560"/>
        <item m="1" x="7369"/>
        <item m="1" x="7434"/>
        <item m="1" x="1130"/>
        <item m="1" x="1687"/>
        <item m="1" x="3336"/>
        <item m="1" x="3695"/>
        <item m="1" x="3550"/>
        <item m="1" x="936"/>
        <item m="1" x="3628"/>
        <item m="1" x="659"/>
        <item m="1" x="495"/>
        <item m="1" x="640"/>
        <item m="1" x="7942"/>
        <item m="1" x="3880"/>
        <item m="1" x="600"/>
        <item m="1" x="4357"/>
        <item m="1" x="379"/>
        <item m="1" x="1725"/>
        <item m="1" x="4420"/>
        <item m="1" x="7469"/>
        <item m="1" x="5996"/>
        <item m="1" x="6589"/>
        <item m="1" x="3906"/>
        <item m="1" x="525"/>
        <item m="1" x="627"/>
        <item m="1" x="1446"/>
        <item m="1" x="7555"/>
        <item m="1" x="7581"/>
        <item m="1" x="2367"/>
        <item m="1" x="7292"/>
        <item m="1" x="5954"/>
        <item m="1" x="3170"/>
        <item m="1" x="3038"/>
        <item m="1" x="1116"/>
        <item m="1" x="5635"/>
        <item m="1" x="1402"/>
        <item m="1" x="3140"/>
        <item m="1" x="2668"/>
        <item m="1" x="609"/>
        <item m="1" x="1848"/>
        <item m="1" x="1556"/>
        <item m="1" x="1399"/>
        <item m="1" x="1774"/>
        <item m="1" x="3329"/>
        <item m="1" x="2920"/>
        <item m="1" x="1992"/>
        <item m="1" x="660"/>
        <item m="1" x="1184"/>
        <item m="1" x="968"/>
        <item m="1" x="412"/>
        <item m="1" x="699"/>
        <item m="1" x="4217"/>
        <item m="1" x="3738"/>
        <item m="1" x="1883"/>
        <item m="1" x="7402"/>
        <item m="1" x="4382"/>
        <item m="1" x="6886"/>
        <item m="1" x="7512"/>
        <item m="1" x="677"/>
        <item m="1" x="4181"/>
        <item m="1" x="6134"/>
        <item m="1" x="3384"/>
        <item m="1" x="4468"/>
        <item m="1" x="5346"/>
        <item m="1" x="5026"/>
        <item m="1" x="6512"/>
        <item m="1" x="3869"/>
        <item m="1" x="5584"/>
        <item m="1" x="1015"/>
        <item m="1" x="4254"/>
        <item m="1" x="5043"/>
        <item m="1" x="5058"/>
        <item m="1" x="349"/>
        <item m="1" x="3672"/>
        <item m="1" x="6152"/>
        <item m="1" x="6716"/>
        <item m="1" x="5044"/>
        <item m="1" x="6779"/>
        <item m="1" x="7853"/>
        <item m="1" x="5677"/>
        <item m="1" x="1047"/>
        <item m="1" x="6021"/>
        <item m="1" x="4503"/>
        <item m="1" x="4302"/>
        <item m="1" x="6153"/>
        <item m="1" x="6622"/>
        <item m="1" x="4351"/>
        <item m="1" x="7919"/>
        <item m="1" x="3585"/>
        <item m="1" x="6780"/>
        <item m="1" x="5995"/>
        <item m="1" x="3225"/>
        <item m="1" x="4832"/>
        <item m="1" x="7460"/>
        <item m="1" x="4534"/>
        <item m="1" x="5161"/>
        <item m="1" x="3201"/>
        <item m="1" x="7517"/>
        <item m="1" x="5075"/>
        <item m="1" x="7832"/>
        <item m="1" x="4303"/>
        <item m="1" x="5087"/>
        <item m="1" x="4846"/>
        <item m="1" x="5659"/>
        <item m="1" x="6219"/>
        <item m="1" x="6800"/>
        <item m="1" x="6535"/>
        <item m="1" x="5668"/>
        <item m="1" x="6737"/>
        <item m="1" x="7147"/>
        <item m="1" x="6555"/>
        <item m="1" x="7190"/>
        <item m="1" x="2212"/>
        <item m="1" x="3226"/>
        <item m="1" x="6659"/>
        <item m="1" x="4394"/>
        <item m="1" x="7445"/>
        <item m="1" x="3429"/>
        <item m="1" x="5660"/>
        <item m="1" x="4901"/>
        <item m="1" x="6306"/>
        <item m="1" x="6851"/>
        <item m="1" x="7475"/>
        <item m="1" x="5661"/>
        <item m="1" x="5610"/>
        <item m="1" x="4567"/>
        <item m="1" x="2230"/>
        <item m="1" x="5683"/>
        <item m="1" x="6894"/>
        <item m="1" x="3290"/>
        <item m="1" x="5162"/>
        <item m="1" x="4428"/>
        <item m="1" x="7953"/>
        <item m="1" x="5662"/>
        <item m="1" x="5439"/>
        <item m="1" x="3404"/>
        <item m="1" x="3040"/>
        <item m="1" x="6939"/>
        <item m="1" x="6050"/>
        <item m="1" x="361"/>
        <item m="1" x="5698"/>
        <item m="1" x="7561"/>
        <item m="1" x="4458"/>
        <item m="1" x="4915"/>
        <item m="1" x="5462"/>
        <item m="1" x="6194"/>
        <item m="1" x="6757"/>
        <item m="1" x="6556"/>
        <item m="1" x="7265"/>
        <item m="1" x="7982"/>
        <item m="1" x="3343"/>
        <item m="1" x="4304"/>
        <item m="1" x="6916"/>
        <item m="1" x="3035"/>
        <item m="1" x="6868"/>
        <item m="1" x="7498"/>
        <item m="1" x="1576"/>
        <item m="1" x="4610"/>
        <item m="1" x="3749"/>
        <item m="1" x="6320"/>
        <item m="1" x="7734"/>
        <item m="1" x="2990"/>
        <item m="1" x="6051"/>
        <item m="1" x="408"/>
        <item m="1" x="2556"/>
        <item m="1" x="3794"/>
        <item m="1" x="4498"/>
        <item m="1" x="7981"/>
        <item m="1" x="2378"/>
        <item m="1" x="1513"/>
        <item m="1" x="6042"/>
        <item m="1" x="3265"/>
        <item m="1" x="484"/>
        <item m="1" x="2770"/>
        <item m="1" x="3800"/>
        <item m="1" x="5705"/>
        <item m="1" x="3931"/>
        <item m="1" x="7041"/>
        <item m="1" x="6383"/>
        <item m="1" x="7106"/>
        <item m="1" x="690"/>
        <item m="1" x="1174"/>
        <item m="1" x="3132"/>
        <item m="1" x="1977"/>
        <item m="1" x="2594"/>
        <item m="1" x="4646"/>
        <item m="1" x="6778"/>
        <item m="1" x="3241"/>
        <item m="1" x="6357"/>
        <item m="1" x="6954"/>
        <item m="1" x="7965"/>
        <item m="1" x="698"/>
        <item m="1" x="1337"/>
        <item m="1" x="4485"/>
        <item m="1" x="2154"/>
        <item m="1" x="987"/>
        <item m="1" x="4012"/>
        <item m="1" x="7724"/>
        <item m="1" x="1584"/>
        <item m="1" x="7483"/>
        <item m="1" x="3163"/>
        <item m="1" x="3077"/>
        <item m="1" x="1789"/>
        <item m="1" x="1000"/>
        <item m="1" x="502"/>
        <item m="1" x="4683"/>
        <item m="1" x="2876"/>
        <item m="1" x="1622"/>
        <item m="1" x="2179"/>
        <item m="1" x="3192"/>
        <item m="1" x="5692"/>
        <item m="1" x="2850"/>
        <item m="1" x="7065"/>
        <item m="1" x="3894"/>
        <item m="1" x="6239"/>
        <item m="1" x="6799"/>
        <item m="1" x="6596"/>
        <item m="1" x="3133"/>
        <item m="1" x="4716"/>
        <item m="1" x="6905"/>
        <item m="1" x="1308"/>
        <item m="1" x="6164"/>
        <item m="1" x="5399"/>
        <item m="1" x="3222"/>
        <item m="1" x="2840"/>
        <item m="1" x="6398"/>
        <item m="1" x="4588"/>
        <item m="1" x="956"/>
        <item m="1" x="6696"/>
        <item m="1" x="7405"/>
        <item m="1" x="5017"/>
        <item m="1" x="6087"/>
        <item m="1" x="3307"/>
        <item m="1" x="4530"/>
        <item m="1" x="4582"/>
        <item m="1" x="301"/>
        <item m="1" x="1606"/>
        <item m="1" x="3937"/>
        <item m="1" x="1874"/>
        <item m="1" x="514"/>
        <item m="1" x="3895"/>
        <item m="1" x="553"/>
        <item m="1" x="2961"/>
        <item m="1" x="5419"/>
        <item m="1" x="6115"/>
        <item m="1" x="1694"/>
        <item m="1" x="2541"/>
        <item m="1" x="7148"/>
        <item m="1" x="3261"/>
        <item m="1" x="2241"/>
        <item m="1" x="6827"/>
        <item m="1" x="6147"/>
        <item m="1" x="2019"/>
        <item m="1" x="6742"/>
        <item m="1" x="7522"/>
        <item m="1" x="3221"/>
        <item m="1" x="7386"/>
        <item m="1" x="2978"/>
        <item m="1" x="7466"/>
        <item m="1" x="3262"/>
        <item m="1" x="7125"/>
        <item m="1" x="537"/>
        <item m="1" x="332"/>
        <item m="1" x="4583"/>
        <item m="1" x="605"/>
        <item m="1" x="494"/>
        <item m="1" x="1078"/>
        <item m="1" x="3938"/>
        <item m="1" x="2908"/>
        <item m="1" x="554"/>
        <item m="1" x="6273"/>
        <item m="1" x="6850"/>
        <item m="1" x="6626"/>
        <item m="1" x="3193"/>
        <item m="1" x="2865"/>
        <item m="1" x="3349"/>
        <item m="1" x="2293"/>
        <item m="1" x="3284"/>
        <item m="1" x="1972"/>
        <item m="1" x="4044"/>
        <item m="1" x="4879"/>
        <item m="1" x="4636"/>
        <item m="1" x="3928"/>
        <item m="1" x="6563"/>
        <item m="1" x="7523"/>
        <item m="1" x="5669"/>
        <item m="1" x="3649"/>
        <item m="1" x="2372"/>
        <item m="1" x="2615"/>
        <item m="1" x="3973"/>
        <item m="1" x="2083"/>
        <item m="1" x="3391"/>
        <item m="1" x="2067"/>
        <item m="1" x="4327"/>
        <item m="1" x="290"/>
        <item m="1" x="6119"/>
        <item m="1" x="7986"/>
        <item m="1" x="6966"/>
        <item m="1" x="5738"/>
        <item m="1" x="6003"/>
        <item m="1" x="5720"/>
        <item m="1" x="4615"/>
        <item m="1" x="2109"/>
        <item m="1" x="1314"/>
        <item m="1" x="2542"/>
        <item m="1" x="1954"/>
        <item m="1" x="2595"/>
        <item m="1" x="5169"/>
        <item m="1" x="6329"/>
        <item m="1" x="6867"/>
        <item m="1" x="587"/>
        <item m="1" x="6348"/>
        <item m="1" x="6648"/>
        <item m="1" x="4918"/>
        <item m="1" x="3260"/>
        <item m="1" x="2979"/>
        <item m="1" x="5148"/>
        <item m="1" x="3414"/>
        <item m="1" x="4056"/>
        <item m="1" x="3711"/>
        <item m="1" x="6078"/>
        <item m="1" x="7648"/>
        <item m="1" x="6363"/>
        <item m="1" x="2632"/>
        <item m="1" x="2647"/>
        <item m="1" x="4940"/>
        <item m="1" x="5201"/>
        <item m="1" x="3415"/>
        <item m="1" x="6944"/>
        <item m="1" x="4045"/>
        <item m="1" x="3379"/>
        <item m="1" x="6629"/>
        <item m="1" x="6943"/>
        <item m="1" x="6349"/>
        <item m="1" x="3729"/>
        <item m="1" x="7544"/>
        <item m="1" x="618"/>
        <item m="1" x="2669"/>
        <item m="1" x="6686"/>
        <item m="1" x="3011"/>
        <item m="1" x="6663"/>
        <item m="1" x="3237"/>
        <item m="1" x="1459"/>
        <item m="1" x="2029"/>
        <item m="1" x="1588"/>
        <item m="1" x="4026"/>
        <item m="1" x="7649"/>
        <item m="1" x="7666"/>
        <item m="1" x="7011"/>
        <item m="1" x="3032"/>
        <item m="1" x="1479"/>
        <item m="1" x="4137"/>
        <item m="1" x="2068"/>
        <item m="1" x="5756"/>
        <item m="1" x="6079"/>
        <item m="1" x="6364"/>
        <item m="1" x="2046"/>
        <item m="1" x="4138"/>
        <item m="1" x="6764"/>
        <item m="1" x="4272"/>
        <item m="1" x="4139"/>
        <item m="1" x="4722"/>
        <item m="1" x="2719"/>
        <item m="1" x="5802"/>
        <item m="1" x="5859"/>
        <item m="1" x="6159"/>
        <item m="1" x="3416"/>
        <item m="1" x="4446"/>
        <item m="1" x="2616"/>
        <item m="1" x="5702"/>
        <item m="1" x="7667"/>
        <item m="1" x="5933"/>
        <item m="1" x="645"/>
        <item m="1" x="3475"/>
        <item m="1" x="3801"/>
        <item m="1" x="3770"/>
        <item m="1" x="3542"/>
        <item m="1" x="2694"/>
        <item m="1" x="2772"/>
        <item m="1" x="6056"/>
        <item m="1" x="2087"/>
        <item m="1" x="4686"/>
        <item m="1" x="3656"/>
        <item m="1" x="2878"/>
        <item m="1" x="2111"/>
        <item m="1" x="2182"/>
        <item m="1" x="7566"/>
        <item m="1" x="3305"/>
        <item m="1" x="3078"/>
        <item m="1" x="4057"/>
        <item m="1" x="1886"/>
        <item m="1" x="3608"/>
        <item m="1" x="2814"/>
        <item m="1" x="4750"/>
        <item m="1" x="6157"/>
        <item m="1" x="4140"/>
        <item m="1" x="3497"/>
        <item m="1" x="6018"/>
        <item m="1" x="2391"/>
        <item m="1" x="7470"/>
        <item m="1" x="7743"/>
        <item m="1" x="6834"/>
        <item m="1" x="7446"/>
        <item m="1" x="7347"/>
        <item m="1" x="3939"/>
        <item m="1" x="2180"/>
        <item m="1" x="4155"/>
        <item m="1" x="682"/>
        <item m="1" x="3283"/>
        <item m="1" x="1530"/>
        <item m="1" x="2110"/>
        <item m="1" x="904"/>
        <item m="1" x="5809"/>
        <item m="1" x="1630"/>
        <item m="1" x="663"/>
        <item m="1" x="3968"/>
        <item m="1" x="1988"/>
        <item m="1" x="6156"/>
        <item m="1" x="7366"/>
        <item m="1" x="7020"/>
        <item m="1" x="1599"/>
        <item m="1" x="2086"/>
        <item m="1" x="4176"/>
        <item m="1" x="830"/>
        <item m="1" x="1949"/>
        <item m="1" x="875"/>
        <item m="1" x="559"/>
        <item m="1" x="2886"/>
        <item m="1" x="6200"/>
        <item m="1" x="831"/>
        <item m="1" x="6835"/>
        <item m="1" x="4512"/>
        <item m="1" x="7715"/>
        <item m="1" x="6105"/>
        <item m="1" x="7556"/>
        <item m="1" x="927"/>
        <item m="1" x="7484"/>
        <item m="1" x="589"/>
        <item m="1" x="6732"/>
        <item m="1" x="7798"/>
        <item m="1" x="1349"/>
        <item m="1" x="2610"/>
        <item m="1" x="1040"/>
        <item m="1" x="862"/>
        <item m="1" x="1083"/>
        <item m="1" x="4078"/>
        <item m="1" x="1989"/>
        <item m="1" x="1902"/>
        <item m="1" x="1377"/>
        <item m="1" x="2267"/>
        <item m="1" x="2625"/>
        <item m="1" x="1397"/>
        <item m="1" x="708"/>
        <item m="1" x="1823"/>
        <item m="1" x="2002"/>
        <item m="1" x="6278"/>
        <item m="1" x="3134"/>
        <item m="1" x="3724"/>
        <item m="1" x="6297"/>
        <item m="1" x="4647"/>
        <item m="1" x="6165"/>
        <item m="1" x="928"/>
        <item m="1" x="2587"/>
        <item m="1" x="2991"/>
        <item m="1" x="1417"/>
        <item m="1" x="387"/>
        <item m="1" x="369"/>
        <item m="1" x="3051"/>
        <item m="1" x="402"/>
        <item m="1" x="7592"/>
        <item m="1" x="2332"/>
        <item m="1" x="1398"/>
        <item m="1" x="2080"/>
        <item m="1" x="953"/>
        <item m="1" x="929"/>
        <item m="1" x="7607"/>
        <item m="1" x="890"/>
        <item m="1" x="1566"/>
        <item m="1" x="2155"/>
        <item m="1" x="4136"/>
        <item m="1" x="2689"/>
        <item m="1" x="337"/>
        <item m="1" x="6945"/>
        <item m="1" x="1752"/>
        <item m="1" x="401"/>
        <item m="1" x="667"/>
        <item m="1" x="2730"/>
        <item m="1" x="863"/>
        <item m="1" x="7567"/>
        <item m="1" x="648"/>
        <item m="1" x="1418"/>
        <item m="1" x="417"/>
        <item m="1" x="1143"/>
        <item m="1" x="2003"/>
        <item m="1" x="439"/>
        <item m="1" x="930"/>
        <item m="1" x="2181"/>
        <item m="1" x="4206"/>
        <item m="1" x="1716"/>
        <item m="1" x="876"/>
        <item m="1" x="1493"/>
        <item m="1" x="3408"/>
        <item m="1" x="1315"/>
        <item m="1" x="4105"/>
        <item m="1" x="7775"/>
        <item m="1" x="3822"/>
        <item m="1" x="915"/>
        <item m="1" x="1453"/>
        <item m="1" x="2641"/>
        <item m="1" x="2349"/>
        <item m="1" x="2023"/>
        <item m="1" x="418"/>
        <item m="1" x="954"/>
        <item m="1" x="1546"/>
        <item m="1" x="2658"/>
        <item m="1" x="4111"/>
        <item m="1" x="6395"/>
        <item m="1" x="6311"/>
        <item m="1" x="7901"/>
        <item m="1" x="1434"/>
        <item m="1" x="440"/>
        <item m="1" x="3106"/>
        <item m="1" x="3072"/>
        <item m="1" x="3434"/>
        <item m="1" x="5049"/>
        <item m="1" x="758"/>
        <item m="1" x="180"/>
        <item m="1" x="1225"/>
        <item m="1" x="971"/>
        <item m="1" x="3450"/>
        <item m="1" x="7619"/>
        <item m="1" x="3194"/>
        <item m="1" x="2699"/>
        <item m="1" x="4744"/>
        <item m="1" x="2095"/>
        <item m="1" x="4992"/>
        <item m="1" x="3171"/>
        <item m="1" x="427"/>
        <item m="1" x="7903"/>
        <item m="1" x="1847"/>
        <item m="1" x="3870"/>
        <item m="1" x="3464"/>
        <item m="1" x="6738"/>
        <item m="1" x="2443"/>
        <item m="1" x="4767"/>
        <item m="1" x="6220"/>
        <item m="1" x="5585"/>
        <item m="1" x="7085"/>
        <item m="1" x="952"/>
        <item m="1" x="7382"/>
        <item m="1" x="7396"/>
        <item m="1" x="1607"/>
        <item m="1" x="2205"/>
        <item m="1" x="4367"/>
        <item m="1" x="6154"/>
        <item m="1" x="1482"/>
        <item m="1" x="6493"/>
        <item m="1" x="7170"/>
        <item m="1" x="7397"/>
        <item m="1" x="4164"/>
        <item m="1" x="2224"/>
        <item m="1" x="4246"/>
        <item m="1" x="2483"/>
        <item m="1" x="4790"/>
        <item m="1" x="5958"/>
        <item m="1" x="5076"/>
        <item m="1" x="2802"/>
        <item m="1" x="7421"/>
        <item m="1" x="2803"/>
        <item m="1" x="2780"/>
        <item m="1" x="4504"/>
        <item m="1" x="2136"/>
        <item m="1" x="4550"/>
        <item m="1" x="7476"/>
        <item m="1" x="7821"/>
        <item m="1" x="4807"/>
        <item m="1" x="3291"/>
        <item m="1" x="5163"/>
        <item m="1" x="5647"/>
        <item m="1" x="7149"/>
        <item m="1" x="5088"/>
        <item m="1" x="970"/>
        <item m="1" x="5628"/>
        <item m="1" x="4154"/>
        <item m="1" x="2551"/>
        <item m="1" x="5663"/>
        <item m="1" x="6801"/>
        <item m="1" x="6494"/>
        <item m="1" x="7171"/>
        <item m="1" x="3586"/>
        <item m="1" x="6252"/>
        <item m="1" x="6869"/>
        <item m="1" x="7499"/>
        <item m="1" x="6221"/>
        <item m="1" x="3435"/>
        <item m="1" x="4227"/>
        <item m="1" x="2166"/>
        <item m="1" x="3551"/>
        <item m="1" x="4589"/>
        <item m="1" x="3238"/>
        <item m="1" x="4175"/>
        <item m="1" x="7477"/>
        <item m="1" x="1332"/>
        <item m="1" x="6517"/>
        <item m="1" x="651"/>
        <item m="1" x="7126"/>
        <item m="1" x="4255"/>
        <item m="1" x="5127"/>
        <item m="1" x="7585"/>
        <item m="1" x="1022"/>
        <item m="1" x="3516"/>
        <item m="1" x="4395"/>
        <item m="1" x="1643"/>
        <item m="1" x="2242"/>
        <item m="1" x="2856"/>
        <item m="1" x="3638"/>
        <item m="1" x="4092"/>
        <item m="1" x="4868"/>
        <item m="1" x="5198"/>
        <item m="1" x="5114"/>
        <item m="1" x="6895"/>
        <item m="1" x="2887"/>
        <item m="1" x="3942"/>
        <item m="1" x="1950"/>
        <item m="1" x="2915"/>
        <item m="1" x="3615"/>
        <item m="1" x="4551"/>
        <item m="1" x="2570"/>
        <item m="1" x="4277"/>
        <item m="1" x="5101"/>
        <item m="1" x="6917"/>
        <item m="1" x="2294"/>
        <item m="1" x="4298"/>
        <item m="1" x="7525"/>
        <item m="1" x="2659"/>
        <item m="1" x="5142"/>
        <item m="1" x="4039"/>
        <item m="1" x="834"/>
        <item m="1" x="4131"/>
        <item m="1" x="2939"/>
        <item m="1" x="5699"/>
        <item m="1" x="6377"/>
        <item m="1" x="5128"/>
        <item m="1" x="4669"/>
        <item m="1" x="7224"/>
        <item m="1" x="5164"/>
        <item m="1" x="5700"/>
        <item m="1" x="6254"/>
        <item m="1" x="2280"/>
        <item m="1" x="6495"/>
        <item m="1" x="3923"/>
        <item m="1" x="7549"/>
        <item m="1" x="5242"/>
        <item m="1" x="3308"/>
        <item m="1" x="2251"/>
        <item m="1" x="4202"/>
        <item m="1" x="7538"/>
        <item m="1" x="7439"/>
        <item m="1" x="3359"/>
        <item m="1" x="7954"/>
        <item m="1" x="5863"/>
        <item m="1" x="6274"/>
        <item m="1" x="4568"/>
        <item m="1" x="5376"/>
        <item m="1" x="6289"/>
        <item m="1" x="6627"/>
        <item m="1" x="4429"/>
        <item m="1" x="7642"/>
        <item m="1" x="4648"/>
        <item m="1" x="1473"/>
        <item m="1" x="6000"/>
        <item m="1" x="3358"/>
        <item m="1" x="1435"/>
        <item m="1" x="4188"/>
        <item m="1" x="5100"/>
        <item m="1" x="5113"/>
        <item m="1" x="6870"/>
        <item m="1" x="5141"/>
        <item m="1" x="1419"/>
        <item m="1" x="1480"/>
        <item m="1" x="2351"/>
        <item m="1" x="1221"/>
        <item m="1" x="7042"/>
        <item m="1" x="672"/>
        <item m="1" x="7655"/>
        <item m="1" x="7309"/>
        <item m="1" x="199"/>
        <item m="1" x="732"/>
        <item m="1" x="2069"/>
        <item m="1" x="691"/>
        <item m="1" x="2671"/>
        <item m="1" x="7601"/>
        <item m="1" x="6032"/>
        <item m="1" x="2088"/>
        <item m="1" x="4447"/>
        <item m="1" x="6925"/>
        <item m="1" x="2113"/>
        <item m="1" x="3805"/>
        <item m="1" x="6654"/>
        <item m="1" x="1875"/>
        <item m="1" x="7854"/>
        <item m="1" x="2857"/>
        <item m="1" x="6253"/>
        <item m="1" x="3079"/>
        <item m="1" x="425"/>
        <item m="1" x="5199"/>
        <item m="1" x="1175"/>
        <item m="1" x="4486"/>
        <item m="1" x="1510"/>
        <item m="1" x="2279"/>
        <item m="1" x="7586"/>
        <item m="1" x="2157"/>
        <item m="1" x="250"/>
        <item m="1" x="2502"/>
        <item m="1" x="195"/>
        <item m="1" x="7628"/>
        <item m="1" x="7345"/>
        <item m="1" x="4703"/>
        <item m="1" x="267"/>
        <item m="1" x="1176"/>
        <item m="1" x="1286"/>
        <item m="1" x="3164"/>
        <item m="1" x="1876"/>
        <item m="1" x="4502"/>
        <item m="1" x="6255"/>
        <item m="1" x="7675"/>
        <item m="1" x="183"/>
        <item m="1" x="472"/>
        <item m="1" x="3844"/>
        <item m="1" x="1860"/>
        <item m="1" x="3543"/>
        <item m="1" x="6114"/>
        <item m="1" x="6671"/>
        <item m="1" x="1585"/>
        <item m="1" x="2797"/>
        <item m="1" x="7346"/>
        <item m="1" x="2437"/>
        <item m="1" x="7398"/>
        <item m="1" x="538"/>
        <item m="1" x="2596"/>
        <item m="1" x="3468"/>
        <item m="1" x="359"/>
        <item m="1" x="3875"/>
        <item m="1" x="2122"/>
        <item m="1" x="1780"/>
        <item m="1" x="4640"/>
        <item m="1" x="2895"/>
        <item m="1" x="3915"/>
        <item m="1" x="1830"/>
        <item m="1" x="4780"/>
        <item m="1" x="6052"/>
        <item m="1" x="1222"/>
        <item m="1" x="7086"/>
        <item m="1" x="7753"/>
        <item m="1" x="321"/>
        <item m="1" x="7600"/>
        <item m="1" x="3135"/>
        <item m="1" x="5317"/>
        <item m="1" x="539"/>
        <item m="1" x="2320"/>
        <item m="1" x="1775"/>
        <item m="1" x="3165"/>
        <item m="1" x="2524"/>
        <item m="1" x="1198"/>
        <item m="1" x="485"/>
        <item m="1" x="515"/>
        <item m="1" x="1012"/>
        <item m="1" x="232"/>
        <item m="1" x="3392"/>
        <item m="1" x="7643"/>
        <item m="1" x="1966"/>
        <item m="1" x="3720"/>
        <item m="1" x="4223"/>
        <item m="1" x="4642"/>
        <item m="1" x="6222"/>
        <item m="1" x="4544"/>
        <item m="1" x="3982"/>
        <item m="1" x="231"/>
        <item m="1" x="755"/>
        <item m="1" x="2112"/>
        <item m="1" x="2244"/>
        <item m="1" x="1371"/>
        <item m="1" x="3263"/>
        <item m="1" x="7305"/>
        <item m="1" x="859"/>
        <item m="1" x="3963"/>
        <item m="1" x="1967"/>
        <item m="1" x="2681"/>
        <item m="1" x="3814"/>
        <item m="1" x="352"/>
        <item m="1" x="1644"/>
        <item m="1" x="6854"/>
        <item m="1" x="1370"/>
        <item m="1" x="2350"/>
        <item m="1" x="7683"/>
        <item m="1" x="2014"/>
        <item m="1" x="7383"/>
        <item m="1" x="4814"/>
        <item m="1" x="285"/>
        <item m="1" x="7209"/>
        <item m="1" x="5380"/>
        <item m="1" x="5149"/>
        <item m="1" x="2557"/>
        <item m="1" x="2670"/>
        <item m="1" x="1998"/>
        <item m="1" x="5739"/>
        <item m="1" x="4617"/>
        <item m="1" x="3667"/>
        <item m="1" x="1683"/>
        <item m="1" x="1623"/>
        <item m="1" x="3983"/>
        <item m="1" x="7857"/>
        <item m="1" x="1132"/>
        <item m="1" x="4378"/>
        <item m="1" x="7924"/>
        <item m="1" x="6920"/>
        <item m="1" x="5688"/>
        <item m="1" x="6312"/>
        <item m="1" x="5735"/>
        <item m="1" x="4397"/>
        <item m="1" x="5494"/>
        <item m="1" x="7245"/>
        <item m="1" x="4637"/>
        <item m="1" x="1706"/>
        <item m="1" x="7654"/>
        <item m="1" x="5425"/>
        <item m="1" x="2374"/>
        <item m="1" x="7737"/>
        <item m="1" x="5721"/>
        <item m="1" x="5775"/>
        <item m="1" x="3436"/>
        <item m="1" x="4271"/>
        <item m="1" x="6256"/>
        <item m="1" x="5464"/>
        <item m="1" x="4584"/>
        <item m="1" x="4872"/>
        <item m="1" x="6331"/>
        <item m="1" x="4941"/>
        <item m="1" x="6096"/>
        <item m="1" x="3771"/>
        <item m="1" x="266"/>
        <item m="1" x="793"/>
        <item m="1" x="2156"/>
        <item m="1" x="3609"/>
        <item m="1" x="1393"/>
        <item m="1" x="4027"/>
        <item m="1" x="6330"/>
        <item m="1" x="6921"/>
        <item m="1" x="7620"/>
        <item m="1" x="3730"/>
        <item m="1" x="5776"/>
        <item m="1" x="7268"/>
        <item m="1" x="6667"/>
        <item m="1" x="794"/>
        <item m="1" x="5202"/>
        <item m="1" x="6365"/>
        <item m="1" x="6968"/>
        <item m="1" x="4465"/>
        <item m="1" x="7987"/>
        <item m="1" x="7988"/>
        <item m="1" x="4687"/>
        <item m="1" x="2617"/>
        <item m="1" x="4990"/>
        <item m="1" x="4618"/>
        <item m="1" x="3080"/>
        <item m="1" x="2415"/>
        <item m="1" x="7788"/>
        <item m="1" x="6967"/>
        <item m="1" x="4688"/>
        <item m="1" x="7012"/>
        <item m="1" x="7422"/>
        <item m="1" x="4837"/>
        <item m="1" x="3802"/>
        <item m="1" x="7304"/>
        <item m="1" x="3731"/>
        <item m="1" x="2419"/>
        <item m="1" x="2718"/>
        <item m="1" x="7650"/>
        <item m="1" x="2773"/>
        <item m="1" x="6630"/>
        <item m="1" x="6590"/>
        <item m="1" x="4953"/>
        <item m="1" x="3112"/>
        <item m="1" x="1657"/>
        <item m="1" x="5789"/>
        <item m="1" x="7716"/>
        <item m="1" x="3417"/>
        <item m="1" x="3947"/>
        <item m="1" x="4853"/>
        <item m="1" x="6093"/>
        <item m="1" x="5230"/>
        <item m="1" x="7059"/>
        <item m="1" x="6442"/>
        <item m="1" x="2749"/>
        <item m="1" x="1743"/>
        <item m="1" x="2503"/>
        <item m="1" x="1223"/>
        <item m="1" x="7695"/>
        <item m="1" x="5966"/>
        <item m="1" x="2452"/>
        <item m="1" x="4724"/>
        <item m="1" x="7036"/>
        <item m="1" x="4751"/>
        <item m="1" x="2815"/>
        <item m="1" x="3136"/>
        <item m="1" x="2089"/>
        <item m="1" x="6649"/>
        <item m="1" x="6235"/>
        <item m="1" x="3845"/>
        <item m="1" x="5771"/>
        <item m="1" x="3472"/>
        <item m="1" x="4224"/>
        <item m="1" x="1255"/>
        <item m="1" x="5040"/>
        <item m="1" x="4366"/>
        <item m="1" x="6290"/>
        <item m="1" x="6687"/>
        <item m="1" x="1156"/>
        <item m="1" x="4487"/>
        <item m="1" x="5548"/>
        <item m="1" x="6396"/>
        <item m="1" x="7013"/>
        <item m="1" x="6130"/>
        <item m="1" x="7035"/>
        <item m="1" x="1177"/>
        <item m="1" x="5245"/>
        <item m="1" x="5790"/>
        <item m="1" x="7058"/>
        <item m="1" x="7744"/>
        <item m="1" x="4414"/>
        <item m="1" x="5246"/>
        <item m="1" x="6750"/>
        <item m="1" x="7338"/>
        <item m="1" x="6733"/>
        <item m="1" x="3753"/>
        <item m="1" x="2543"/>
        <item m="1" x="6668"/>
        <item m="1" x="7321"/>
        <item m="1" x="3916"/>
        <item m="1" x="7322"/>
        <item m="1" x="302"/>
        <item m="1" x="825"/>
        <item m="1" x="2206"/>
        <item m="1" x="5268"/>
        <item m="1" x="610"/>
        <item m="1" x="2695"/>
        <item m="1" x="1238"/>
        <item m="1" x="3476"/>
        <item m="1" x="5549"/>
        <item m="1" x="3896"/>
        <item m="1" x="2584"/>
        <item m="1" x="4273"/>
        <item m="1" x="7339"/>
        <item m="1" x="1063"/>
        <item m="1" x="5287"/>
        <item m="1" x="4515"/>
        <item m="1" x="6751"/>
        <item m="1" x="1353"/>
        <item m="1" x="2858"/>
        <item m="1" x="2498"/>
        <item m="1" x="5072"/>
        <item m="1" x="7892"/>
        <item m="1" x="7461"/>
        <item m="1" x="4875"/>
        <item m="1" x="4256"/>
        <item m="1" x="1927"/>
        <item m="1" x="2530"/>
        <item m="1" x="523"/>
        <item m="1" x="2024"/>
        <item m="1" x="6725"/>
        <item m="1" x="2771"/>
        <item m="1" x="7689"/>
        <item m="1" x="3587"/>
        <item m="1" x="2588"/>
        <item m="1" x="5867"/>
        <item m="1" x="1589"/>
        <item m="1" x="2213"/>
        <item m="1" x="1903"/>
        <item m="1" x="1016"/>
        <item m="1" x="1701"/>
        <item m="1" x="847"/>
        <item m="1" x="1695"/>
        <item m="1" x="1350"/>
        <item m="1" x="6743"/>
        <item m="1" x="2252"/>
        <item m="1" x="5005"/>
        <item m="1" x="590"/>
        <item m="1" x="2552"/>
        <item m="1" x="4278"/>
        <item m="1" x="1664"/>
        <item m="1" x="7759"/>
        <item m="1" x="4257"/>
        <item m="1" x="1591"/>
        <item m="1" x="7752"/>
        <item m="1" x="1631"/>
        <item m="1" x="5096"/>
        <item m="1" x="2268"/>
        <item m="1" x="1928"/>
        <item m="1" x="6501"/>
        <item m="1" x="7902"/>
        <item m="1" x="591"/>
        <item m="1" x="2916"/>
        <item m="1" x="1612"/>
        <item m="1" x="3616"/>
        <item m="1" x="3517"/>
        <item m="1" x="4320"/>
        <item m="1" x="7783"/>
        <item m="1" x="4723"/>
        <item m="1" x="6327"/>
        <item m="1" x="7210"/>
        <item m="1" x="620"/>
        <item m="1" x="7838"/>
        <item m="1" x="1702"/>
        <item m="1" x="333"/>
        <item m="1" x="858"/>
        <item m="1" x="2243"/>
        <item m="1" x="388"/>
        <item m="1" x="4305"/>
        <item m="1" x="1084"/>
        <item m="1" x="1703"/>
        <item m="1" x="3639"/>
        <item m="1" x="3360"/>
        <item m="1" x="7858"/>
        <item m="1" x="7465"/>
        <item m="1" x="4368"/>
        <item m="1" x="5918"/>
        <item m="1" x="7837"/>
        <item m="1" x="1436"/>
        <item m="1" x="6809"/>
        <item m="1" x="1677"/>
        <item m="1" x="1739"/>
        <item m="1" x="621"/>
        <item m="1" x="2574"/>
        <item m="1" x="2199"/>
        <item m="1" x="5125"/>
        <item m="1" x="1108"/>
        <item m="1" x="686"/>
        <item m="1" x="5944"/>
        <item m="1" x="6581"/>
        <item m="1" x="7524"/>
        <item m="1" x="4899"/>
        <item m="1" x="3706"/>
        <item m="1" x="1754"/>
        <item m="1" x="6876"/>
        <item m="1" x="5104"/>
        <item m="1" x="3437"/>
        <item m="1" x="2660"/>
        <item m="1" x="3725"/>
        <item m="1" x="6902"/>
        <item m="1" x="6004"/>
        <item m="1" x="7485"/>
        <item m="1" x="1437"/>
        <item m="1" x="7881"/>
        <item m="1" x="7882"/>
        <item m="1" x="2813"/>
        <item m="1" x="7989"/>
        <item m="1" x="420"/>
        <item m="1" x="5792"/>
        <item m="1" x="1454"/>
        <item m="1" x="1805"/>
        <item m="1" x="7958"/>
        <item m="1" x="1107"/>
        <item m="1" x="6877"/>
        <item m="1" x="2236"/>
        <item m="1" x="955"/>
        <item m="1" x="4478"/>
        <item m="1" x="564"/>
        <item m="1" x="1475"/>
        <item m="1" x="1474"/>
        <item m="1" x="2081"/>
        <item m="1" x="3028"/>
        <item m="1" x="1195"/>
        <item m="1" x="2066"/>
        <item m="1" x="2661"/>
        <item m="1" x="3750"/>
        <item m="1" x="1824"/>
        <item m="1" x="4430"/>
        <item m="1" x="3053"/>
        <item m="1" x="3823"/>
        <item m="1" x="6509"/>
        <item m="1" x="228"/>
        <item m="1" x="5569"/>
        <item m="1" x="7360"/>
        <item m="1" x="1217"/>
        <item m="1" x="6057"/>
        <item m="1" x="2965"/>
        <item m="1" x="2171"/>
        <item m="1" x="1145"/>
        <item m="1" x="1806"/>
        <item m="1" x="3518"/>
        <item m="1" x="3409"/>
        <item m="1" x="649"/>
        <item m="1" x="1740"/>
        <item m="1" x="2712"/>
        <item m="1" x="5157"/>
        <item m="1" x="877"/>
        <item m="1" x="931"/>
        <item m="1" x="5253"/>
        <item m="1" x="3481"/>
        <item m="1" x="6735"/>
        <item m="1" x="1547"/>
        <item m="1" x="6430"/>
        <item m="1" x="972"/>
        <item m="1" x="3534"/>
        <item m="1" x="2690"/>
        <item m="1" x="2082"/>
        <item m="1" x="5570"/>
        <item m="1" x="3073"/>
        <item m="1" x="1235"/>
        <item m="1" x="2106"/>
        <item m="1" x="2713"/>
        <item m="1" x="3795"/>
        <item m="1" x="1825"/>
        <item m="1" x="2676"/>
        <item m="1" x="1539"/>
        <item m="1" x="4755"/>
        <item m="1" x="4116"/>
        <item m="1" x="3506"/>
        <item m="1" x="1127"/>
        <item m="1" x="2137"/>
        <item m="1" x="7925"/>
        <item m="1" x="3570"/>
        <item m="1" x="5273"/>
        <item m="1" x="6496"/>
        <item m="1" x="5077"/>
        <item m="1" x="7440"/>
        <item m="1" x="1792"/>
        <item m="1" x="2401"/>
        <item m="1" x="3452"/>
        <item m="1" x="6758"/>
        <item m="1" x="2726"/>
        <item m="1" x="1813"/>
        <item m="1" x="7701"/>
        <item m="1" x="6479"/>
        <item m="1" x="4491"/>
        <item m="1" x="3115"/>
        <item m="1" x="3116"/>
        <item m="1" x="5274"/>
        <item m="1" x="5193"/>
        <item m="1" x="1216"/>
        <item m="1" x="5599"/>
        <item m="1" x="1558"/>
        <item m="1" x="2421"/>
        <item m="1" x="3529"/>
        <item m="1" x="4505"/>
        <item m="1" x="4211"/>
        <item m="1" x="6618"/>
        <item m="1" x="7568"/>
        <item m="1" x="4756"/>
        <item m="1" x="7441"/>
        <item m="1" x="2700"/>
        <item m="1" x="5078"/>
        <item m="1" x="7323"/>
        <item m="1" x="1793"/>
        <item m="1" x="2877"/>
        <item m="1" x="6536"/>
        <item m="1" x="3552"/>
        <item m="1" x="5849"/>
        <item m="1" x="4833"/>
        <item m="1" x="1573"/>
        <item m="1" x="1845"/>
        <item m="1" x="2782"/>
        <item m="1" x="1144"/>
        <item m="1" x="6548"/>
        <item m="1" x="5355"/>
        <item m="1" x="6802"/>
        <item m="1" x="3924"/>
        <item m="1" x="2859"/>
        <item m="1" x="6497"/>
        <item m="1" x="4791"/>
        <item m="1" x="5323"/>
        <item m="1" x="5913"/>
        <item m="1" x="419"/>
        <item m="1" x="2889"/>
        <item m="1" x="1613"/>
        <item m="1" x="2755"/>
        <item m="1" x="5339"/>
        <item m="1" x="7391"/>
        <item m="1" x="1251"/>
        <item m="1" x="2765"/>
        <item m="1" x="3052"/>
        <item m="1" x="5308"/>
        <item m="1" x="4194"/>
        <item m="1" x="7478"/>
        <item m="1" x="2464"/>
        <item m="1" x="4258"/>
        <item m="1" x="3553"/>
        <item m="1" x="7087"/>
        <item m="1" x="6781"/>
        <item m="1" x="1005"/>
        <item m="1" x="5324"/>
        <item m="1" x="6097"/>
        <item m="1" x="1283"/>
        <item m="1" x="6537"/>
        <item m="1" x="4847"/>
        <item m="1" x="6828"/>
        <item m="1" x="3554"/>
        <item m="1" x="4518"/>
        <item m="1" x="4869"/>
        <item m="1" x="1496"/>
        <item m="1" x="2509"/>
        <item m="1" x="2917"/>
        <item m="1" x="6404"/>
        <item m="1" x="6616"/>
        <item m="1" x="4212"/>
        <item m="1" x="7150"/>
        <item m="1" x="3530"/>
        <item m="1" x="3641"/>
        <item m="1" x="7806"/>
        <item m="1" x="5939"/>
        <item m="1" x="3130"/>
        <item m="1" x="1269"/>
        <item m="1" x="2149"/>
        <item m="1" x="2766"/>
        <item m="1" x="3843"/>
        <item m="1" x="1858"/>
        <item m="1" x="2725"/>
        <item m="1" x="3400"/>
        <item m="1" x="3555"/>
        <item m="1" x="1170"/>
        <item m="1" x="4916"/>
        <item m="1" x="5416"/>
        <item m="1" x="6576"/>
        <item m="1" x="4728"/>
        <item m="1" x="4834"/>
        <item m="1" x="7435"/>
        <item m="1" x="5397"/>
        <item m="1" x="3589"/>
        <item m="1" x="6617"/>
        <item m="1" x="1068"/>
        <item m="1" x="3663"/>
        <item m="1" x="3986"/>
        <item m="1" x="1884"/>
        <item m="1" x="1109"/>
        <item m="1" x="4590"/>
        <item m="1" x="5440"/>
        <item m="1" x="743"/>
        <item m="1" x="4005"/>
        <item m="1" x="1322"/>
        <item m="1" x="6681"/>
        <item m="1" x="4229"/>
        <item m="1" x="4987"/>
        <item m="1" x="7562"/>
        <item m="1" x="4611"/>
        <item m="1" x="6871"/>
        <item m="1" x="7587"/>
        <item m="1" x="4950"/>
        <item m="1" x="6650"/>
        <item m="1" x="7621"/>
        <item m="1" x="6896"/>
        <item m="1" x="5143"/>
        <item m="1" x="6557"/>
        <item m="1" x="5565"/>
        <item m="1" x="4902"/>
        <item m="1" x="5477"/>
        <item m="1" x="3642"/>
        <item m="1" x="2932"/>
        <item m="1" x="1021"/>
        <item m="1" x="6682"/>
        <item m="1" x="7709"/>
        <item m="1" x="4649"/>
        <item m="1" x="1678"/>
        <item m="1" x="1872"/>
        <item m="1" x="181"/>
        <item m="1" x="5398"/>
        <item m="1" x="1215"/>
        <item m="1" x="6577"/>
        <item m="1" x="3707"/>
        <item m="1" x="4970"/>
        <item m="1" x="4479"/>
        <item m="1" x="3769"/>
        <item m="1" x="6585"/>
        <item m="1" x="3598"/>
        <item m="1" x="3751"/>
        <item m="1" x="7602"/>
        <item m="1" x="7575"/>
        <item m="1" x="2672"/>
        <item m="1" x="6307"/>
        <item m="1" x="4977"/>
        <item m="1" x="3418"/>
        <item m="1" x="373"/>
        <item m="1" x="7471"/>
        <item m="1" x="3824"/>
        <item m="1" x="1365"/>
        <item m="1" x="6131"/>
        <item m="1" x="3157"/>
        <item m="1" x="1364"/>
        <item m="1" x="5338"/>
        <item m="1" x="7816"/>
        <item m="1" x="7629"/>
        <item m="1" x="2379"/>
        <item m="1" x="2890"/>
        <item m="1" x="4848"/>
        <item m="1" x="2966"/>
        <item m="1" x="6558"/>
        <item m="1" x="6328"/>
        <item m="1" x="4097"/>
        <item m="1" x="1552"/>
        <item m="1" x="1441"/>
        <item m="1" x="2810"/>
        <item m="1" x="4280"/>
        <item m="1" x="5165"/>
        <item m="1" x="7920"/>
        <item m="1" x="1001"/>
        <item m="1" x="2438"/>
        <item m="1" x="3443"/>
        <item m="1" x="503"/>
        <item m="1" x="3912"/>
        <item m="1" x="200"/>
        <item m="1" x="3419"/>
        <item m="1" x="3187"/>
        <item m="1" x="1301"/>
        <item m="1" x="2200"/>
        <item m="1" x="2811"/>
        <item m="1" x="3887"/>
        <item m="1" x="1894"/>
        <item m="1" x="2781"/>
        <item m="1" x="3451"/>
        <item m="1" x="7725"/>
        <item m="1" x="2696"/>
        <item m="1" x="988"/>
        <item m="1" x="2070"/>
        <item m="1" x="6998"/>
        <item m="1" x="486"/>
        <item m="1" x="444"/>
        <item m="1" x="937"/>
        <item m="1" x="957"/>
        <item m="1" x="1171"/>
        <item m="1" x="3498"/>
        <item m="1" x="251"/>
        <item m="1" x="1553"/>
        <item m="1" x="7090"/>
        <item m="1" x="3960"/>
        <item m="1" x="4324"/>
        <item m="1" x="3796"/>
        <item m="1" x="457"/>
        <item m="1" x="6688"/>
        <item m="1" x="7668"/>
        <item m="1" x="2376"/>
        <item m="1" x="7782"/>
        <item m="1" x="483"/>
        <item m="1" x="1514"/>
        <item m="1" x="473"/>
        <item m="1" x="1002"/>
        <item m="1" x="3460"/>
        <item m="1" x="7696"/>
        <item m="1" x="938"/>
        <item m="1" x="516"/>
        <item m="1" x="2980"/>
        <item m="1" x="4021"/>
        <item m="1" x="1918"/>
        <item m="1" x="215"/>
        <item m="1" x="504"/>
        <item m="1" x="964"/>
        <item m="1" x="5415"/>
        <item m="1" x="7630"/>
        <item m="1" x="2114"/>
        <item m="1" x="3545"/>
        <item m="1" x="756"/>
        <item m="1" x="1531"/>
        <item m="1" x="2115"/>
        <item m="1" x="3444"/>
        <item m="1" x="4177"/>
        <item m="1" x="1420"/>
        <item m="1" x="1408"/>
        <item m="1" x="2869"/>
        <item m="1" x="3255"/>
        <item m="1" x="5463"/>
        <item m="1" x="4374"/>
        <item m="1" x="3646"/>
        <item m="1" x="3499"/>
        <item m="1" x="4156"/>
        <item m="1" x="268"/>
        <item m="1" x="2456"/>
        <item m="1" x="3544"/>
        <item m="1" x="976"/>
        <item m="1" x="505"/>
        <item m="1" x="6176"/>
        <item m="1" x="989"/>
        <item m="1" x="1309"/>
        <item m="1" x="7697"/>
        <item m="1" x="1060"/>
        <item m="1" x="2158"/>
        <item m="1" x="269"/>
        <item m="1" x="2183"/>
        <item m="1" x="540"/>
        <item m="1" x="1003"/>
        <item m="1" x="1624"/>
        <item m="1" x="2816"/>
        <item m="1" x="2504"/>
        <item m="1" x="3235"/>
        <item m="1" x="1341"/>
        <item m="1" x="2237"/>
        <item m="1" x="2870"/>
        <item m="1" x="3932"/>
        <item m="1" x="1937"/>
        <item m="1" x="2829"/>
        <item m="1" x="3480"/>
        <item m="1" x="795"/>
        <item m="1" x="4207"/>
        <item m="1" x="6717"/>
        <item m="1" x="812"/>
        <item m="1" x="3578"/>
        <item m="1" x="2879"/>
        <item m="1" x="286"/>
        <item m="1" x="3610"/>
        <item m="1" x="1569"/>
        <item m="1" x="3422"/>
        <item m="1" x="3827"/>
        <item m="1" x="1923"/>
        <item m="1" x="2851"/>
        <item m="1" x="2544"/>
        <item m="1" x="1372"/>
        <item m="1" x="4411"/>
        <item m="1" x="1586"/>
        <item m="1" x="7423"/>
        <item m="1" x="6734"/>
        <item m="1" x="7717"/>
        <item m="1" x="1658"/>
        <item m="1" x="2245"/>
        <item m="1" x="1091"/>
        <item m="1" x="3657"/>
        <item m="1" x="1030"/>
        <item m="1" x="845"/>
        <item m="1" x="4927"/>
        <item m="1" x="2817"/>
        <item m="1" x="1044"/>
        <item m="1" x="778"/>
        <item m="1" x="5730"/>
        <item m="1" x="4208"/>
        <item m="1" x="5435"/>
        <item m="1" x="6887"/>
        <item m="1" x="1310"/>
        <item m="1" x="3631"/>
        <item m="1" x="1031"/>
        <item m="1" x="7151"/>
        <item m="1" x="7639"/>
        <item m="1" x="6340"/>
        <item m="1" x="792"/>
        <item m="1" x="1567"/>
        <item m="1" x="7754"/>
        <item m="1" x="1697"/>
        <item m="1" x="1346"/>
        <item m="1" x="2981"/>
        <item m="1" x="7608"/>
        <item m="1" x="3678"/>
        <item m="1" x="5544"/>
        <item m="1" x="1411"/>
        <item m="1" x="5454"/>
        <item m="1" x="317"/>
        <item m="1" x="5505"/>
        <item m="1" x="4408"/>
        <item m="1" x="6982"/>
        <item m="1" x="5259"/>
        <item m="1" x="5712"/>
        <item m="1" x="2629"/>
        <item m="1" x="4626"/>
        <item m="1" x="6069"/>
        <item m="1" x="6960"/>
        <item m="1" x="5576"/>
        <item m="1" x="4343"/>
        <item m="1" x="5711"/>
        <item m="1" x="7833"/>
        <item m="1" x="2567"/>
        <item m="1" x="4962"/>
        <item m="1" x="2962"/>
        <item m="1" x="4001"/>
        <item m="1" x="5136"/>
        <item m="1" x="7659"/>
        <item m="1" x="5679"/>
        <item m="1" x="353"/>
        <item m="1" x="7072"/>
        <item m="1" x="6388"/>
        <item m="1" x="2888"/>
        <item m="1" x="3528"/>
        <item m="1" x="5473"/>
        <item m="1" x="7294"/>
        <item m="1" x="7003"/>
        <item m="1" x="5455"/>
        <item m="1" x="5731"/>
        <item m="1" x="6373"/>
        <item m="1" x="7609"/>
        <item m="1" x="1124"/>
        <item m="1" x="5799"/>
        <item m="1" x="2909"/>
        <item m="1" x="2824"/>
        <item m="1" x="6201"/>
        <item m="1" x="7023"/>
        <item m="1" x="5222"/>
        <item m="1" x="7732"/>
        <item m="1" x="4710"/>
        <item m="1" x="2278"/>
        <item m="1" x="1152"/>
        <item m="1" x="6243"/>
        <item m="1" x="7228"/>
        <item m="1" x="5919"/>
        <item m="1" x="3500"/>
        <item m="1" x="1696"/>
        <item m="1" x="462"/>
        <item m="1" x="7174"/>
        <item m="1" x="6996"/>
        <item m="1" x="5908"/>
        <item m="1" x="7028"/>
        <item m="1" x="3065"/>
        <item m="1" x="7352"/>
        <item m="1" x="5540"/>
        <item m="1" x="3149"/>
        <item m="1" x="4997"/>
        <item m="1" x="4998"/>
        <item m="1" x="6389"/>
        <item m="1" x="6697"/>
        <item m="1" x="3258"/>
        <item m="1" x="6106"/>
        <item m="1" x="1608"/>
        <item m="1" x="7807"/>
        <item m="1" x="1735"/>
        <item m="1" x="1394"/>
        <item m="1" x="3066"/>
        <item m="1" x="5868"/>
        <item m="1" x="7047"/>
        <item m="1" x="6691"/>
        <item m="1" x="4711"/>
        <item m="1" x="6726"/>
        <item m="1" x="4074"/>
        <item m="1" x="4663"/>
        <item m="1" x="7073"/>
        <item m="1" x="7156"/>
        <item m="1" x="4124"/>
        <item m="1" x="7048"/>
        <item m="1" x="4102"/>
        <item m="1" x="3815"/>
        <item m="1" x="477"/>
        <item m="1" x="5208"/>
        <item m="1" x="3766"/>
        <item m="1" x="5012"/>
        <item m="1" x="1449"/>
        <item m="1" x="3790"/>
        <item m="1" x="2940"/>
        <item m="1" x="3588"/>
        <item m="1" x="4115"/>
        <item m="1" x="5506"/>
        <item m="1" x="7332"/>
        <item m="1" x="7046"/>
        <item m="1" x="5490"/>
        <item m="1" x="6202"/>
        <item m="1" x="3747"/>
        <item m="1" x="5223"/>
        <item m="1" x="507"/>
        <item m="1" x="4225"/>
        <item m="1" x="6160"/>
        <item m="1" x="7269"/>
        <item m="1" x="5260"/>
        <item m="1" x="7809"/>
        <item m="1" x="521"/>
        <item m="1" x="7095"/>
        <item m="1" x="3102"/>
        <item m="1" x="6058"/>
        <item m="1" x="6523"/>
        <item m="1" x="7503"/>
        <item m="1" x="6436"/>
        <item m="1" x="1734"/>
        <item m="1" x="490"/>
        <item m="1" x="281"/>
        <item m="1" x="1075"/>
        <item m="1" x="3246"/>
        <item m="1" x="5294"/>
        <item m="1" x="2929"/>
        <item m="1" x="1645"/>
        <item m="1" x="7855"/>
        <item m="1" x="1768"/>
        <item m="1" x="1429"/>
        <item m="1" x="4496"/>
        <item m="1" x="1232"/>
        <item m="1" x="7822"/>
        <item m="1" x="264"/>
        <item m="1" x="2518"/>
        <item m="1" x="383"/>
        <item m="1" x="6646"/>
        <item m="1" x="5945"/>
        <item m="1" x="6502"/>
        <item m="1" x="3179"/>
        <item m="1" x="4013"/>
        <item m="1" x="2952"/>
        <item m="1" x="3403"/>
        <item m="1" x="1938"/>
        <item m="1" x="5212"/>
        <item m="1" x="4698"/>
        <item m="1" x="7776"/>
        <item m="1" x="823"/>
        <item m="1" x="601"/>
        <item m="1" x="1136"/>
        <item m="1" x="1117"/>
        <item m="1" x="1688"/>
        <item m="1" x="7823"/>
        <item m="1" x="2259"/>
        <item m="1" x="7508"/>
        <item m="1" x="6448"/>
        <item m="1" x="3277"/>
        <item m="1" x="3997"/>
        <item m="1" x="1519"/>
        <item m="1" x="1054"/>
        <item m="1" x="1342"/>
        <item m="1" x="2316"/>
        <item m="1" x="491"/>
        <item m="1" x="415"/>
        <item m="1" x="2992"/>
        <item m="1" x="3640"/>
        <item m="1" x="4161"/>
        <item m="1" x="5539"/>
        <item m="1" x="7371"/>
        <item m="1" x="7094"/>
        <item m="1" x="5522"/>
        <item m="1" x="1388"/>
        <item m="1" x="641"/>
        <item m="1" x="350"/>
        <item m="1" x="1053"/>
        <item m="1" x="5354"/>
        <item m="1" x="1118"/>
        <item m="1" x="592"/>
        <item m="1" x="4034"/>
        <item m="1" x="1984"/>
        <item m="1" x="1262"/>
        <item m="1" x="700"/>
        <item m="1" x="363"/>
        <item m="1" x="2599"/>
        <item m="1" x="1726"/>
        <item m="1" x="6812"/>
        <item m="1" x="1767"/>
        <item m="1" x="520"/>
        <item m="1" x="4657"/>
        <item m="1" x="897"/>
        <item m="1" x="678"/>
        <item m="1" x="1160"/>
        <item m="1" x="7943"/>
        <item m="1" x="4693"/>
        <item m="1" x="7969"/>
        <item m="1" x="3297"/>
        <item m="1" x="947"/>
        <item m="1" x="2326"/>
        <item m="1" x="7912"/>
        <item m="1" x="1676"/>
        <item m="1" x="7896"/>
        <item m="1" x="1797"/>
        <item m="1" x="1471"/>
        <item m="1" x="3426"/>
        <item m="1" x="1161"/>
        <item m="1" x="1425"/>
        <item m="1" x="7277"/>
        <item m="1" x="7970"/>
        <item m="1" x="4676"/>
        <item m="1" x="702"/>
        <item m="1" x="4737"/>
        <item m="1" x="4199"/>
        <item m="1" x="5986"/>
        <item m="1" x="1162"/>
        <item m="1" x="1466"/>
        <item m="1" x="1297"/>
        <item m="1" x="2055"/>
        <item m="1" x="701"/>
        <item m="1" x="1763"/>
        <item m="1" x="745"/>
        <item m="1" x="6683"/>
        <item m="1" x="729"/>
        <item m="1" x="1447"/>
        <item m="1" x="2368"/>
        <item m="1" x="4099"/>
        <item m="1" x="2345"/>
        <item m="1" x="2386"/>
        <item m="1" x="4117"/>
        <item m="1" x="4730"/>
        <item m="1" x="187"/>
        <item m="1" x="3029"/>
        <item m="1" x="3682"/>
        <item m="1" x="4193"/>
        <item m="1" x="5577"/>
        <item m="1" x="7403"/>
        <item m="1" x="7130"/>
        <item m="1" x="5557"/>
        <item m="1" x="3797"/>
        <item m="1" x="2096"/>
        <item m="1" x="1486"/>
        <item m="1" x="719"/>
        <item m="1" x="6511"/>
        <item m="1" x="4971"/>
        <item m="1" x="4757"/>
        <item m="1" x="3948"/>
        <item m="1" x="4781"/>
        <item m="1" x="5283"/>
        <item m="1" x="6706"/>
        <item m="1" x="7765"/>
        <item m="1" x="7193"/>
        <item m="1" x="5581"/>
        <item m="1" x="5927"/>
        <item m="1" x="7413"/>
        <item m="1" x="3825"/>
        <item m="1" x="560"/>
        <item m="1" x="6475"/>
        <item m="1" x="7118"/>
        <item m="1" x="3331"/>
        <item m="1" x="1714"/>
        <item m="1" x="7955"/>
        <item m="1" x="1840"/>
        <item m="1" x="1505"/>
        <item m="1" x="3022"/>
        <item m="1" x="3158"/>
        <item m="1" x="1465"/>
        <item m="1" x="4775"/>
        <item m="1" x="5876"/>
        <item m="1" x="4234"/>
        <item m="1" x="6030"/>
        <item m="1" x="433"/>
        <item m="1" x="5386"/>
        <item m="1" x="5054"/>
        <item m="1" x="5989"/>
        <item m="1" x="3519"/>
        <item m="1" x="4480"/>
        <item m="1" x="2793"/>
        <item m="1" x="6485"/>
        <item m="1" x="7134"/>
        <item m="1" x="5318"/>
        <item m="1" x="7789"/>
        <item m="1" x="5070"/>
        <item m="1" x="5349"/>
        <item m="1" x="7200"/>
        <item m="1" x="6525"/>
        <item m="1" x="3376"/>
        <item m="1" x="3726"/>
        <item m="1" x="4228"/>
        <item m="1" x="4240"/>
        <item m="1" x="5606"/>
        <item m="1" x="4859"/>
        <item m="1" x="6817"/>
        <item m="1" x="6928"/>
        <item m="1" x="3603"/>
        <item m="1" x="5928"/>
        <item m="1" x="7875"/>
        <item m="1" x="5798"/>
        <item m="1" x="6486"/>
        <item m="1" x="5387"/>
        <item m="1" x="5949"/>
        <item m="1" x="5595"/>
        <item m="1" x="3256"/>
        <item m="1" x="5709"/>
        <item m="1" x="6748"/>
        <item m="1" x="3571"/>
        <item m="1" x="6840"/>
        <item m="1" x="6543"/>
        <item m="1" x="7843"/>
        <item m="1" x="7817"/>
        <item m="1" x="5654"/>
        <item m="1" x="5134"/>
        <item m="1" x="5582"/>
        <item m="1" x="2221"/>
        <item m="1" x="3278"/>
        <item m="1" x="3652"/>
        <item m="1" x="3977"/>
        <item m="1" x="6859"/>
        <item m="1" x="4920"/>
        <item m="1" x="6586"/>
        <item m="1" x="1380"/>
        <item m="1" x="4579"/>
        <item m="1" x="3092"/>
        <item m="1" x="1500"/>
        <item m="1" x="5363"/>
        <item m="1" x="6882"/>
        <item m="1" x="5426"/>
        <item m="1" x="1264"/>
        <item m="1" x="4442"/>
        <item m="1" x="7249"/>
        <item m="1" x="6014"/>
        <item m="1" x="5950"/>
        <item m="1" x="7529"/>
        <item m="1" x="6266"/>
        <item m="1" x="4908"/>
        <item m="1" x="2976"/>
        <item m="1" x="7250"/>
        <item m="1" x="7932"/>
        <item m="1" x="3257"/>
        <item m="1" x="5483"/>
        <item m="1" x="5970"/>
        <item m="1" x="5746"/>
        <item m="1" x="7325"/>
        <item m="1" x="4658"/>
        <item m="1" x="4681"/>
        <item m="1" x="4371"/>
        <item m="1" x="4279"/>
        <item m="1" x="4290"/>
        <item m="1" x="5644"/>
        <item m="1" x="6034"/>
        <item m="1" x="6337"/>
        <item m="1" x="5516"/>
        <item m="1" x="6033"/>
        <item m="1" x="7631"/>
        <item m="1" x="7588"/>
        <item m="1" x="5469"/>
        <item m="1" x="2101"/>
        <item m="1" x="262"/>
        <item m="1" x="1506"/>
        <item m="1" x="1233"/>
        <item m="1" x="3838"/>
        <item m="1" x="5468"/>
        <item m="1" x="6789"/>
        <item m="1" x="6918"/>
        <item m="1" x="3629"/>
        <item m="1" x="3991"/>
        <item m="1" x="5552"/>
        <item m="1" x="7975"/>
        <item m="1" x="3600"/>
        <item m="1" x="2807"/>
        <item m="1" x="3816"/>
        <item m="1" x="1736"/>
        <item m="1" x="5605"/>
        <item m="1" x="3739"/>
        <item m="1" x="1193"/>
        <item m="1" x="1090"/>
        <item m="1" x="2760"/>
        <item m="1" x="6988"/>
        <item m="1" x="2146"/>
        <item m="1" x="3881"/>
        <item m="1" x="1540"/>
        <item m="1" x="4541"/>
        <item m="1" x="3487"/>
        <item m="1" x="5991"/>
        <item m="1" x="4221"/>
        <item m="1" x="210"/>
        <item m="1" x="2036"/>
        <item m="1" x="705"/>
        <item m="1" x="481"/>
        <item m="1" x="3125"/>
        <item m="1" x="2392"/>
        <item m="1" x="7363"/>
        <item m="1" x="326"/>
        <item m="1" x="2788"/>
        <item m="1" x="7662"/>
        <item m="1" x="2050"/>
        <item m="1" x="2412"/>
        <item m="1" x="7887"/>
        <item m="1" x="1818"/>
        <item m="1" x="5870"/>
        <item m="1" x="510"/>
        <item m="1" x="4373"/>
        <item m="1" x="4383"/>
        <item m="1" x="5708"/>
        <item m="1" x="3673"/>
        <item m="1" x="3882"/>
        <item m="1" x="725"/>
        <item m="1" x="7866"/>
        <item m="1" x="227"/>
        <item m="1" x="5497"/>
        <item m="1" x="1248"/>
        <item m="1" x="7399"/>
        <item m="1" x="2836"/>
        <item m="1" x="211"/>
        <item m="1" x="1596"/>
        <item m="1" x="3210"/>
        <item m="1" x="7710"/>
        <item m="1" x="771"/>
        <item m="1" x="6839"/>
        <item m="1" x="7081"/>
        <item m="1" x="2216"/>
        <item m="1" x="358"/>
        <item m="1" x="3907"/>
        <item m="1" x="2866"/>
        <item m="1" x="3561"/>
        <item m="1" x="4521"/>
        <item m="1" x="1263"/>
        <item m="1" x="7767"/>
        <item m="1" x="2234"/>
        <item m="1" x="3781"/>
        <item m="1" x="1866"/>
        <item m="1" x="3624"/>
        <item m="1" x="2490"/>
        <item m="1" x="1051"/>
        <item m="1" x="3951"/>
        <item m="1" x="4268"/>
        <item m="1" x="246"/>
        <item m="1" x="7766"/>
        <item m="1" x="7790"/>
        <item m="1" x="808"/>
        <item m="1" x="1006"/>
        <item m="1" x="787"/>
        <item m="1" x="594"/>
        <item m="1" x="4597"/>
        <item m="1" x="3423"/>
        <item m="1" x="297"/>
        <item m="1" x="809"/>
        <item m="1" x="2924"/>
        <item m="1" x="3716"/>
        <item m="1" x="1910"/>
        <item m="1" x="5532"/>
        <item m="1" x="3247"/>
        <item m="1" x="1056"/>
        <item m="1" x="3954"/>
        <item m="1" x="6019"/>
        <item m="1" x="3322"/>
        <item m="1" x="5410"/>
        <item m="1" x="4881"/>
        <item m="1" x="4344"/>
        <item m="1" x="6573"/>
        <item m="1" x="5158"/>
        <item m="1" x="7818"/>
        <item m="1" x="2602"/>
        <item m="1" x="5713"/>
        <item m="1" x="3952"/>
        <item m="1" x="2286"/>
        <item m="1" x="6881"/>
        <item m="1" x="7165"/>
        <item m="1" x="1986"/>
        <item m="1" x="7367"/>
        <item m="1" x="4912"/>
        <item m="1" x="5955"/>
        <item m="1" x="5013"/>
        <item m="1" x="3340"/>
        <item m="1" x="822"/>
        <item m="1" x="5638"/>
        <item m="1" x="4664"/>
        <item m="1" x="5411"/>
        <item m="1" x="2636"/>
        <item m="1" x="3834"/>
        <item m="1" x="4896"/>
        <item m="1" x="5976"/>
        <item m="1" x="6374"/>
        <item m="1" x="344"/>
        <item m="1" x="7660"/>
        <item m="1" x="4345"/>
        <item m="1" x="406"/>
        <item m="1" x="3535"/>
        <item m="1" x="4665"/>
        <item m="1" x="7004"/>
        <item m="1" x="6574"/>
        <item m="1" x="5732"/>
        <item m="1" x="1121"/>
        <item m="1" x="7865"/>
        <item m="1" x="5194"/>
        <item m="1" x="5748"/>
        <item m="1" x="7255"/>
        <item m="1" x="4727"/>
        <item m="1" x="2837"/>
        <item m="1" x="2262"/>
        <item m="1" x="5456"/>
        <item m="1" x="6591"/>
        <item m="1" x="6375"/>
        <item m="1" x="4882"/>
        <item m="1" x="4699"/>
        <item m="1" x="4928"/>
        <item m="1" x="4389"/>
        <item m="1" x="5491"/>
        <item m="1" x="4421"/>
        <item m="1" x="5745"/>
        <item m="1" x="6141"/>
        <item m="1" x="6592"/>
        <item m="1" x="7640"/>
        <item m="1" x="3389"/>
        <item m="1" x="7256"/>
        <item m="1" x="6641"/>
        <item m="1" x="6390"/>
        <item m="1" x="2040"/>
        <item m="1" x="3406"/>
        <item m="1" x="4088"/>
        <item m="1" x="7257"/>
        <item m="1" x="7278"/>
        <item m="1" x="3748"/>
        <item m="1" x="4103"/>
        <item m="1" x="6070"/>
        <item m="1" x="2172"/>
        <item m="1" x="5224"/>
        <item m="1" x="7074"/>
        <item m="1" x="2016"/>
        <item m="1" x="4999"/>
        <item m="1" x="4738"/>
        <item m="1" x="7907"/>
        <item m="1" x="3767"/>
        <item m="1" x="4125"/>
        <item m="1" x="2015"/>
        <item m="1" x="7704"/>
        <item m="1" x="7353"/>
        <item m="1" x="2708"/>
        <item m="1" x="4963"/>
        <item m="1" x="4425"/>
        <item m="1" x="5541"/>
        <item m="1" x="5373"/>
        <item m="1" x="5000"/>
        <item m="1" x="5523"/>
        <item m="1" x="2963"/>
        <item m="1" x="2682"/>
        <item m="1" x="6120"/>
        <item m="1" x="3067"/>
        <item m="1" x="3817"/>
        <item m="1" x="4200"/>
        <item m="1" x="5903"/>
        <item m="1" x="5067"/>
        <item m="1" x="4777"/>
        <item m="1" x="1457"/>
        <item m="1" x="5296"/>
        <item m="1" x="4369"/>
        <item m="1" x="2103"/>
        <item m="1" x="4456"/>
        <item m="1" x="6449"/>
        <item m="1" x="5261"/>
        <item m="1" x="7107"/>
        <item m="1" x="5805"/>
        <item m="1" x="2891"/>
        <item m="1" x="7355"/>
        <item m="1" x="5311"/>
        <item m="1" x="7678"/>
        <item m="1" x="4776"/>
        <item m="1" x="4796"/>
        <item m="1" x="5578"/>
        <item m="1" x="6142"/>
        <item m="1" x="6203"/>
        <item m="1" x="1616"/>
        <item m="1" x="2899"/>
        <item m="1" x="2222"/>
        <item m="1" x="839"/>
        <item m="1" x="7745"/>
        <item m="1" x="2072"/>
        <item m="1" x="1041"/>
        <item m="1" x="7354"/>
        <item m="1" x="3012"/>
        <item m="1" x="2064"/>
        <item m="1" x="4185"/>
        <item m="1" x="7872"/>
        <item m="1" x="4235"/>
        <item m="1" x="4266"/>
        <item m="1" x="7457"/>
        <item m="1" x="3126"/>
        <item m="1" x="6752"/>
        <item m="1" x="4287"/>
        <item m="1" x="2731"/>
        <item m="1" x="2663"/>
        <item m="1" x="5329"/>
        <item m="1" x="4440"/>
        <item m="1" x="948"/>
        <item m="1" x="1997"/>
        <item m="1" x="1088"/>
        <item m="1" x="575"/>
        <item m="1" x="1389"/>
        <item m="1" x="1409"/>
        <item m="1" x="3653"/>
        <item m="1" x="7061"/>
        <item m="1" x="2945"/>
        <item m="1" x="1672"/>
        <item m="1" x="898"/>
        <item m="1" x="1149"/>
        <item m="1" x="380"/>
        <item m="1" x="1100"/>
        <item m="1" x="3674"/>
        <item m="1" x="6185"/>
        <item m="1" x="2634"/>
        <item m="1" x="6888"/>
        <item m="1" x="5295"/>
        <item m="1" x="7194"/>
        <item m="1" x="628"/>
        <item m="1" x="4401"/>
        <item m="1" x="1727"/>
        <item m="1" x="3017"/>
        <item m="1" x="2561"/>
        <item m="1" x="2102"/>
        <item m="1" x="1689"/>
        <item m="1" x="3758"/>
        <item m="1" x="2422"/>
        <item m="1" x="3018"/>
        <item m="1" x="7270"/>
        <item m="1" x="2701"/>
        <item m="1" x="3180"/>
        <item m="1" x="2727"/>
        <item m="1" x="6934"/>
        <item m="1" x="7944"/>
        <item m="1" x="3783"/>
        <item m="1" x="3852"/>
        <item m="1" x="7971"/>
        <item m="1" x="448"/>
        <item m="1" x="6468"/>
        <item m="1" x="463"/>
        <item m="1" x="4108"/>
        <item m="1" x="5362"/>
        <item m="1" x="4509"/>
        <item m="1" x="3943"/>
        <item m="1" x="3117"/>
        <item m="1" x="1755"/>
        <item m="1" x="1764"/>
        <item m="1" x="1501"/>
        <item m="1" x="5328"/>
        <item m="1" x="3033"/>
        <item m="1" x="3809"/>
        <item m="1" x="4132"/>
        <item m="1" x="3159"/>
        <item m="1" x="4745"/>
        <item m="1" x="4499"/>
        <item m="1" x="2416"/>
        <item m="1" x="2804"/>
        <item m="1" x="6455"/>
        <item m="1" x="1807"/>
        <item m="1" x="2218"/>
        <item m="1" x="7610"/>
        <item m="1" x="5821"/>
        <item m="1" x="3458"/>
        <item m="1" x="6263"/>
        <item m="1" x="1252"/>
        <item m="1" x="1826"/>
        <item m="1" x="2433"/>
        <item m="1" x="2746"/>
        <item m="1" x="4459"/>
        <item m="1" x="5361"/>
        <item m="1" x="3217"/>
        <item m="1" x="7099"/>
        <item m="1" x="4412"/>
        <item m="1" x="5055"/>
        <item m="1" x="5566"/>
        <item m="1" x="3491"/>
        <item m="1" x="2900"/>
        <item m="1" x="3303"/>
        <item m="1" x="4481"/>
        <item m="1" x="5892"/>
        <item m="1" x="2147"/>
        <item m="1" x="7760"/>
        <item m="1" x="6150"/>
        <item m="1" x="1094"/>
        <item m="1" x="3216"/>
        <item m="1" x="7468"/>
        <item m="1" x="1410"/>
        <item m="1" x="2794"/>
        <item m="1" x="2475"/>
        <item m="1" x="3987"/>
        <item m="1" x="3888"/>
        <item m="1" x="4542"/>
        <item m="1" x="4526"/>
        <item m="1" x="3229"/>
        <item m="1" x="7452"/>
        <item m="1" x="5694"/>
        <item m="1" x="5243"/>
        <item m="1" x="5402"/>
        <item m="1" x="4536"/>
        <item m="1" x="6189"/>
        <item m="1" x="6526"/>
        <item m="1" x="5401"/>
        <item m="1" x="6841"/>
        <item m="1" x="2499"/>
        <item m="1" x="4316"/>
        <item m="1" x="6790"/>
        <item m="1" x="2812"/>
        <item m="1" x="4824"/>
        <item m="1" x="3599"/>
        <item m="1" x="6818"/>
        <item m="1" x="5350"/>
        <item m="1" x="6569"/>
        <item m="1" x="2519"/>
        <item m="1" x="6234"/>
        <item m="1" x="4838"/>
        <item m="1" x="4358"/>
        <item m="1" x="2871"/>
        <item m="1" x="5624"/>
        <item m="1" x="4621"/>
        <item m="1" x="5929"/>
        <item m="1" x="4559"/>
        <item m="1" x="6527"/>
        <item m="1" x="2562"/>
        <item m="1" x="4694"/>
        <item m="1" x="7530"/>
        <item m="1" x="4860"/>
        <item m="1" x="2194"/>
        <item m="1" x="7810"/>
        <item m="1" x="6190"/>
        <item m="1" x="4939"/>
        <item m="1" x="7550"/>
        <item m="1" x="7867"/>
        <item m="1" x="1564"/>
        <item m="1" x="1323"/>
        <item m="1" x="3279"/>
        <item m="1" x="7426"/>
        <item m="1" x="7176"/>
        <item m="1" x="6823"/>
        <item m="1" x="2953"/>
        <item m="1" x="720"/>
        <item m="1" x="1467"/>
        <item m="1" x="460"/>
        <item m="1" x="3782"/>
        <item m="1" x="4422"/>
        <item m="1" x="449"/>
        <item m="1" x="1163"/>
        <item m="1" x="959"/>
        <item m="1" x="2352"/>
        <item m="1" x="6611"/>
        <item m="1" x="6452"/>
        <item m="1" x="7109"/>
        <item m="1" x="3826"/>
        <item m="1" x="3270"/>
        <item m="1" x="6926"/>
        <item m="1" x="1366"/>
        <item m="1" x="3319"/>
        <item m="1" x="4854"/>
        <item m="1" x="4731"/>
        <item m="1" x="2901"/>
        <item m="1" x="3961"/>
        <item m="1" x="4299"/>
        <item m="1" x="6975"/>
        <item m="1" x="6791"/>
        <item m="1" x="511"/>
        <item m="1" x="3611"/>
        <item m="1" x="5457"/>
        <item m="1" x="4441"/>
        <item m="1" x="4172"/>
        <item m="1" x="6593"/>
        <item m="1" x="6341"/>
        <item m="1" x="5351"/>
        <item m="1" x="4522"/>
        <item m="1" x="7432"/>
        <item m="1" x="5021"/>
        <item m="1" x="3721"/>
        <item m="1" x="2637"/>
        <item m="1" x="2600"/>
        <item m="1" x="6935"/>
        <item m="1" x="1962"/>
        <item m="1" x="526"/>
        <item m="1" x="7921"/>
        <item m="1" x="5176"/>
        <item m="1" x="5474"/>
        <item m="1" x="1798"/>
        <item m="1" x="1911"/>
        <item m="1" x="5766"/>
        <item m="1" x="4929"/>
        <item m="1" x="5749"/>
        <item m="1" x="3374"/>
        <item m="1" x="6623"/>
        <item m="1" x="4700"/>
        <item m="1" x="7258"/>
        <item m="1" x="5507"/>
        <item m="1" x="6135"/>
        <item m="1" x="4169"/>
        <item m="1" x="7043"/>
        <item m="1" x="2633"/>
        <item m="1" x="1799"/>
        <item m="1" x="6698"/>
        <item m="1" x="3068"/>
        <item m="1" x="3791"/>
        <item m="1" x="3650"/>
        <item m="1" x="7611"/>
        <item m="1" x="7384"/>
        <item m="1" x="1140"/>
        <item m="1" x="3375"/>
        <item m="1" x="2654"/>
        <item m="1" x="6699"/>
        <item m="1" x="4201"/>
        <item m="1" x="5508"/>
        <item m="1" x="7279"/>
        <item m="1" x="4984"/>
        <item m="1" x="5035"/>
        <item m="1" x="6043"/>
        <item m="1" x="5509"/>
        <item m="1" x="4964"/>
        <item m="1" x="5558"/>
        <item m="1" x="6121"/>
        <item m="1" x="6143"/>
        <item m="1" x="1194"/>
        <item m="1" x="1211"/>
        <item m="1" x="6728"/>
        <item m="1" x="3818"/>
        <item m="1" x="5559"/>
        <item m="1" x="7385"/>
        <item m="1" x="4126"/>
        <item m="1" x="4236"/>
        <item m="1" x="4965"/>
        <item m="1" x="4739"/>
        <item m="1" x="6729"/>
        <item m="1" x="6088"/>
        <item m="1" x="6450"/>
        <item m="1" x="6204"/>
        <item m="1" x="7024"/>
        <item m="1" x="2217"/>
        <item m="1" x="2683"/>
        <item m="1" x="3861"/>
        <item m="1" x="3562"/>
        <item m="1" x="6382"/>
        <item m="1" x="4288"/>
        <item m="1" x="4811"/>
        <item m="1" x="6122"/>
        <item m="1" x="4537"/>
        <item m="1" x="4510"/>
        <item m="1" x="5617"/>
        <item m="1" x="6437"/>
        <item m="1" x="6836"/>
        <item m="1" x="1867"/>
        <item m="1" x="6677"/>
        <item m="1" x="2017"/>
        <item m="1" x="1800"/>
        <item m="1" x="5524"/>
        <item m="1" x="1249"/>
        <item m="1" x="7120"/>
        <item m="1" x="1819"/>
        <item m="1" x="4328"/>
        <item m="1" x="5002"/>
        <item m="1" x="7376"/>
        <item m="1" x="576"/>
        <item m="1" x="5800"/>
        <item m="1" x="616"/>
        <item m="1" x="3385"/>
        <item m="1" x="7187"/>
        <item m="1" x="4379"/>
        <item m="1" x="6443"/>
        <item m="1" x="4873"/>
        <item m="1" x="1673"/>
        <item m="1" x="1279"/>
        <item m="1" x="3427"/>
        <item m="1" x="602"/>
        <item m="1" x="6180"/>
        <item m="1" x="6162"/>
        <item m="1" x="1710"/>
        <item m="1" x="531"/>
        <item m="1" x="1895"/>
        <item m="1" x="5034"/>
        <item m="1" x="1302"/>
        <item m="1" x="1023"/>
        <item m="1" x="2276"/>
        <item m="1" x="3688"/>
        <item m="1" x="5279"/>
        <item m="1" x="5636"/>
        <item m="1" x="7799"/>
        <item m="1" x="2844"/>
        <item m="1" x="7436"/>
        <item m="1" x="6797"/>
        <item m="1" x="1042"/>
        <item m="1" x="1777"/>
        <item m="1" x="1674"/>
        <item m="1" x="5001"/>
        <item m="1" x="5592"/>
        <item m="1" x="6161"/>
        <item m="1" x="6186"/>
        <item m="1" x="1234"/>
        <item m="1" x="4359"/>
        <item m="1" x="5068"/>
        <item m="1" x="329"/>
        <item m="1" x="5934"/>
        <item m="1" x="1638"/>
        <item m="1" x="7824"/>
        <item m="1" x="1617"/>
        <item m="1" x="1344"/>
        <item m="1" x="1137"/>
        <item m="1" x="6205"/>
        <item m="1" x="2954"/>
        <item m="1" x="3675"/>
        <item m="1" x="6727"/>
        <item m="1" x="1841"/>
        <item m="1" x="5560"/>
        <item m="1" x="1318"/>
        <item m="1" x="364"/>
        <item m="1" x="1728"/>
        <item m="1" x="1985"/>
        <item m="1" x="5092"/>
        <item m="1" x="7472"/>
        <item m="1" x="5835"/>
        <item m="1" x="1212"/>
        <item m="1" x="7513"/>
        <item m="1" x="899"/>
        <item m="1" x="7533"/>
        <item m="1" x="381"/>
        <item m="1" x="6889"/>
        <item m="1" x="679"/>
        <item m="1" x="4384"/>
        <item m="1" x="6223"/>
        <item m="1" x="4685"/>
        <item m="1" x="6594"/>
        <item m="1" x="6244"/>
        <item m="1" x="2996"/>
        <item m="1" x="1427"/>
        <item m="1" x="6549"/>
        <item m="1" x="7492"/>
        <item m="1" x="1778"/>
        <item m="1" x="2340"/>
        <item m="1" x="3368"/>
        <item m="1" x="4360"/>
        <item m="1" x="5977"/>
        <item m="1" x="7493"/>
        <item m="1" x="2635"/>
        <item m="1" x="3337"/>
        <item m="1" x="7945"/>
        <item m="1" x="5150"/>
        <item m="1" x="2341"/>
        <item m="1" x="1343"/>
        <item m="1" x="1101"/>
        <item m="1" x="3732"/>
        <item m="1" x="6044"/>
        <item m="1" x="1794"/>
        <item m="1" x="203"/>
        <item m="1" x="1690"/>
        <item m="1" x="3118"/>
        <item m="1" x="913"/>
        <item m="1" x="1711"/>
        <item m="1" x="922"/>
        <item m="1" x="7242"/>
        <item m="1" x="1164"/>
        <item m="1" x="7378"/>
        <item m="1" x="3453"/>
        <item m="1" x="6936"/>
        <item m="1" x="642"/>
        <item m="1" x="5182"/>
        <item m="1" x="5772"/>
        <item m="1" x="960"/>
        <item m="1" x="1205"/>
        <item m="1" x="4469"/>
        <item m="1" x="923"/>
        <item m="1" x="1729"/>
        <item m="1" x="2056"/>
        <item m="1" x="2353"/>
        <item m="1" x="1750"/>
        <item m="1" x="1241"/>
        <item m="1" x="961"/>
        <item m="1" x="3061"/>
        <item m="1" x="6279"/>
        <item m="1" x="3039"/>
        <item m="1" x="661"/>
        <item m="1" x="1226"/>
        <item m="1" x="4437"/>
        <item m="1" x="6760"/>
        <item m="1" x="1868"/>
        <item m="1" x="4075"/>
        <item m="1" x="1358"/>
        <item m="1" x="4975"/>
        <item m="1" x="1487"/>
        <item m="1" x="5797"/>
        <item m="1" x="5718"/>
        <item m="1" x="6400"/>
        <item m="1" x="5235"/>
        <item m="1" x="5869"/>
        <item m="1" x="204"/>
        <item m="1" x="2138"/>
        <item m="1" x="3060"/>
        <item m="1" x="212"/>
        <item m="1" x="1878"/>
        <item m="1" x="2402"/>
        <item m="1" x="6247"/>
        <item m="1" x="7066"/>
        <item m="1" x="6257"/>
        <item m="1" x="6415"/>
        <item m="1" x="6224"/>
        <item m="1" x="6313"/>
        <item m="1" x="6431"/>
        <item m="1" x="1210"/>
        <item m="1" x="5831"/>
        <item m="1" x="7808"/>
        <item m="1" x="517"/>
        <item m="1" x="6155"/>
        <item m="1" x="4808"/>
        <item m="1" x="1390"/>
        <item m="1" x="3093"/>
        <item m="1" x="5290"/>
        <item m="1" x="3772"/>
        <item m="1" x="1835"/>
        <item m="1" x="6267"/>
        <item m="1" x="3507"/>
        <item m="1" x="3871"/>
        <item m="1" x="6196"/>
        <item m="1" x="1276"/>
        <item m="1" x="4506"/>
        <item m="1" x="6195"/>
        <item m="1" x="5832"/>
        <item m="1" x="4213"/>
        <item m="1" x="4820"/>
        <item m="1" x="7793"/>
        <item m="1" x="1403"/>
        <item m="1" x="4768"/>
        <item m="1" x="5059"/>
        <item m="1" x="5850"/>
        <item m="1" x="3556"/>
        <item m="1" x="4230"/>
        <item m="1" x="2484"/>
        <item m="1" x="1313"/>
        <item m="1" x="4535"/>
        <item m="1" x="6240"/>
        <item m="1" x="3204"/>
        <item m="1" x="6465"/>
        <item m="1" x="7856"/>
        <item m="1" x="2860"/>
        <item m="1" x="6275"/>
        <item m="1" x="5864"/>
        <item m="1" x="4259"/>
        <item m="1" x="6350"/>
        <item m="1" x="3141"/>
        <item m="1" x="6498"/>
        <item m="1" x="2214"/>
        <item m="1" x="5808"/>
        <item m="1" x="5897"/>
        <item m="1" x="6810"/>
        <item m="1" x="1912"/>
        <item m="1" x="6718"/>
        <item m="1" x="7442"/>
        <item m="1" x="5611"/>
        <item m="1" x="6518"/>
        <item m="1" x="1442"/>
        <item m="1" x="2139"/>
        <item m="1" x="6466"/>
        <item m="1" x="4849"/>
        <item m="1" x="6308"/>
        <item m="1" x="2571"/>
        <item m="1" x="7504"/>
        <item m="1" x="4260"/>
        <item m="1" x="2190"/>
        <item m="1" x="5102"/>
        <item m="1" x="6345"/>
        <item m="1" x="6803"/>
        <item m="1" x="4850"/>
        <item m="1" x="6559"/>
        <item m="1" x="6824"/>
        <item m="1" x="6406"/>
        <item m="1" x="6379"/>
        <item m="1" x="3203"/>
        <item m="1" x="7462"/>
        <item m="1" x="1426"/>
        <item m="1" x="4569"/>
        <item m="1" x="3831"/>
        <item m="1" x="5629"/>
        <item m="1" x="1863"/>
        <item m="1" x="7400"/>
        <item m="1" x="7500"/>
        <item m="1" x="5089"/>
        <item m="1" x="4281"/>
        <item m="1" x="7225"/>
        <item m="1" x="5882"/>
        <item m="1" x="4612"/>
        <item m="1" x="3944"/>
        <item m="1" x="3643"/>
        <item m="1" x="5684"/>
        <item m="1" x="6276"/>
        <item m="1" x="7191"/>
        <item m="1" x="6829"/>
        <item m="1" x="5045"/>
        <item m="1" x="3242"/>
        <item m="1" x="5103"/>
        <item m="1" x="5115"/>
        <item m="1" x="619"/>
        <item m="1" x="2343"/>
        <item m="1" x="6519"/>
        <item m="1" x="6855"/>
        <item m="1" x="6225"/>
        <item m="1" x="7897"/>
        <item m="1" x="4352"/>
        <item m="1" x="6872"/>
        <item m="1" x="6292"/>
        <item m="1" x="5685"/>
        <item m="1" x="7518"/>
        <item m="1" x="5347"/>
        <item m="1" x="2281"/>
        <item m="1" x="5898"/>
        <item m="1" x="7539"/>
        <item m="1" x="2993"/>
        <item m="1" x="5144"/>
        <item m="1" x="5736"/>
        <item m="1" x="7054"/>
        <item m="1" x="7644"/>
        <item m="1" x="4554"/>
        <item m="1" x="1772"/>
        <item m="1" x="630"/>
        <item m="1" x="7266"/>
        <item m="1" x="4632"/>
        <item m="1" x="6560"/>
        <item m="1" x="965"/>
        <item m="1" x="4917"/>
        <item m="1" x="3445"/>
        <item m="1" x="631"/>
        <item m="1" x="7207"/>
        <item m="1" x="4022"/>
        <item m="1" x="5961"/>
        <item m="1" x="5915"/>
        <item m="1" x="7563"/>
        <item m="1" x="6940"/>
        <item m="1" x="4109"/>
        <item m="1" x="7632"/>
        <item m="1" x="5441"/>
        <item m="1" x="1515"/>
        <item m="1" x="2131"/>
        <item m="1" x="2090"/>
        <item m="1" x="3113"/>
        <item m="1" x="710"/>
        <item m="1" x="5166"/>
        <item m="1" x="3195"/>
        <item m="1" x="5377"/>
        <item m="1" x="3683"/>
        <item m="1" x="6538"/>
        <item m="1" x="5701"/>
        <item m="1" x="6024"/>
        <item m="1" x="6309"/>
        <item m="1" x="1831"/>
        <item m="1" x="2457"/>
        <item m="1" x="3420"/>
        <item m="1" x="1609"/>
        <item m="1" x="2398"/>
        <item m="1" x="2324"/>
        <item m="1" x="7051"/>
        <item m="1" x="3523"/>
        <item m="1" x="733"/>
        <item m="1" x="991"/>
        <item m="1" x="1554"/>
        <item m="1" x="738"/>
        <item m="1" x="3803"/>
        <item m="1" x="7684"/>
        <item m="1" x="3166"/>
        <item m="1" x="2130"/>
        <item m="1" x="1199"/>
        <item m="1" x="775"/>
        <item m="1" x="2818"/>
        <item m="1" x="4141"/>
        <item m="1" x="977"/>
        <item m="1" x="541"/>
        <item m="1" x="2852"/>
        <item m="1" x="6903"/>
        <item m="1" x="6258"/>
        <item m="1" x="2819"/>
        <item m="1" x="1256"/>
        <item m="1" x="813"/>
        <item m="1" x="2880"/>
        <item m="1" x="458"/>
        <item m="1" x="3897"/>
        <item m="1" x="1014"/>
        <item m="1" x="488"/>
        <item m="1" x="1287"/>
        <item m="1" x="2132"/>
        <item m="1" x="739"/>
        <item m="1" x="252"/>
        <item m="1" x="1004"/>
        <item m="1" x="2458"/>
        <item m="1" x="4157"/>
        <item m="1" x="7738"/>
        <item m="1" x="3918"/>
        <item m="1" x="3239"/>
        <item m="1" x="4804"/>
        <item m="1" x="7755"/>
        <item m="1" x="2881"/>
        <item m="1" x="1532"/>
        <item m="1" x="990"/>
        <item m="1" x="4209"/>
        <item m="1" x="487"/>
        <item m="1" x="7172"/>
        <item m="1" x="3196"/>
        <item m="1" x="7676"/>
        <item m="1" x="2439"/>
        <item m="1" x="3917"/>
        <item m="1" x="978"/>
        <item m="1" x="5960"/>
        <item m="1" x="1288"/>
        <item m="1" x="817"/>
        <item m="1" x="1326"/>
        <item m="1" x="365"/>
        <item m="1" x="3964"/>
        <item m="1" x="1587"/>
        <item m="1" x="1646"/>
        <item m="1" x="1112"/>
        <item m="1" x="4562"/>
        <item m="1" x="996"/>
        <item m="1" x="2934"/>
        <item m="1" x="1373"/>
        <item m="1" x="2820"/>
        <item m="1" x="4545"/>
        <item m="1" x="4275"/>
        <item m="1" x="2295"/>
        <item m="1" x="569"/>
        <item m="1" x="3323"/>
        <item m="1" x="1079"/>
        <item m="1" x="303"/>
        <item m="1" x="518"/>
        <item m="1" x="5358"/>
        <item m="1" x="1412"/>
        <item m="1" x="2585"/>
        <item m="1" x="2603"/>
        <item m="1" x="6946"/>
        <item m="1" x="6291"/>
        <item m="1" x="233"/>
        <item m="1" x="5762"/>
        <item m="1" x="2225"/>
        <item m="1" x="1312"/>
        <item m="1" x="5093"/>
        <item m="1" x="5495"/>
        <item m="1" x="1905"/>
        <item m="1" x="1450"/>
        <item m="1" x="2933"/>
        <item m="1" x="2655"/>
        <item m="1" x="3324"/>
        <item m="1" x="5902"/>
        <item m="1" x="7593"/>
        <item m="1" x="5151"/>
        <item m="1" x="2296"/>
        <item m="1" x="6579"/>
        <item m="1" x="4329"/>
        <item m="1" x="4905"/>
        <item m="1" x="5670"/>
        <item m="1" x="1327"/>
        <item m="1" x="6314"/>
        <item m="1" x="814"/>
        <item m="1" x="2184"/>
        <item m="1" x="1311"/>
        <item m="1" x="2505"/>
        <item m="1" x="2525"/>
        <item m="1" x="5353"/>
        <item m="1" x="7127"/>
        <item m="1" x="2545"/>
        <item m="1" x="4248"/>
        <item m="1" x="3306"/>
        <item m="1" x="2964"/>
        <item m="1" x="7152"/>
        <item m="1" x="555"/>
        <item m="1" x="1032"/>
        <item m="1" x="318"/>
        <item m="1" x="3658"/>
        <item m="1" x="1955"/>
        <item m="1" x="4573"/>
        <item m="1" x="4189"/>
        <item m="1" x="2750"/>
        <item m="1" x="6947"/>
        <item m="1" x="4650"/>
        <item m="1" x="4046"/>
        <item m="1" x="1013"/>
        <item m="1" x="6005"/>
        <item m="1" x="6280"/>
        <item m="1" x="7791"/>
        <item m="1" x="3668"/>
        <item m="1" x="2207"/>
        <item m="1" x="2854"/>
        <item m="1" x="5369"/>
        <item m="1" x="1973"/>
        <item m="1" x="5393"/>
        <item m="1" x="6929"/>
        <item m="1" x="6001"/>
        <item m="1" x="4247"/>
        <item m="1" x="5689"/>
        <item m="1" x="1490"/>
        <item m="1" x="2761"/>
        <item m="1" x="6059"/>
        <item m="1" x="3689"/>
        <item m="1" x="2618"/>
        <item m="1" x="5303"/>
        <item m="1" x="7067"/>
        <item m="1" x="4380"/>
        <item m="1" x="5690"/>
        <item m="1" x="6993"/>
        <item m="1" x="3380"/>
        <item m="1" x="7569"/>
        <item m="1" x="7957"/>
        <item m="1" x="5740"/>
        <item m="1" x="2808"/>
        <item m="1" x="2342"/>
        <item m="1" x="2030"/>
        <item m="1" x="3733"/>
        <item m="1" x="5878"/>
        <item m="1" x="3446"/>
        <item m="1" x="5722"/>
        <item m="1" x="5022"/>
        <item m="1" x="6332"/>
        <item m="1" x="5231"/>
        <item m="1" x="270"/>
        <item m="1" x="528"/>
        <item m="1" x="6999"/>
        <item m="1" x="2982"/>
        <item m="1" x="6080"/>
        <item m="1" x="7888"/>
        <item m="1" x="7037"/>
        <item m="1" x="5183"/>
        <item m="1" x="3034"/>
        <item m="1" x="2841"/>
        <item m="1" x="5248"/>
        <item m="1" x="5481"/>
        <item m="1" x="6333"/>
        <item m="1" x="1374"/>
        <item m="1" x="6098"/>
        <item m="1" x="4274"/>
        <item m="1" x="2798"/>
        <item m="1" x="5247"/>
        <item m="1" x="4673"/>
        <item m="1" x="7238"/>
        <item m="1" x="3447"/>
        <item m="1" x="4690"/>
        <item m="1" x="5803"/>
        <item m="1" x="3773"/>
        <item m="1" x="5203"/>
        <item m="1" x="611"/>
        <item m="1" x="1045"/>
        <item m="1" x="7825"/>
        <item m="1" x="4435"/>
        <item m="1" x="5288"/>
        <item m="1" x="3366"/>
        <item m="1" x="5170"/>
        <item m="1" x="4689"/>
        <item m="1" x="5171"/>
        <item m="1" x="453"/>
        <item m="1" x="2047"/>
        <item m="1" x="4725"/>
        <item m="1" x="6099"/>
        <item m="1" x="3058"/>
        <item m="1" x="4079"/>
        <item m="1" x="3081"/>
        <item m="1" x="4158"/>
        <item m="1" x="7082"/>
        <item m="1" x="5214"/>
        <item m="1" x="5232"/>
        <item m="1" x="4416"/>
        <item m="1" x="3558"/>
        <item m="1" x="7873"/>
        <item m="1" x="4771"/>
        <item m="1" x="5550"/>
        <item m="1" x="4112"/>
        <item m="1" x="4707"/>
        <item m="1" x="4415"/>
        <item m="1" x="5804"/>
        <item m="1" x="499"/>
        <item m="1" x="2117"/>
        <item m="1" x="5843"/>
        <item m="1" x="683"/>
        <item m="1" x="3867"/>
        <item m="1" x="5917"/>
        <item m="1" x="7913"/>
        <item m="1" x="5320"/>
        <item m="1" x="4178"/>
        <item m="1" x="7844"/>
        <item m="1" x="5249"/>
        <item m="1" x="7690"/>
        <item m="1" x="339"/>
        <item m="1" x="2380"/>
        <item m="1" x="5914"/>
        <item m="1" x="6094"/>
        <item m="1" x="6689"/>
        <item m="1" x="468"/>
        <item m="1" x="5828"/>
        <item m="1" x="1598"/>
        <item m="1" x="2091"/>
        <item m="1" x="4805"/>
        <item m="1" x="3137"/>
        <item m="1" x="6711"/>
        <item m="1" x="7121"/>
        <item m="1" x="7038"/>
        <item m="1" x="7670"/>
        <item m="1" x="5791"/>
        <item m="1" x="4142"/>
        <item m="1" x="6427"/>
        <item m="1" x="6397"/>
        <item m="1" x="7140"/>
        <item m="1" x="5269"/>
        <item m="1" x="5959"/>
        <item m="1" x="5529"/>
        <item m="1" x="7669"/>
        <item m="1" x="6775"/>
        <item m="1" x="7392"/>
        <item m="1" x="1096"/>
        <item m="1" x="4488"/>
        <item m="1" x="7811"/>
        <item m="1" x="320"/>
        <item m="1" x="7784"/>
        <item m="1" x="3965"/>
        <item m="1" x="3266"/>
        <item m="1" x="3461"/>
        <item m="1" x="5967"/>
        <item m="1" x="5671"/>
        <item m="1" x="5041"/>
        <item m="1" x="5829"/>
        <item m="1" x="6177"/>
        <item m="1" x="1048"/>
        <item m="1" x="4321"/>
        <item m="1" x="2853"/>
        <item m="1" x="7417"/>
        <item m="1" x="1351"/>
        <item m="1" x="832"/>
        <item m="1" x="2918"/>
        <item m="1" x="4784"/>
        <item m="1" x="7826"/>
        <item m="1" x="561"/>
        <item m="1" x="1291"/>
        <item m="1" x="273"/>
        <item m="1" x="3644"/>
        <item m="1" x="289"/>
        <item m="1" x="3243"/>
        <item m="1" x="1378"/>
        <item m="1" x="4570"/>
        <item m="1" x="3664"/>
        <item m="1" x="2309"/>
        <item m="1" x="1648"/>
        <item m="1" x="2531"/>
        <item m="1" x="3267"/>
        <item m="1" x="498"/>
        <item m="1" x="2116"/>
        <item m="1" x="5073"/>
        <item m="1" x="6408"/>
        <item m="1" x="5910"/>
        <item m="1" x="4006"/>
        <item m="1" x="4591"/>
        <item m="1" x="2611"/>
        <item m="1" x="4613"/>
        <item m="1" x="5129"/>
        <item m="1" x="3244"/>
        <item m="1" x="6529"/>
        <item m="1" x="1228"/>
        <item m="1" x="1087"/>
        <item m="1" x="4007"/>
        <item m="1" x="4752"/>
        <item m="1" x="2282"/>
        <item m="1" x="2968"/>
        <item m="1" x="1665"/>
        <item m="1" x="4381"/>
        <item m="1" x="389"/>
        <item m="1" x="3197"/>
        <item m="1" x="2303"/>
        <item m="1" x="4592"/>
        <item m="1" x="4023"/>
        <item m="1" x="3310"/>
        <item m="1" x="891"/>
        <item m="1" x="3557"/>
        <item m="1" x="3309"/>
        <item m="1" x="2967"/>
        <item m="1" x="421"/>
        <item m="1" x="5860"/>
        <item m="1" x="1590"/>
        <item m="1" x="3328"/>
        <item m="1" x="4008"/>
        <item m="1" x="2004"/>
        <item m="1" x="2626"/>
        <item m="1" x="2025"/>
        <item m="1" x="1970"/>
        <item m="1" x="403"/>
        <item m="1" x="2589"/>
        <item m="1" x="3362"/>
        <item m="1" x="1476"/>
        <item m="1" x="7889"/>
        <item m="1" x="2642"/>
        <item m="1" x="2691"/>
        <item m="1" x="3345"/>
        <item m="1" x="4041"/>
        <item m="1" x="5916"/>
        <item m="1" x="6528"/>
        <item m="1" x="1128"/>
        <item m="1" x="4633"/>
        <item m="1" x="7859"/>
        <item m="1" x="3240"/>
        <item m="1" x="2591"/>
        <item m="1" x="916"/>
        <item m="1" x="7860"/>
        <item m="1" x="4093"/>
        <item m="1" x="668"/>
        <item m="1" x="2005"/>
        <item m="1" x="3174"/>
        <item m="1" x="1438"/>
        <item m="1" x="4829"/>
        <item m="1" x="2006"/>
        <item m="1" x="422"/>
        <item m="1" x="4071"/>
        <item m="1" x="709"/>
        <item m="1" x="3008"/>
        <item m="1" x="4670"/>
        <item m="1" x="622"/>
        <item m="1" x="4817"/>
        <item m="1" x="4042"/>
        <item m="1" x="4671"/>
        <item m="1" x="4072"/>
        <item m="1" x="5237"/>
        <item m="1" x="932"/>
        <item m="1" x="1379"/>
        <item m="1" x="3344"/>
        <item m="1" x="1741"/>
        <item m="1" x="3864"/>
        <item m="1" x="2590"/>
        <item m="1" x="4073"/>
        <item m="1" x="2627"/>
        <item m="1" x="4684"/>
        <item m="1" x="1125"/>
        <item m="1" x="1719"/>
        <item m="1" x="973"/>
        <item m="1" x="2643"/>
        <item m="1" x="2662"/>
        <item m="1" x="2747"/>
        <item m="1" x="3394"/>
        <item m="1" x="7990"/>
        <item m="1" x="4107"/>
        <item m="1" x="1511"/>
        <item m="1" x="2107"/>
        <item m="1" x="1035"/>
        <item m="1" x="370"/>
        <item m="1" x="3691"/>
        <item m="1" x="687"/>
        <item m="1" x="1827"/>
        <item m="1" x="986"/>
        <item m="1" x="4718"/>
        <item m="1" x="4417"/>
        <item m="1" x="3054"/>
        <item m="1" x="1527"/>
        <item m="1" x="4717"/>
        <item m="1" x="4173"/>
        <item m="1" x="3465"/>
        <item m="1" x="4708"/>
        <item m="1" x="5893"/>
        <item m="1" x="3361"/>
        <item m="1" x="4040"/>
        <item m="1" x="2057"/>
        <item m="1" x="3285"/>
        <item m="1" x="2714"/>
        <item m="1" x="5586"/>
        <item m="1" x="4186"/>
        <item m="1" x="4763"/>
        <item m="1" x="3835"/>
        <item m="1" x="997"/>
        <item m="1" x="7424"/>
        <item m="1" x="4865"/>
        <item m="1" x="5602"/>
        <item m="1" x="2140"/>
        <item m="1" x="2756"/>
        <item m="1" x="3377"/>
        <item m="1" x="3107"/>
        <item m="1" x="4746"/>
        <item m="1" x="2728"/>
        <item m="1" x="4841"/>
        <item m="1" x="3363"/>
        <item m="1" x="1477"/>
        <item m="1" x="2692"/>
        <item m="1" x="1565"/>
        <item m="1" x="5275"/>
        <item m="1" x="3428"/>
        <item m="1" x="287"/>
        <item m="1" x="2830"/>
        <item m="1" x="3853"/>
        <item m="1" x="1478"/>
        <item m="1" x="5079"/>
        <item m="1" x="6739"/>
        <item m="1" x="1837"/>
        <item m="1" x="2783"/>
        <item m="1" x="2492"/>
        <item m="1" x="3508"/>
        <item m="1" x="5612"/>
        <item m="1" x="2042"/>
        <item m="1" x="2043"/>
        <item m="1" x="3459"/>
        <item m="1" x="7364"/>
        <item m="1" x="7756"/>
        <item m="1" x="253"/>
        <item m="1" x="4449"/>
        <item m="1" x="5060"/>
        <item m="1" x="1503"/>
        <item m="1" x="3482"/>
        <item m="1" x="6181"/>
        <item m="1" x="4162"/>
        <item m="1" x="5008"/>
        <item m="1" x="4769"/>
        <item m="1" x="5553"/>
        <item m="1" x="3325"/>
        <item m="1" x="5587"/>
        <item m="1" x="4222"/>
        <item m="1" x="6480"/>
        <item m="1" x="1601"/>
        <item m="1" x="6873"/>
        <item m="1" x="3872"/>
        <item m="1" x="5648"/>
        <item m="1" x="6259"/>
        <item m="1" x="271"/>
        <item m="1" x="3160"/>
        <item m="1" x="5935"/>
        <item m="1" x="3393"/>
        <item m="1" x="4070"/>
        <item m="1" x="4897"/>
        <item m="1" x="6804"/>
        <item m="1" x="7192"/>
        <item m="1" x="5630"/>
        <item m="1" x="2831"/>
        <item m="1" x="2142"/>
        <item m="1" x="4269"/>
        <item m="1" x="2191"/>
        <item m="1" x="3953"/>
        <item m="1" x="6874"/>
        <item m="1" x="7519"/>
        <item m="1" x="4809"/>
        <item m="1" x="5613"/>
        <item m="1" x="5883"/>
        <item m="1" x="6520"/>
        <item m="1" x="1024"/>
        <item m="1" x="4851"/>
        <item m="1" x="334"/>
        <item m="1" x="7443"/>
        <item m="1" x="7479"/>
        <item m="1" x="6293"/>
        <item m="1" x="6964"/>
        <item m="1" x="3354"/>
        <item m="1" x="5649"/>
        <item m="1" x="5650"/>
        <item m="1" x="5080"/>
        <item m="1" x="5717"/>
        <item m="1" x="7226"/>
        <item m="1" x="2941"/>
        <item m="1" x="4988"/>
        <item m="1" x="366"/>
        <item m="1" x="4966"/>
        <item m="1" x="3665"/>
        <item m="1" x="4593"/>
        <item m="1" x="6294"/>
        <item m="1" x="5822"/>
        <item m="1" x="6277"/>
        <item m="1" x="3138"/>
        <item m="1" x="7884"/>
        <item m="1" x="367"/>
        <item m="1" x="5106"/>
        <item m="1" x="7100"/>
        <item m="1" x="7615"/>
        <item m="1" x="5664"/>
        <item m="1" x="6989"/>
        <item m="1" x="6927"/>
        <item m="1" x="7576"/>
        <item m="1" x="3448"/>
        <item m="1" x="3218"/>
        <item m="1" x="4815"/>
        <item m="1" x="7181"/>
        <item m="1" x="3438"/>
        <item m="1" x="4106"/>
        <item m="1" x="5116"/>
        <item m="1" x="5686"/>
        <item m="1" x="445"/>
        <item m="1" x="3846"/>
        <item m="1" x="4614"/>
        <item m="1" x="7633"/>
        <item m="1" x="3969"/>
        <item m="1" x="6976"/>
        <item m="1" x="6919"/>
        <item m="1" x="2751"/>
        <item m="1" x="2720"/>
        <item m="1" x="692"/>
        <item m="1" x="3114"/>
        <item m="1" x="7634"/>
        <item m="1" x="3082"/>
        <item m="1" x="2420"/>
        <item m="1" x="506"/>
        <item m="1" x="2799"/>
        <item m="1" x="4466"/>
        <item m="1" x="3410"/>
        <item m="1" x="7540"/>
        <item m="1" x="2382"/>
        <item m="1" x="489"/>
        <item m="1" x="1756"/>
        <item m="1" x="2705"/>
        <item m="1" x="5009"/>
        <item m="1" x="4733"/>
        <item m="1" x="6539"/>
        <item m="1" x="6897"/>
        <item m="1" x="7956"/>
        <item m="1" x="6898"/>
        <item m="1" x="384"/>
        <item m="1" x="4810"/>
        <item m="1" x="4935"/>
        <item m="1" x="5737"/>
        <item m="1" x="6965"/>
        <item m="1" x="7983"/>
        <item m="1" x="654"/>
        <item m="1" x="426"/>
        <item m="1" x="939"/>
        <item m="1" x="1744"/>
        <item m="1" x="2381"/>
        <item m="1" x="2071"/>
        <item m="1" x="4436"/>
        <item m="1" x="6955"/>
        <item m="1" x="983"/>
        <item m="1" x="867"/>
        <item m="1" x="1178"/>
        <item m="1" x="7635"/>
        <item m="1" x="5871"/>
        <item m="1" x="1157"/>
        <item m="1" x="711"/>
        <item m="1" x="1757"/>
        <item m="1" x="1773"/>
        <item m="1" x="459"/>
        <item m="1" x="958"/>
        <item m="1" x="3761"/>
        <item m="1" x="2185"/>
        <item m="1" x="1533"/>
        <item m="1" x="3501"/>
        <item m="1" x="7677"/>
        <item m="1" x="7019"/>
        <item m="1" x="5478"/>
        <item m="1" x="2721"/>
        <item m="1" x="474"/>
        <item m="1" x="992"/>
        <item m="1" x="3847"/>
        <item m="1" x="2459"/>
        <item m="1" x="2479"/>
        <item m="1" x="3919"/>
        <item m="1" x="7173"/>
        <item m="1" x="475"/>
        <item m="1" x="2227"/>
        <item m="1" x="2507"/>
        <item m="1" x="4517"/>
        <item m="1" x="4516"/>
        <item m="1" x="7726"/>
        <item m="1" x="5297"/>
        <item m="1" x="2822"/>
        <item m="1" x="3546"/>
        <item m="1" x="3167"/>
        <item m="1" x="740"/>
        <item m="1" x="2440"/>
        <item m="1" x="519"/>
        <item m="1" x="2910"/>
        <item m="1" x="2774"/>
        <item m="1" x="3848"/>
        <item m="1" x="1877"/>
        <item m="1" x="254"/>
        <item m="1" x="1861"/>
        <item m="1" x="1833"/>
        <item m="1" x="1274"/>
        <item m="1" x="3004"/>
        <item m="1" x="3579"/>
        <item m="1" x="7922"/>
        <item m="1" x="1975"/>
        <item m="1" x="3920"/>
        <item m="1" x="2526"/>
        <item m="1" x="2823"/>
        <item m="1" x="796"/>
        <item m="1" x="1679"/>
        <item m="1" x="2480"/>
        <item m="1" x="556"/>
        <item m="1" x="543"/>
        <item m="1" x="7698"/>
        <item m="1" x="542"/>
        <item m="1" x="1610"/>
        <item m="1" x="3286"/>
        <item m="1" x="4976"/>
        <item m="1" x="2226"/>
        <item m="1" x="1328"/>
        <item m="1" x="1625"/>
        <item m="1" x="2508"/>
        <item m="1" x="4563"/>
        <item m="1" x="588"/>
        <item m="1" x="4375"/>
        <item m="1" x="7880"/>
        <item m="1" x="1258"/>
        <item m="1" x="3898"/>
        <item m="1" x="2506"/>
        <item m="1" x="3703"/>
        <item m="1" x="6584"/>
        <item m="1" x="2246"/>
        <item m="1" x="2266"/>
        <item m="1" x="3595"/>
        <item m="1" x="1898"/>
        <item m="1" x="4619"/>
        <item m="1" x="3287"/>
        <item m="1" x="3984"/>
        <item m="1" x="4885"/>
        <item m="1" x="4674"/>
        <item m="1" x="6628"/>
        <item m="1" x="5691"/>
        <item m="1" x="4531"/>
        <item m="1" x="4546"/>
        <item m="1" x="2883"/>
        <item m="1" x="1913"/>
        <item m="1" x="7211"/>
        <item m="1" x="5924"/>
        <item m="1" x="2228"/>
        <item m="1" x="3049"/>
        <item m="1" x="4028"/>
        <item m="1" x="2577"/>
        <item m="1" x="7570"/>
        <item m="1" x="5403"/>
        <item m="1" x="7545"/>
        <item m="1" x="3223"/>
        <item m="1" x="4289"/>
        <item m="1" x="7594"/>
        <item m="1" x="4309"/>
        <item m="1" x="3355"/>
        <item m="1" x="6315"/>
        <item m="1" x="4886"/>
        <item m="1" x="4691"/>
        <item m="1" x="2821"/>
        <item m="1" x="3264"/>
        <item m="1" x="776"/>
        <item m="1" x="1507"/>
        <item m="1" x="633"/>
        <item m="1" x="7622"/>
        <item m="1" x="3901"/>
        <item m="1" x="1976"/>
        <item m="1" x="2404"/>
        <item m="1" x="6994"/>
        <item m="1" x="3367"/>
        <item m="1" x="6006"/>
        <item m="1" x="6366"/>
        <item m="1" x="3690"/>
        <item m="1" x="6864"/>
        <item m="1" x="6351"/>
        <item m="1" x="4620"/>
        <item m="1" x="6564"/>
        <item m="1" x="6995"/>
        <item m="1" x="6813"/>
        <item m="1" x="4906"/>
        <item m="1" x="4058"/>
        <item m="1" x="4651"/>
        <item m="1" x="5446"/>
        <item m="1" x="4675"/>
        <item m="1" x="7271"/>
        <item m="1" x="7229"/>
        <item m="1" x="6948"/>
        <item m="1" x="7959"/>
        <item m="1" x="7623"/>
        <item m="1" x="6352"/>
        <item m="1" x="2704"/>
        <item m="1" x="6380"/>
        <item m="1" x="3031"/>
        <item m="1" x="6601"/>
        <item m="1" x="2265"/>
        <item m="1" x="4638"/>
        <item m="1" x="5757"/>
        <item m="1" x="6582"/>
        <item m="1" x="7246"/>
        <item m="1" x="5184"/>
        <item m="1" x="6367"/>
        <item m="1" x="3381"/>
        <item m="1" x="4081"/>
        <item m="1" x="7651"/>
        <item m="1" x="5215"/>
        <item m="1" x="3940"/>
        <item m="1" x="2546"/>
        <item m="1" x="4098"/>
        <item m="1" x="4652"/>
        <item m="1" x="5482"/>
        <item m="1" x="2270"/>
        <item m="1" x="4018"/>
        <item m="1" x="4753"/>
        <item m="1" x="5233"/>
        <item m="1" x="2031"/>
        <item m="1" x="4354"/>
        <item m="1" x="5216"/>
        <item m="1" x="3103"/>
        <item m="1" x="6060"/>
        <item m="1" x="3735"/>
        <item m="1" x="815"/>
        <item m="1" x="3734"/>
        <item m="1" x="5496"/>
        <item m="1" x="6411"/>
        <item m="1" x="6410"/>
        <item m="1" x="2486"/>
        <item m="1" x="2048"/>
        <item m="1" x="4146"/>
        <item m="1" x="6409"/>
        <item m="1" x="5304"/>
        <item m="1" x="5250"/>
        <item m="1" x="7692"/>
        <item m="1" x="4398"/>
        <item m="1" x="6651"/>
        <item m="1" x="2882"/>
        <item m="1" x="4973"/>
        <item m="1" x="7671"/>
        <item m="1" x="5370"/>
        <item m="1" x="5894"/>
        <item m="1" x="6413"/>
        <item m="1" x="4785"/>
        <item m="1" x="4190"/>
        <item m="1" x="5568"/>
        <item m="1" x="3774"/>
        <item m="1" x="6444"/>
        <item m="1" x="5513"/>
        <item m="1" x="6412"/>
        <item m="1" x="3449"/>
        <item m="1" x="7800"/>
        <item m="1" x="3462"/>
        <item m="1" x="2297"/>
        <item m="1" x="5632"/>
        <item m="1" x="5777"/>
        <item m="1" x="7778"/>
        <item m="1" x="5006"/>
        <item m="1" x="5276"/>
        <item m="1" x="4830"/>
        <item m="1" x="5458"/>
        <item m="1" x="5844"/>
        <item m="1" x="5371"/>
        <item m="1" x="6712"/>
        <item m="1" x="4956"/>
        <item m="1" x="6433"/>
        <item m="1" x="3431"/>
        <item m="1" x="6477"/>
        <item m="1" x="4818"/>
        <item m="1" x="7893"/>
        <item m="1" x="4051"/>
        <item m="1" x="7083"/>
        <item m="1" x="7691"/>
        <item m="1" x="3411"/>
        <item m="1" x="7718"/>
        <item m="1" x="5270"/>
        <item m="1" x="5879"/>
        <item m="1" x="4179"/>
        <item m="1" x="522"/>
        <item m="1" x="7377"/>
        <item m="1" x="3150"/>
        <item m="1" x="7486"/>
        <item m="1" x="7060"/>
        <item m="1" x="7122"/>
        <item m="1" x="6081"/>
        <item m="1" x="7427"/>
        <item m="1" x="1333"/>
        <item m="1" x="3211"/>
        <item m="1" x="3514"/>
        <item m="1" x="6510"/>
        <item m="1" x="7946"/>
        <item m="1" x="544"/>
        <item m="1" x="2423"/>
        <item m="1" x="3502"/>
        <item m="1" x="5911"/>
        <item m="1" x="2935"/>
        <item m="1" x="3292"/>
        <item m="1" x="4306"/>
        <item m="1" x="6784"/>
        <item m="1" x="872"/>
        <item m="1" x="1904"/>
        <item m="1" x="7447"/>
        <item m="1" x="7757"/>
        <item m="1" x="1929"/>
        <item m="1" x="2572"/>
        <item m="1" x="593"/>
        <item m="1" x="1334"/>
        <item m="1" x="7179"/>
        <item m="1" x="2592"/>
        <item m="1" x="7203"/>
        <item m="1" x="4842"/>
        <item m="1" x="4307"/>
        <item m="1" x="2175"/>
        <item m="1" x="3364"/>
        <item m="1" x="3727"/>
        <item m="1" x="1352"/>
        <item m="1" x="4282"/>
        <item m="1" x="1990"/>
        <item m="1" x="2612"/>
        <item m="1" x="7777"/>
        <item m="1" x="2328"/>
        <item m="1" x="2269"/>
        <item m="1" x="1614"/>
        <item m="1" x="3669"/>
        <item m="1" x="557"/>
        <item m="1" x="3520"/>
        <item m="1" x="1049"/>
        <item m="1" x="7839"/>
        <item m="1" x="6837"/>
        <item m="1" x="2007"/>
        <item m="1" x="371"/>
        <item m="1" x="2308"/>
        <item m="1" x="7448"/>
        <item m="1" x="2628"/>
        <item m="1" x="4325"/>
        <item m="1" x="1991"/>
        <item m="1" x="4089"/>
        <item m="1" x="4919"/>
        <item m="1" x="3395"/>
        <item m="1" x="2613"/>
        <item m="1" x="6856"/>
        <item m="1" x="570"/>
        <item m="1" x="1666"/>
        <item m="1" x="606"/>
        <item m="1" x="3874"/>
        <item m="1" x="2534"/>
        <item m="1" x="3572"/>
        <item m="1" x="1093"/>
        <item m="1" x="2644"/>
        <item m="1" x="3378"/>
        <item m="1" x="7168"/>
        <item m="1" x="7779"/>
        <item m="1" x="7883"/>
        <item m="1" x="5090"/>
        <item m="1" x="4793"/>
        <item m="1" x="1455"/>
        <item m="1" x="3873"/>
        <item m="1" x="3990"/>
        <item m="1" x="3630"/>
        <item m="1" x="2026"/>
        <item m="1" x="1110"/>
        <item m="1" x="2983"/>
        <item m="1" x="917"/>
        <item m="1" x="2645"/>
        <item m="1" x="454"/>
        <item m="1" x="7546"/>
        <item m="1" x="7927"/>
        <item m="1" x="5382"/>
        <item m="1" x="2304"/>
        <item m="1" x="3030"/>
        <item m="1" x="2027"/>
        <item m="1" x="650"/>
        <item m="1" x="404"/>
        <item m="1" x="3396"/>
        <item m="1" x="1154"/>
        <item m="1" x="6299"/>
        <item m="1" x="7904"/>
        <item m="1" x="1456"/>
        <item m="1" x="3752"/>
        <item m="1" x="4413"/>
        <item m="1" x="1129"/>
        <item m="1" x="6807"/>
        <item m="1" x="6878"/>
        <item m="1" x="2693"/>
        <item m="1" x="3074"/>
        <item m="1" x="669"/>
        <item m="1" x="455"/>
        <item m="1" x="6369"/>
        <item m="1" x="5512"/>
        <item m="1" x="1155"/>
        <item m="1" x="3492"/>
        <item m="1" x="3798"/>
        <item m="1" x="1779"/>
        <item m="1" x="1494"/>
        <item m="1" x="2677"/>
        <item m="1" x="2387"/>
        <item m="1" x="2715"/>
        <item m="1" x="3439"/>
        <item m="1" x="933"/>
        <item m="1" x="7595"/>
        <item m="1" x="2403"/>
        <item m="1" x="4758"/>
        <item m="1" x="3386"/>
        <item m="1" x="6416"/>
        <item m="1" x="670"/>
        <item m="1" x="652"/>
        <item m="1" x="6904"/>
        <item m="1" x="3402"/>
        <item m="1" x="1814"/>
        <item m="1" x="6432"/>
        <item m="1" x="6805"/>
        <item m="1" x="5062"/>
        <item m="1" x="5340"/>
        <item m="1" x="3075"/>
        <item m="1" x="1742"/>
        <item m="1" x="6949"/>
        <item m="1" x="1153"/>
        <item m="1" x="7088"/>
        <item m="1" x="7827"/>
        <item m="1" x="4145"/>
        <item m="1" x="7926"/>
        <item m="1" x="3899"/>
        <item m="1" x="7463"/>
        <item m="1" x="4163"/>
        <item m="1" x="5061"/>
        <item m="1" x="3055"/>
        <item m="1" x="4792"/>
        <item m="1" x="3454"/>
        <item m="1" x="2758"/>
        <item m="1" x="5865"/>
        <item m="1" x="5254"/>
        <item m="1" x="2729"/>
        <item m="1" x="3466"/>
        <item m="1" x="3172"/>
        <item m="1" x="1836"/>
        <item m="1" x="5291"/>
        <item m="1" x="3023"/>
        <item m="1" x="974"/>
        <item m="1" x="6806"/>
        <item m="1" x="3227"/>
        <item m="1" x="4561"/>
        <item m="1" x="5172"/>
        <item m="1" x="5309"/>
        <item m="1" x="6708"/>
        <item m="1" x="4432"/>
        <item m="1" x="2333"/>
        <item m="1" x="4431"/>
        <item m="1" x="5631"/>
        <item m="1" x="1852"/>
        <item m="1" x="3483"/>
        <item m="1" x="7480"/>
        <item m="1" x="3268"/>
        <item m="1" x="4047"/>
        <item m="1" x="6481"/>
        <item m="1" x="7231"/>
        <item m="1" x="5341"/>
        <item m="1" x="4195"/>
        <item m="1" x="196"/>
        <item m="1" x="5884"/>
        <item m="1" x="7128"/>
        <item m="1" x="3467"/>
        <item m="1" x="4183"/>
        <item m="1" x="5614"/>
        <item m="1" x="2465"/>
        <item m="1" x="4196"/>
        <item m="1" x="4852"/>
        <item m="1" x="1196"/>
        <item m="1" x="5310"/>
        <item m="1" x="3645"/>
        <item m="1" x="5687"/>
        <item m="1" x="6922"/>
        <item m="1" x="2832"/>
        <item m="1" x="3531"/>
        <item m="1" x="5378"/>
        <item m="1" x="4310"/>
        <item m="1" x="5665"/>
        <item m="1" x="1570"/>
        <item m="1" x="5356"/>
        <item m="1" x="7153"/>
        <item m="1" x="6260"/>
        <item m="1" x="6990"/>
        <item m="1" x="3590"/>
        <item m="1" x="4231"/>
        <item m="1" x="3401"/>
        <item m="1" x="6583"/>
        <item m="1" x="5418"/>
        <item m="1" x="6295"/>
        <item m="1" x="7032"/>
        <item m="1" x="4870"/>
        <item m="1" x="5379"/>
        <item m="1" x="1930"/>
        <item m="1" x="6198"/>
        <item m="1" x="3618"/>
        <item m="1" x="5417"/>
        <item m="1" x="7960"/>
        <item m="1" x="1236"/>
        <item m="1" x="229"/>
        <item m="1" x="2553"/>
        <item m="1" x="6025"/>
        <item m="1" x="7874"/>
        <item m="1" x="4182"/>
        <item m="1" x="3945"/>
        <item m="1" x="7991"/>
        <item m="1" x="6969"/>
        <item m="1" x="4871"/>
        <item m="1" x="3708"/>
        <item m="1" x="6482"/>
        <item m="1" x="6197"/>
        <item m="1" x="6445"/>
        <item m="1" x="2510"/>
        <item m="1" x="2532"/>
        <item m="1" x="4262"/>
        <item m="1" x="4936"/>
        <item m="1" x="998"/>
        <item m="1" x="5962"/>
        <item m="1" x="4080"/>
        <item m="1" x="1786"/>
        <item m="1" x="688"/>
        <item m="1" x="2362"/>
        <item m="1" x="7898"/>
        <item m="1" x="6578"/>
        <item m="1" x="1085"/>
        <item m="1" x="6522"/>
        <item m="1" x="6900"/>
        <item m="1" x="4460"/>
        <item m="1" x="1270"/>
        <item m="1" x="7589"/>
        <item m="1" x="6521"/>
        <item m="1" x="7923"/>
        <item m="1" x="6544"/>
        <item m="1" x="4937"/>
        <item m="1" x="5167"/>
        <item m="1" x="3617"/>
        <item m="1" x="3311"/>
        <item m="1" x="4283"/>
        <item m="1" x="2919"/>
        <item m="1" x="3619"/>
        <item m="1" x="2573"/>
        <item m="1" x="4284"/>
        <item m="1" x="5479"/>
        <item m="1" x="5325"/>
        <item m="1" x="6830"/>
        <item m="1" x="6182"/>
        <item m="1" x="6899"/>
        <item m="1" x="6561"/>
        <item m="1" x="5145"/>
        <item m="1" x="1179"/>
        <item m="1" x="2648"/>
        <item m="1" x="1443"/>
        <item m="1" x="3421"/>
        <item m="1" x="6608"/>
        <item m="1" x="7444"/>
        <item m="1" x="4930"/>
        <item m="1" x="1481"/>
        <item m="1" x="4483"/>
        <item m="1" x="1303"/>
        <item m="1" x="741"/>
        <item m="1" x="2049"/>
        <item m="1" x="7914"/>
        <item m="1" x="4214"/>
        <item m="1" x="3988"/>
        <item m="1" x="2697"/>
        <item m="1" x="1483"/>
        <item m="1" x="6620"/>
        <item m="1" x="7577"/>
        <item m="1" x="757"/>
        <item m="1" x="4355"/>
        <item m="1" x="1495"/>
        <item m="1" x="4159"/>
        <item m="1" x="1025"/>
        <item m="1" x="7014"/>
        <item m="1" x="6633"/>
        <item m="1" x="4113"/>
        <item m="1" x="5003"/>
        <item m="1" x="4779"/>
        <item m="1" x="7310"/>
        <item m="1" x="5465"/>
        <item m="1" x="3013"/>
        <item m="1" x="1239"/>
        <item m="1" x="2118"/>
        <item m="1" x="5854"/>
        <item m="1" x="2466"/>
        <item m="1" x="2722"/>
        <item m="1" x="2323"/>
        <item m="1" x="255"/>
        <item m="1" x="993"/>
        <item m="1" x="1534"/>
        <item m="1" x="1061"/>
        <item m="1" x="1345"/>
        <item m="1" x="2752"/>
        <item m="1" x="1516"/>
        <item m="1" x="2133"/>
        <item m="1" x="2723"/>
        <item m="1" x="234"/>
        <item m="1" x="6672"/>
        <item m="1" x="2119"/>
        <item m="1" x="2460"/>
        <item m="1" x="7656"/>
        <item m="1" x="979"/>
        <item m="1" x="1535"/>
        <item m="1" x="7108"/>
        <item m="1" x="730"/>
        <item m="1" x="2936"/>
        <item m="1" x="7727"/>
        <item m="1" x="5978"/>
        <item m="1" x="2159"/>
        <item m="1" x="2775"/>
        <item m="1" x="272"/>
        <item m="1" x="5778"/>
        <item m="1" x="2186"/>
        <item m="1" x="2984"/>
        <item m="1" x="1914"/>
        <item m="1" x="1862"/>
        <item m="1" x="7699"/>
        <item m="1" x="7972"/>
        <item m="1" x="4261"/>
        <item m="1" x="4024"/>
        <item m="1" x="797"/>
        <item m="1" x="2208"/>
        <item m="1" x="3524"/>
        <item m="1" x="1555"/>
        <item m="1" x="3547"/>
        <item m="1" x="1536"/>
        <item m="1" x="6467"/>
        <item m="1" x="980"/>
        <item m="1" x="288"/>
        <item m="1" x="2160"/>
        <item m="1" x="7728"/>
        <item m="1" x="3025"/>
        <item m="1" x="3024"/>
        <item m="1" x="1611"/>
        <item m="1" x="2187"/>
        <item m="1" x="2800"/>
        <item m="1" x="1062"/>
        <item m="1" x="1568"/>
        <item m="1" x="4210"/>
        <item m="1" x="6719"/>
        <item m="1" x="1899"/>
        <item m="1" x="2568"/>
        <item m="1" x="1626"/>
        <item m="1" x="826"/>
        <item m="1" x="6759"/>
        <item m="1" x="846"/>
        <item m="1" x="2985"/>
        <item m="1" x="1945"/>
        <item m="1" x="3633"/>
        <item m="1" x="3005"/>
        <item m="1" x="1105"/>
        <item m="1" x="335"/>
        <item m="1" x="3612"/>
        <item m="1" x="4249"/>
        <item m="1" x="2605"/>
        <item m="1" x="5236"/>
        <item m="1" x="6890"/>
        <item m="1" x="5997"/>
        <item m="1" x="3304"/>
        <item m="1" x="4528"/>
        <item m="1" x="319"/>
        <item m="1" x="5680"/>
        <item m="1" x="182"/>
        <item m="1" x="5733"/>
        <item m="1" x="6342"/>
        <item m="1" x="7259"/>
        <item m="1" x="6614"/>
        <item m="1" x="7557"/>
        <item m="1" x="6550"/>
        <item m="1" x="2298"/>
        <item m="1" x="4426"/>
        <item m="1" x="5783"/>
        <item m="1" x="7219"/>
        <item m="1" x="7280"/>
        <item m="1" x="2986"/>
        <item m="1" x="7049"/>
        <item m="1" x="3722"/>
        <item m="1" x="4627"/>
        <item m="1" x="3127"/>
        <item m="1" x="6199"/>
        <item m="1" x="5979"/>
        <item m="1" x="2318"/>
        <item m="1" x="5372"/>
        <item m="1" x="6045"/>
        <item m="1" x="6071"/>
        <item m="1" x="7050"/>
        <item m="1" x="5818"/>
        <item m="1" x="434"/>
        <item m="1" x="2247"/>
        <item m="1" x="1698"/>
        <item m="1" x="7296"/>
        <item m="1" x="7005"/>
        <item m="1" x="3026"/>
        <item m="1" x="5714"/>
        <item m="1" x="4898"/>
        <item m="1" x="3946"/>
        <item m="1" x="4215"/>
        <item m="1" x="4712"/>
        <item m="1" x="3181"/>
        <item m="1" x="4390"/>
        <item m="1" x="1347"/>
        <item m="1" x="2604"/>
        <item m="1" x="7281"/>
        <item m="1" x="5784"/>
        <item m="1" x="7025"/>
        <item m="1" x="6961"/>
        <item m="1" x="6073"/>
        <item m="1" x="7834"/>
        <item m="1" x="7317"/>
        <item m="1" x="6391"/>
        <item m="1" x="478"/>
        <item m="1" x="4127"/>
        <item m="1" x="7680"/>
        <item m="1" x="5177"/>
        <item m="1" x="4666"/>
        <item m="1" x="7314"/>
        <item m="1" x="6020"/>
        <item m="1" x="7558"/>
        <item m="1" x="368"/>
        <item m="1" x="2987"/>
        <item m="1" x="4019"/>
        <item m="1" x="4931"/>
        <item m="1" x="7260"/>
        <item m="1" x="4985"/>
        <item m="1" x="6401"/>
        <item m="1" x="5047"/>
        <item m="1" x="6615"/>
        <item m="1" x="4967"/>
        <item m="1" x="5785"/>
        <item m="1" x="5195"/>
        <item m="1" x="6983"/>
        <item m="1" x="464"/>
        <item m="1" x="4150"/>
        <item m="1" x="4932"/>
        <item m="1" x="5767"/>
        <item m="1" x="6376"/>
        <item m="1" x="7295"/>
        <item m="1" x="2317"/>
        <item m="1" x="3792"/>
        <item m="1" x="6642"/>
        <item m="1" x="6420"/>
        <item m="1" x="7297"/>
        <item m="1" x="5510"/>
        <item m="1" x="7356"/>
        <item m="1" x="7026"/>
        <item m="1" x="4090"/>
        <item m="1" x="2347"/>
        <item m="1" x="3027"/>
        <item m="1" x="7315"/>
        <item m="1" x="2393"/>
        <item m="1" x="3104"/>
        <item m="1" x="4968"/>
        <item m="1" x="5511"/>
        <item m="1" x="6089"/>
        <item m="1" x="6107"/>
        <item m="1" x="7096"/>
        <item m="1" x="7076"/>
        <item m="1" x="5814"/>
        <item m="1" x="6451"/>
        <item m="1" x="5240"/>
        <item m="1" x="6145"/>
        <item m="1" x="6163"/>
        <item m="1" x="4701"/>
        <item m="1" x="2638"/>
        <item m="1" x="7681"/>
        <item m="1" x="4797"/>
        <item m="1" x="6227"/>
        <item m="1" x="6700"/>
        <item m="1" x="3883"/>
        <item m="1" x="2413"/>
        <item m="1" x="3182"/>
        <item m="1" x="4128"/>
        <item m="1" x="5014"/>
        <item m="1" x="3151"/>
        <item m="1" x="5036"/>
        <item m="1" x="5815"/>
        <item m="1" x="6811"/>
        <item m="1" x="5579"/>
        <item m="1" x="6421"/>
        <item m="1" x="7132"/>
        <item m="1" x="2430"/>
        <item m="1" x="3632"/>
        <item m="1" x="7785"/>
        <item m="1" x="1592"/>
        <item m="1" x="3152"/>
        <item m="1" x="5920"/>
        <item m="1" x="6206"/>
        <item m="1" x="5280"/>
        <item m="1" x="6473"/>
        <item m="1" x="399"/>
        <item m="1" x="492"/>
        <item m="1" x="3839"/>
        <item m="1" x="7404"/>
        <item m="1" x="6187"/>
        <item m="1" x="4821"/>
        <item m="1" x="5015"/>
        <item m="1" x="6072"/>
        <item m="1" x="6123"/>
        <item m="1" x="7700"/>
        <item m="1" x="279"/>
        <item m="1" x="7428"/>
        <item m="1" x="5965"/>
        <item m="1" x="2238"/>
        <item m="1" x="2845"/>
        <item m="1" x="577"/>
        <item m="1" x="3978"/>
        <item m="1" x="4241"/>
        <item m="1" x="2260"/>
        <item m="1" x="7761"/>
        <item m="1" x="3696"/>
        <item m="1" x="6007"/>
        <item m="1" x="7801"/>
        <item m="1" x="7915"/>
        <item m="1" x="578"/>
        <item m="1" x="6061"/>
        <item m="1" x="7520"/>
        <item m="1" x="772"/>
        <item m="1" x="3998"/>
        <item m="1" x="1324"/>
        <item m="1" x="6144"/>
        <item m="1" x="7131"/>
        <item m="1" x="2346"/>
        <item m="1" x="840"/>
        <item m="1" x="2620"/>
        <item m="1" x="6100"/>
        <item m="1" x="6701"/>
        <item m="1" x="1618"/>
        <item m="1" x="1502"/>
        <item m="1" x="4622"/>
        <item m="1" x="2684"/>
        <item m="1" x="791"/>
        <item m="1" x="4014"/>
        <item m="1" x="2601"/>
        <item m="1" x="4887"/>
        <item m="1" x="4497"/>
        <item m="1" x="2312"/>
        <item m="1" x="2997"/>
        <item m="1" x="3338"/>
        <item m="1" x="4064"/>
        <item m="1" x="1055"/>
        <item m="1" x="1102"/>
        <item m="1" x="3212"/>
        <item m="1" x="1367"/>
        <item m="1" x="6913"/>
        <item m="1" x="2261"/>
        <item m="1" x="1242"/>
        <item m="1" x="6108"/>
        <item m="1" x="6281"/>
        <item m="1" x="7973"/>
        <item m="1" x="629"/>
        <item m="1" x="437"/>
        <item m="1" x="4580"/>
        <item m="1" x="4291"/>
        <item m="1" x="3759"/>
        <item m="1" x="579"/>
        <item m="1" x="1165"/>
        <item m="1" x="3353"/>
        <item m="1" x="1120"/>
        <item m="1" x="4450"/>
        <item m="1" x="7849"/>
        <item m="1" x="6132"/>
        <item m="1" x="4523"/>
        <item m="1" x="1574"/>
        <item m="1" x="4695"/>
        <item m="1" x="2956"/>
        <item m="1" x="3019"/>
        <item m="1" x="1119"/>
        <item m="1" x="1138"/>
        <item m="1" x="2955"/>
        <item m="1" x="7220"/>
        <item m="1" x="2651"/>
        <item m="1" x="3697"/>
        <item m="1" x="2209"/>
        <item m="1" x="4770"/>
        <item m="1" x="2977"/>
        <item m="1" x="580"/>
        <item m="1" x="1781"/>
        <item m="1" x="3925"/>
        <item m="1" x="2650"/>
        <item m="1" x="2444"/>
        <item m="1" x="4835"/>
        <item m="1" x="4065"/>
        <item m="1" x="2371"/>
        <item m="1" x="1166"/>
        <item m="1" x="2998"/>
        <item m="1" x="4118"/>
        <item m="1" x="5543"/>
        <item m="1" x="4184"/>
        <item m="1" x="4696"/>
        <item m="1" x="2735"/>
        <item m="1" x="396"/>
        <item m="1" x="4101"/>
        <item m="1" x="1150"/>
        <item m="1" x="1489"/>
        <item m="1" x="4197"/>
        <item m="1" x="237"/>
        <item m="1" x="6353"/>
        <item m="1" x="4843"/>
        <item m="1" x="2034"/>
        <item m="1" x="382"/>
        <item m="1" x="1103"/>
        <item m="1" x="3248"/>
        <item m="1" x="1428"/>
        <item m="1" x="274"/>
        <item m="1" x="3900"/>
        <item m="1" x="2290"/>
        <item m="1" x="1468"/>
        <item m="1" x="496"/>
        <item m="1" x="7316"/>
        <item m="1" x="4921"/>
        <item m="1" x="4677"/>
        <item m="1" x="1730"/>
        <item m="1" x="703"/>
        <item m="1" x="4954"/>
        <item m="1" x="680"/>
        <item m="1" x="3760"/>
        <item m="1" x="1765"/>
        <item m="1" x="6298"/>
        <item m="1" x="2013"/>
        <item m="1" x="2354"/>
        <item m="1" x="3119"/>
        <item m="1" x="1766"/>
        <item m="1" x="7243"/>
        <item m="1" x="4732"/>
        <item m="1" x="206"/>
        <item m="1" x="305"/>
        <item m="1" x="7974"/>
        <item m="1" x="188"/>
        <item m="1" x="2355"/>
        <item m="1" x="7298"/>
        <item m="1" x="4942"/>
        <item m="1" x="4119"/>
        <item m="1" x="1185"/>
        <item m="1" x="189"/>
        <item m="1" x="1227"/>
        <item m="1" x="2201"/>
        <item m="1" x="205"/>
        <item m="1" x="4704"/>
        <item m="1" x="2703"/>
        <item m="1" x="1488"/>
        <item m="1" x="2702"/>
        <item m="1" x="721"/>
        <item m="1" x="338"/>
        <item m="1" x="5787"/>
        <item m="1" x="221"/>
        <item m="1" x="3473"/>
        <item m="1" x="2795"/>
        <item m="1" x="5228"/>
        <item m="1" x="236"/>
        <item m="1" x="2129"/>
        <item m="1" x="5514"/>
        <item m="1" x="5265"/>
        <item m="1" x="5856"/>
        <item m="1" x="4187"/>
        <item m="1" x="5567"/>
        <item m="1" x="6111"/>
        <item m="1" x="256"/>
        <item m="1" x="6456"/>
        <item m="1" x="7135"/>
        <item m="1" x="3387"/>
        <item m="1" x="5841"/>
        <item m="1" x="6707"/>
        <item m="1" x="6438"/>
        <item m="1" x="6763"/>
        <item m="1" x="7792"/>
        <item m="1" x="746"/>
        <item m="1" x="5823"/>
        <item m="1" x="5930"/>
        <item m="1" x="5583"/>
        <item m="1" x="2846"/>
        <item m="1" x="4444"/>
        <item m="1" x="3889"/>
        <item m="1" x="7414"/>
        <item m="1" x="6506"/>
        <item m="1" x="2239"/>
        <item m="1" x="5285"/>
        <item m="1" x="6172"/>
        <item m="1" x="372"/>
        <item m="1" x="4747"/>
        <item m="1" x="5906"/>
        <item m="1" x="7739"/>
        <item m="1" x="6770"/>
        <item m="1" x="4527"/>
        <item m="1" x="5284"/>
        <item m="1" x="6426"/>
        <item m="1" x="7166"/>
        <item m="1" x="5319"/>
        <item m="1" x="3188"/>
        <item m="1" x="3540"/>
        <item m="1" x="6488"/>
        <item m="1" x="3573"/>
        <item m="1" x="7868"/>
        <item m="1" x="3890"/>
        <item m="1" x="3298"/>
        <item m="1" x="405"/>
        <item m="1" x="7387"/>
        <item m="1" x="5824"/>
        <item m="1" x="673"/>
        <item m="1" x="1277"/>
        <item m="1" x="2336"/>
        <item m="1" x="2467"/>
        <item m="1" x="6109"/>
        <item m="1" x="7509"/>
        <item m="1" x="5018"/>
        <item m="1" x="5973"/>
        <item m="1" x="7136"/>
        <item m="1" x="6792"/>
        <item m="1" x="4203"/>
        <item m="1" x="777"/>
        <item m="1" x="6507"/>
        <item m="1" x="3094"/>
        <item m="1" x="7993"/>
        <item m="1" x="6457"/>
        <item m="1" x="6793"/>
        <item m="1" x="7184"/>
        <item m="1" x="4877"/>
        <item x="148"/>
        <item m="1" x="4482"/>
        <item m="1" x="2872"/>
        <item m="1" x="7333"/>
        <item m="1" x="7137"/>
        <item m="1" x="7819"/>
        <item m="1" x="7326"/>
        <item m="1" x="4861"/>
        <item m="1" x="6545"/>
        <item m="1" x="5388"/>
        <item m="1" x="816"/>
        <item m="1" x="4265"/>
        <item m="1" x="7201"/>
        <item m="1" x="7803"/>
        <item m="1" x="7933"/>
        <item m="1" x="5951"/>
        <item x="7"/>
        <item m="1" x="5971"/>
        <item m="1" x="5389"/>
        <item m="1" x="4292"/>
        <item m="1" x="7365"/>
        <item m="1" x="7215"/>
        <item m="1" x="2903"/>
        <item m="1" x="1869"/>
        <item m="1" x="6664"/>
        <item m="1" x="4782"/>
        <item m="1" x="5972"/>
        <item m="1" x="7845"/>
        <item m="1" x="6487"/>
        <item m="1" x="7182"/>
        <item m="1" x="5407"/>
        <item m="1" x="2902"/>
        <item m="1" x="3933"/>
        <item m="1" x="4878"/>
        <item m="1" x="4560"/>
        <item m="1" x="3280"/>
        <item m="1" x="848"/>
        <item m="1" x="6063"/>
        <item m="1" x="7934"/>
        <item m="1" x="582"/>
        <item x="145"/>
        <item m="1" x="7138"/>
        <item m="1" x="4581"/>
        <item m="1" x="5271"/>
        <item m="1" x="6570"/>
        <item m="1" x="4333"/>
        <item m="1" x="5122"/>
        <item m="1" x="6136"/>
        <item x="147"/>
        <item x="151"/>
        <item x="154"/>
        <item m="1" x="4332"/>
        <item m="1" x="5427"/>
        <item m="1" x="6285"/>
        <item m="1" x="7202"/>
        <item m="1" x="5450"/>
        <item m="1" x="6036"/>
        <item m="1" x="7846"/>
        <item m="1" x="6245"/>
        <item m="1" x="905"/>
        <item m="1" x="7746"/>
        <item m="1" x="4270"/>
        <item m="1" x="7237"/>
        <item m="1" x="5366"/>
        <item m="1" x="5931"/>
        <item m="1" x="7908"/>
        <item m="1" x="7183"/>
        <item m="1" x="5904"/>
        <item m="1" x="4035"/>
        <item m="1" x="5390"/>
        <item m="1" x="7216"/>
        <item m="1" x="3698"/>
        <item m="1" x="7236"/>
        <item m="1" x="6368"/>
        <item m="1" x="4816"/>
        <item m="1" x="6610"/>
        <item m="1" x="5174"/>
        <item m="1" x="4825"/>
        <item m="1" x="4890"/>
        <item m="1" x="6064"/>
        <item m="1" x="6609"/>
        <item m="1" x="7541"/>
        <item x="0"/>
        <item x="18"/>
        <item m="1" x="1508"/>
        <item x="63"/>
        <item x="66"/>
        <item m="1" x="3390"/>
        <item m="1" x="4409"/>
        <item m="1" x="6489"/>
        <item m="1" x="2736"/>
        <item x="146"/>
        <item m="1" x="7984"/>
        <item m="1" x="7213"/>
        <item m="1" x="5449"/>
        <item m="1" x="5907"/>
        <item m="1" x="2957"/>
        <item m="1" x="914"/>
        <item x="16"/>
        <item x="31"/>
        <item m="1" x="2656"/>
        <item m="1" x="1361"/>
        <item m="1" x="1430"/>
        <item m="1" x="5123"/>
        <item m="1" x="5836"/>
        <item m="1" x="950"/>
        <item m="1" x="7564"/>
        <item m="1" x="662"/>
        <item m="1" x="1769"/>
        <item m="1" x="1560"/>
        <item m="1" x="3407"/>
        <item x="100"/>
        <item m="1" x="550"/>
        <item m="1" x="5188"/>
        <item m="1" x="4385"/>
        <item m="1" x="1801"/>
        <item m="1" x="2126"/>
        <item m="1" x="4713"/>
        <item m="1" x="2065"/>
        <item m="1" x="4740"/>
        <item m="1" x="7645"/>
        <item m="1" x="1543"/>
        <item m="1" x="982"/>
        <item m="1" x="6358"/>
        <item m="1" x="2685"/>
        <item x="152"/>
        <item m="1" x="7616"/>
        <item m="1" x="3432"/>
        <item m="1" x="951"/>
        <item m="1" x="4839"/>
        <item x="8"/>
        <item m="1" x="2809"/>
        <item m="1" x="5281"/>
        <item m="1" x="4761"/>
        <item m="1" x="3249"/>
        <item m="1" x="1619"/>
        <item m="1" x="5255"/>
        <item m="1" x="2737"/>
        <item m="1" x="6634"/>
        <item m="1" x="900"/>
        <item m="1" x="2738"/>
        <item m="1" x="3740"/>
        <item m="1" x="1820"/>
        <item m="1" x="3884"/>
        <item m="1" x="7214"/>
        <item m="1" x="416"/>
        <item m="1" x="193"/>
        <item m="1" x="3128"/>
        <item m="1" x="4129"/>
        <item m="1" x="2195"/>
        <item m="1" x="2762"/>
        <item m="1" x="3840"/>
        <item m="1" x="3488"/>
        <item m="1" x="4476"/>
        <item m="1" x="7009"/>
        <item m="1" x="3456"/>
        <item m="1" x="1561"/>
        <item m="1" x="7033"/>
        <item m="1" x="7711"/>
        <item m="1" x="194"/>
        <item m="1" x="2904"/>
        <item m="1" x="7274"/>
        <item m="1" x="213"/>
        <item m="1" x="788"/>
        <item m="1" x="2127"/>
        <item m="1" x="527"/>
        <item x="101"/>
        <item m="1" x="7812"/>
        <item m="1" x="4293"/>
        <item m="1" x="3153"/>
        <item m="1" x="4029"/>
        <item m="1" x="6531"/>
        <item m="1" x="2838"/>
        <item m="1" x="482"/>
        <item m="1" x="7251"/>
        <item m="1" x="5484"/>
        <item m="1" x="5952"/>
        <item m="1" x="2999"/>
        <item x="32"/>
        <item m="1" x="2447"/>
        <item m="1" x="2196"/>
        <item m="1" x="1039"/>
        <item m="1" x="2472"/>
        <item m="1" x="547"/>
        <item m="1" x="5408"/>
        <item m="1" x="1509"/>
        <item m="1" x="2892"/>
        <item m="1" x="4812"/>
        <item m="1" x="3596"/>
        <item m="1" x="4574"/>
        <item m="1" x="2925"/>
        <item m="1" x="4822"/>
        <item m="1" x="1020"/>
        <item m="1" x="278"/>
        <item m="1" x="789"/>
        <item x="64"/>
        <item x="114"/>
        <item m="1" x="3083"/>
        <item m="1" x="5292"/>
        <item m="1" x="7768"/>
        <item m="1" x="4216"/>
        <item m="1" x="4798"/>
        <item m="1" x="3563"/>
        <item m="1" x="263"/>
        <item m="1" x="2893"/>
        <item m="1" x="3430"/>
        <item m="1" x="1070"/>
        <item m="1" x="5834"/>
        <item m="1" x="1889"/>
        <item m="1" x="4237"/>
        <item m="1" x="1086"/>
        <item m="1" x="345"/>
        <item m="1" x="854"/>
        <item m="1" x="2141"/>
        <item m="1" x="6384"/>
        <item m="1" x="2514"/>
        <item x="122"/>
        <item m="1" x="5305"/>
        <item m="1" x="5357"/>
        <item m="1" x="385"/>
        <item m="1" x="1650"/>
        <item x="155"/>
        <item m="1" x="2894"/>
        <item m="1" x="3597"/>
        <item m="1" x="512"/>
        <item m="1" x="1298"/>
        <item m="1" x="2235"/>
        <item m="1" x="4641"/>
        <item m="1" x="2839"/>
        <item m="1" x="6720"/>
        <item m="1" x="3564"/>
        <item m="1" x="7999"/>
        <item m="1" x="3625"/>
        <item m="1" x="573"/>
        <item m="1" x="4009"/>
        <item m="1" x="2926"/>
        <item m="1" x="4598"/>
        <item m="1" x="5345"/>
        <item m="1" x="7119"/>
        <item m="1" x="6300"/>
        <item x="34"/>
        <item x="35"/>
        <item m="1" x="7995"/>
        <item m="1" x="1597"/>
        <item m="1" x="6461"/>
        <item m="1" x="3198"/>
        <item m="1" x="7252"/>
        <item m="1" x="4264"/>
        <item x="47"/>
        <item m="1" x="4866"/>
        <item m="1" x="2971"/>
        <item m="1" x="5381"/>
        <item m="1" x="7802"/>
        <item m="1" x="5681"/>
        <item m="1" x="7311"/>
        <item m="1" x="6213"/>
        <item m="1" x="4628"/>
        <item m="1" x="4876"/>
        <item m="1" x="3712"/>
        <item m="1" x="7534"/>
        <item m="1" x="1946"/>
        <item m="1" x="6551"/>
        <item m="1" x="6643"/>
        <item x="4"/>
        <item x="5"/>
        <item x="10"/>
        <item x="11"/>
        <item x="20"/>
        <item m="1" x="3659"/>
        <item x="21"/>
        <item m="1" x="4346"/>
        <item m="1" x="5111"/>
        <item x="45"/>
        <item m="1" x="7582"/>
        <item x="68"/>
        <item x="69"/>
        <item x="70"/>
        <item m="1" x="5734"/>
        <item x="98"/>
        <item x="102"/>
        <item m="1" x="6322"/>
        <item m="1" x="5887"/>
        <item x="115"/>
        <item m="1" x="5980"/>
        <item m="1" x="6268"/>
        <item x="123"/>
        <item m="1" x="5786"/>
        <item m="1" x="7261"/>
        <item x="130"/>
        <item x="131"/>
        <item x="132"/>
        <item x="133"/>
        <item m="1" x="2586"/>
        <item m="1" x="3849"/>
        <item x="140"/>
        <item x="150"/>
        <item m="1" x="2322"/>
        <item m="1" x="5517"/>
        <item m="1" x="5990"/>
        <item m="1" x="7244"/>
        <item m="1" x="7916"/>
        <item m="1" x="6624"/>
        <item x="6"/>
        <item x="13"/>
        <item m="1" x="7992"/>
        <item x="48"/>
        <item m="1" x="5998"/>
        <item m="1" x="4667"/>
        <item m="1" x="4933"/>
        <item m="1" x="2911"/>
        <item m="1" x="3356"/>
        <item m="1" x="6343"/>
        <item m="1" x="7947"/>
        <item m="1" x="2606"/>
        <item m="1" x="397"/>
        <item x="124"/>
        <item x="126"/>
        <item m="1" x="5816"/>
        <item x="127"/>
        <item x="156"/>
        <item m="1" x="6891"/>
        <item m="1" x="5750"/>
        <item m="1" x="7262"/>
        <item m="1" x="5312"/>
        <item m="1" x="5048"/>
        <item m="1" x="6286"/>
        <item m="1" x="5412"/>
        <item m="1" x="7535"/>
        <item x="172"/>
        <item x="173"/>
        <item x="174"/>
        <item x="1"/>
        <item x="19"/>
        <item m="1" x="7733"/>
        <item m="1" x="5475"/>
        <item m="1" x="4741"/>
        <item m="1" x="5459"/>
        <item m="1" x="5209"/>
        <item m="1" x="3704"/>
        <item x="22"/>
        <item x="23"/>
        <item x="24"/>
        <item x="37"/>
        <item x="38"/>
        <item x="39"/>
        <item x="46"/>
        <item x="49"/>
        <item x="50"/>
        <item x="62"/>
        <item x="65"/>
        <item x="67"/>
        <item m="1" x="6046"/>
        <item x="105"/>
        <item x="116"/>
        <item x="117"/>
        <item m="1" x="3509"/>
        <item m="1" x="6417"/>
        <item m="1" x="413"/>
        <item m="1" x="6984"/>
        <item m="1" x="5196"/>
        <item m="1" x="7283"/>
        <item m="1" x="7705"/>
        <item m="1" x="435"/>
        <item x="33"/>
        <item x="44"/>
        <item x="74"/>
        <item x="76"/>
        <item x="77"/>
        <item x="78"/>
        <item x="121"/>
        <item m="1" x="6912"/>
        <item m="1" x="643"/>
        <item m="1" x="4347"/>
        <item m="1" x="6146"/>
        <item m="1" x="2018"/>
        <item m="1" x="6660"/>
        <item x="14"/>
        <item x="15"/>
        <item x="25"/>
        <item x="51"/>
        <item x="52"/>
        <item x="53"/>
        <item m="1" x="7682"/>
        <item x="112"/>
        <item m="1" x="4392"/>
        <item x="125"/>
        <item m="1" x="7027"/>
        <item m="1" x="6188"/>
        <item m="1" x="7357"/>
        <item m="1" x="7290"/>
        <item m="1" x="7998"/>
        <item m="1" x="450"/>
        <item m="1" x="2041"/>
        <item x="2"/>
        <item x="26"/>
        <item x="27"/>
        <item x="28"/>
        <item x="29"/>
        <item x="40"/>
        <item x="41"/>
        <item x="54"/>
        <item x="81"/>
        <item x="83"/>
        <item x="85"/>
        <item x="106"/>
        <item m="1" x="5801"/>
        <item m="1" x="7997"/>
        <item x="128"/>
        <item m="1" x="5715"/>
        <item x="149"/>
        <item x="157"/>
        <item m="1" x="4947"/>
        <item m="1" x="7641"/>
        <item m="1" x="5817"/>
        <item x="17"/>
        <item x="42"/>
        <item m="1" x="3457"/>
        <item x="55"/>
        <item x="56"/>
        <item x="57"/>
        <item x="58"/>
        <item x="86"/>
        <item x="87"/>
        <item x="89"/>
        <item x="108"/>
        <item x="109"/>
        <item x="113"/>
        <item m="1" x="4391"/>
        <item m="1" x="2709"/>
        <item m="1" x="7334"/>
        <item m="1" x="4511"/>
        <item m="1" x="6035"/>
        <item m="1" x="2255"/>
        <item m="1" x="7282"/>
        <item m="1" x="7996"/>
        <item x="167"/>
        <item m="1" x="4170"/>
        <item m="1" x="5016"/>
        <item m="1" x="5542"/>
        <item m="1" x="6392"/>
        <item m="1" x="4778"/>
        <item m="1" x="5561"/>
        <item m="1" x="6124"/>
        <item m="1" x="7994"/>
        <item m="1" x="3069"/>
        <item m="1" x="4679"/>
        <item m="1" x="4151"/>
        <item m="1" x="5525"/>
        <item x="3"/>
        <item x="9"/>
        <item x="12"/>
        <item x="30"/>
        <item x="36"/>
        <item x="43"/>
        <item x="59"/>
        <item x="60"/>
        <item x="61"/>
        <item x="71"/>
        <item x="72"/>
        <item x="73"/>
        <item x="75"/>
        <item x="79"/>
        <item x="80"/>
        <item x="82"/>
        <item x="84"/>
        <item x="88"/>
        <item x="90"/>
        <item x="91"/>
        <item x="92"/>
        <item x="93"/>
        <item x="94"/>
        <item x="95"/>
        <item x="96"/>
        <item x="97"/>
        <item x="99"/>
        <item x="103"/>
        <item x="104"/>
        <item x="107"/>
        <item x="110"/>
        <item x="111"/>
        <item x="118"/>
        <item x="119"/>
        <item x="120"/>
        <item x="129"/>
        <item x="134"/>
        <item x="135"/>
        <item x="136"/>
        <item x="137"/>
        <item x="138"/>
        <item x="139"/>
        <item x="141"/>
        <item x="142"/>
        <item x="143"/>
        <item x="144"/>
        <item x="153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5"/>
        <item x="176"/>
        <item x="177"/>
        <item x="17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7799">
        <item n=" " x="0"/>
        <item m="1" x="297"/>
        <item x="48"/>
        <item m="1" x="6715"/>
        <item m="1" x="3173"/>
        <item m="1" x="3383"/>
        <item m="1" x="7141"/>
        <item m="1" x="6768"/>
        <item m="1" x="4091"/>
        <item m="1" x="1261"/>
        <item m="1" x="3116"/>
        <item m="1" x="7018"/>
        <item m="1" x="7262"/>
        <item m="1" x="77"/>
        <item m="1" x="84"/>
        <item m="1" x="6828"/>
        <item m="1" x="6490"/>
        <item m="1" x="2671"/>
        <item m="1" x="6613"/>
        <item m="1" x="2798"/>
        <item m="1" x="6367"/>
        <item m="1" x="2561"/>
        <item m="1" x="3053"/>
        <item m="1" x="6888"/>
        <item m="1" x="6718"/>
        <item m="1" x="3175"/>
        <item m="1" x="198"/>
        <item m="1" x="4223"/>
        <item m="1" x="7111"/>
        <item m="1" x="83"/>
        <item m="1" x="3259"/>
        <item m="1" x="7415"/>
        <item m="1" x="2317"/>
        <item m="1" x="4213"/>
        <item m="1" x="3371"/>
        <item m="1" x="5678"/>
        <item m="1" x="6588"/>
        <item m="1" x="6819"/>
        <item m="1" x="3380"/>
        <item m="1" x="7211"/>
        <item m="1" x="3041"/>
        <item m="1" x="3802"/>
        <item m="1" x="4080"/>
        <item m="1" x="3243"/>
        <item m="1" x="3666"/>
        <item m="1" x="7423"/>
        <item m="1" x="3223"/>
        <item m="1" x="3443"/>
        <item m="1" x="3327"/>
        <item m="1" x="7555"/>
        <item m="1" x="7733"/>
        <item m="1" x="2917"/>
        <item m="1" x="7268"/>
        <item m="1" x="3850"/>
        <item m="1" x="2090"/>
        <item m="1" x="507"/>
        <item m="1" x="7128"/>
        <item m="1" x="3706"/>
        <item m="1" x="2977"/>
        <item m="1" x="398"/>
        <item m="1" x="6141"/>
        <item m="1" x="2738"/>
        <item m="1" x="514"/>
        <item m="1" x="4099"/>
        <item m="1" x="298"/>
        <item m="1" x="3987"/>
        <item m="1" x="5783"/>
        <item m="1" x="5903"/>
        <item m="1" x="7084"/>
        <item m="1" x="4717"/>
        <item m="1" x="6126"/>
        <item m="1" x="5485"/>
        <item m="1" x="6286"/>
        <item m="1" x="6203"/>
        <item m="1" x="2134"/>
        <item m="1" x="6061"/>
        <item m="1" x="1698"/>
        <item m="1" x="5945"/>
        <item m="1" x="1592"/>
        <item m="1" x="7620"/>
        <item m="1" x="2520"/>
        <item m="1" x="3433"/>
        <item m="1" x="1850"/>
        <item m="1" x="6047"/>
        <item m="1" x="1862"/>
        <item m="1" x="5374"/>
        <item m="1" x="3103"/>
        <item m="1" x="5190"/>
        <item m="1" x="6719"/>
        <item m="1" x="4389"/>
        <item m="1" x="1499"/>
        <item m="1" x="3432"/>
        <item m="1" x="973"/>
        <item m="1" x="953"/>
        <item m="1" x="6406"/>
        <item m="1" x="2592"/>
        <item m="1" x="1084"/>
        <item m="1" x="2133"/>
        <item m="1" x="5944"/>
        <item m="1" x="5824"/>
        <item m="1" x="2010"/>
        <item m="1" x="1576"/>
        <item m="1" x="5666"/>
        <item m="1" x="2471"/>
        <item m="1" x="3799"/>
        <item m="1" x="3174"/>
        <item m="1" x="1301"/>
        <item m="1" x="2176"/>
        <item m="1" x="5422"/>
        <item m="1" x="6931"/>
        <item m="1" x="5632"/>
        <item m="1" x="4481"/>
        <item m="1" x="2717"/>
        <item m="1" x="6530"/>
        <item m="1" x="7094"/>
        <item m="1" x="4109"/>
        <item m="1" x="3890"/>
        <item m="1" x="5150"/>
        <item m="1" x="1965"/>
        <item m="1" x="4089"/>
        <item m="1" x="2493"/>
        <item m="1" x="5657"/>
        <item m="1" x="1212"/>
        <item m="1" x="3797"/>
        <item m="1" x="4029"/>
        <item m="1" x="2451"/>
        <item m="1" x="3934"/>
        <item m="1" x="6442"/>
        <item m="1" x="2018"/>
        <item m="1" x="5834"/>
        <item m="1" x="1958"/>
        <item m="1" x="1827"/>
        <item m="1" x="2030"/>
        <item m="1" x="1720"/>
        <item m="1" x="1619"/>
        <item m="1" x="5452"/>
        <item m="1" x="6675"/>
        <item m="1" x="4204"/>
        <item m="1" x="1017"/>
        <item m="1" x="4897"/>
        <item m="1" x="851"/>
        <item m="1" x="1745"/>
        <item m="1" x="5702"/>
        <item m="1" x="6699"/>
        <item m="1" x="2250"/>
        <item m="1" x="6049"/>
        <item m="1" x="7280"/>
        <item m="1" x="2713"/>
        <item m="1" x="6379"/>
        <item m="1" x="2685"/>
        <item m="1" x="6825"/>
        <item m="1" x="6312"/>
        <item m="1" x="2379"/>
        <item m="1" x="6273"/>
        <item m="1" x="3089"/>
        <item m="1" x="6859"/>
        <item m="1" x="2947"/>
        <item m="1" x="2823"/>
        <item m="1" x="2000"/>
        <item m="1" x="3414"/>
        <item m="1" x="2050"/>
        <item m="1" x="5871"/>
        <item m="1" x="1914"/>
        <item m="1" x="5743"/>
        <item m="1" x="2490"/>
        <item m="1" x="6309"/>
        <item m="1" x="2376"/>
        <item m="1" x="6190"/>
        <item m="1" x="2276"/>
        <item m="1" x="6089"/>
        <item m="1" x="2167"/>
        <item m="1" x="5969"/>
        <item m="1" x="2033"/>
        <item m="1" x="5854"/>
        <item m="1" x="2604"/>
        <item m="1" x="7342"/>
        <item m="1" x="3475"/>
        <item m="1" x="7227"/>
        <item m="1" x="3353"/>
        <item m="1" x="7104"/>
        <item m="1" x="4745"/>
        <item m="1" x="5153"/>
        <item m="1" x="6220"/>
        <item m="1" x="1957"/>
        <item m="1" x="5536"/>
        <item m="1" x="1560"/>
        <item m="1" x="5392"/>
        <item m="1" x="1397"/>
        <item m="1" x="5250"/>
        <item m="1" x="1227"/>
        <item m="1" x="3215"/>
        <item m="1" x="5091"/>
        <item m="1" x="6543"/>
        <item m="1" x="1135"/>
        <item m="1" x="2607"/>
        <item m="1" x="6417"/>
        <item m="1" x="4566"/>
        <item m="1" x="1851"/>
        <item m="1" x="5782"/>
        <item m="1" x="4338"/>
        <item m="1" x="2456"/>
        <item m="1" x="6630"/>
        <item m="1" x="3524"/>
        <item m="1" x="1826"/>
        <item m="1" x="331"/>
        <item m="1" x="2329"/>
        <item m="1" x="6236"/>
        <item m="1" x="4416"/>
        <item m="1" x="1998"/>
        <item m="1" x="6984"/>
        <item m="1" x="3076"/>
        <item m="1" x="7329"/>
        <item m="1" x="1376"/>
        <item m="1" x="6166"/>
        <item m="1" x="6270"/>
        <item m="1" x="2453"/>
        <item m="1" x="5228"/>
        <item m="1" x="2074"/>
        <item m="1" x="5519"/>
        <item m="1" x="7443"/>
        <item m="1" x="6850"/>
        <item m="1" x="3701"/>
        <item m="1" x="4964"/>
        <item m="1" x="3584"/>
        <item m="1" x="5378"/>
        <item m="1" x="1542"/>
        <item m="1" x="2047"/>
        <item m="1" x="3999"/>
        <item m="1" x="6784"/>
        <item m="1" x="1683"/>
        <item m="1" x="7215"/>
        <item m="1" x="3341"/>
        <item m="1" x="7089"/>
        <item m="1" x="3204"/>
        <item m="1" x="7081"/>
        <item m="1" x="651"/>
        <item m="1" x="6392"/>
        <item m="1" x="3461"/>
        <item m="1" x="82"/>
        <item m="1" x="5279"/>
        <item m="1" x="3426"/>
        <item m="1" x="3732"/>
        <item m="1" x="7633"/>
        <item m="1" x="5922"/>
        <item m="1" x="554"/>
        <item m="1" x="183"/>
        <item m="1" x="2580"/>
        <item m="1" x="3912"/>
        <item m="1" x="2744"/>
        <item m="1" x="5825"/>
        <item m="1" x="1885"/>
        <item m="1" x="5893"/>
        <item m="1" x="1644"/>
        <item m="1" x="306"/>
        <item m="1" x="2925"/>
        <item m="1" x="6237"/>
        <item m="1" x="1610"/>
        <item m="1" x="7709"/>
        <item m="1" x="5325"/>
        <item m="1" x="2164"/>
        <item m="1" x="1630"/>
        <item m="1" x="1479"/>
        <item m="1" x="5469"/>
        <item m="1" x="824"/>
        <item m="1" x="6193"/>
        <item m="1" x="2865"/>
        <item m="1" x="6974"/>
        <item m="1" x="3809"/>
        <item m="1" x="7537"/>
        <item m="1" x="3687"/>
        <item m="1" x="7428"/>
        <item m="1" x="3572"/>
        <item m="1" x="7313"/>
        <item m="1" x="3448"/>
        <item m="1" x="7206"/>
        <item m="1" x="3331"/>
        <item m="1" x="3370"/>
        <item m="1" x="7127"/>
        <item m="1" x="311"/>
        <item m="1" x="3851"/>
        <item m="1" x="3676"/>
        <item m="1" x="2344"/>
        <item m="1" x="5356"/>
        <item m="1" x="7302"/>
        <item m="1" x="3436"/>
        <item m="1" x="5503"/>
        <item m="1" x="1668"/>
        <item m="1" x="2574"/>
        <item m="1" x="7199"/>
        <item m="1" x="4004"/>
        <item m="1" x="1627"/>
        <item m="1" x="4570"/>
        <item m="1" x="3441"/>
        <item m="1" x="1771"/>
        <item m="1" x="3535"/>
        <item m="1" x="7712"/>
        <item m="1" x="776"/>
        <item m="1" x="734"/>
        <item m="1" x="2730"/>
        <item m="1" x="7418"/>
        <item m="1" x="3561"/>
        <item m="1" x="2244"/>
        <item m="1" x="6156"/>
        <item m="1" x="1335"/>
        <item m="1" x="1943"/>
        <item m="1" x="1810"/>
        <item m="1" x="3886"/>
        <item m="1" x="7758"/>
        <item m="1" x="1160"/>
        <item m="1" x="2688"/>
        <item m="1" x="6510"/>
        <item m="1" x="5771"/>
        <item m="1" x="3863"/>
        <item m="1" x="662"/>
        <item m="1" x="5577"/>
        <item m="1" x="2028"/>
        <item m="1" x="6132"/>
        <item m="1" x="2197"/>
        <item m="1" x="1649"/>
        <item m="1" x="1296"/>
        <item m="1" x="2130"/>
        <item m="1" x="5933"/>
        <item m="1" x="3792"/>
        <item m="1" x="3985"/>
        <item m="1" x="789"/>
        <item m="1" x="2311"/>
        <item m="1" x="2763"/>
        <item m="1" x="570"/>
        <item m="1" x="6337"/>
        <item m="1" x="7725"/>
        <item m="1" x="3905"/>
        <item m="1" x="1635"/>
        <item m="1" x="2258"/>
        <item m="1" x="1790"/>
        <item m="1" x="3121"/>
        <item m="1" x="7626"/>
        <item m="1" x="6023"/>
        <item m="1" x="6892"/>
        <item m="1" x="283"/>
        <item m="1" x="3815"/>
        <item m="1" x="681"/>
        <item m="1" x="2998"/>
        <item m="1" x="2186"/>
        <item m="1" x="2482"/>
        <item m="1" x="6300"/>
        <item m="1" x="5993"/>
        <item m="1" x="1595"/>
        <item m="1" x="6796"/>
        <item m="1" x="1145"/>
        <item m="1" x="1930"/>
        <item m="1" x="5634"/>
        <item m="1" x="1794"/>
        <item m="1" x="5761"/>
        <item m="1" x="2284"/>
        <item m="1" x="1651"/>
        <item m="1" x="5884"/>
        <item m="1" x="6100"/>
        <item m="1" x="1597"/>
        <item m="1" x="7389"/>
        <item m="1" x="1222"/>
        <item m="1" x="6219"/>
        <item m="1" x="3979"/>
        <item m="1" x="2555"/>
        <item m="1" x="2488"/>
        <item m="1" x="5851"/>
        <item m="1" x="6772"/>
        <item m="1" x="3199"/>
        <item m="1" x="2981"/>
        <item m="1" x="2881"/>
        <item m="1" x="180"/>
        <item m="1" x="1538"/>
        <item m="1" x="6594"/>
        <item m="1" x="5358"/>
        <item m="1" x="1520"/>
        <item m="1" x="7625"/>
        <item m="1" x="3782"/>
        <item m="1" x="7516"/>
        <item m="1" x="3667"/>
        <item m="1" x="7413"/>
        <item m="1" x="3552"/>
        <item m="1" x="7299"/>
        <item m="1" x="636"/>
        <item m="1" x="2063"/>
        <item m="1" x="7117"/>
        <item m="1" x="3230"/>
        <item m="1" x="6995"/>
        <item m="1" x="3091"/>
        <item m="1" x="6861"/>
        <item m="1" x="2949"/>
        <item m="1" x="6747"/>
        <item m="1" x="2825"/>
        <item m="1" x="6632"/>
        <item m="1" x="3474"/>
        <item m="1" x="7226"/>
        <item m="1" x="3352"/>
        <item m="1" x="1109"/>
        <item m="1" x="3214"/>
        <item m="1" x="2049"/>
        <item m="1" x="171"/>
        <item m="1" x="2043"/>
        <item m="1" x="2007"/>
        <item m="1" x="2177"/>
        <item m="1" x="5981"/>
        <item m="1" x="6382"/>
        <item m="1" x="3212"/>
        <item m="1" x="6981"/>
        <item m="1" x="3073"/>
        <item m="1" x="6847"/>
        <item m="1" x="1913"/>
        <item m="1" x="5870"/>
        <item m="1" x="2934"/>
        <item m="1" x="6733"/>
        <item m="1" x="2814"/>
        <item m="1" x="6625"/>
        <item m="1" x="2683"/>
        <item m="1" x="276"/>
        <item m="1" x="6502"/>
        <item m="1" x="6983"/>
        <item m="1" x="5742"/>
        <item m="1" x="3338"/>
        <item m="1" x="2836"/>
        <item m="1" x="1482"/>
        <item m="1" x="3896"/>
        <item m="1" x="1807"/>
        <item m="1" x="3752"/>
        <item m="1" x="7185"/>
        <item m="1" x="3381"/>
        <item m="1" x="285"/>
        <item m="1" x="1875"/>
        <item m="1" x="2340"/>
        <item m="1" x="5302"/>
        <item m="1" x="605"/>
        <item m="1" x="4084"/>
        <item m="1" x="2287"/>
        <item m="1" x="790"/>
        <item m="1" x="4589"/>
        <item m="1" x="914"/>
        <item m="1" x="6691"/>
        <item m="1" x="766"/>
        <item m="1" x="1243"/>
        <item m="1" x="1423"/>
        <item m="1" x="6557"/>
        <item m="1" x="2621"/>
        <item m="1" x="2745"/>
        <item m="1" x="1823"/>
        <item m="1" x="1973"/>
        <item m="1" x="6331"/>
        <item m="1" x="2903"/>
        <item m="1" x="7524"/>
        <item m="1" x="6849"/>
        <item m="1" x="282"/>
        <item m="1" x="5557"/>
        <item m="1" x="2796"/>
        <item m="1" x="3530"/>
        <item m="1" x="1573"/>
        <item m="1" x="3650"/>
        <item m="1" x="2689"/>
        <item m="1" x="6631"/>
        <item m="1" x="2397"/>
        <item m="1" x="4192"/>
        <item m="1" x="7086"/>
        <item m="1" x="3201"/>
        <item m="1" x="6971"/>
        <item m="1" x="3063"/>
        <item m="1" x="3075"/>
        <item m="1" x="6164"/>
        <item m="1" x="7328"/>
        <item m="1" x="3583"/>
        <item m="1" x="6735"/>
        <item m="1" x="2936"/>
        <item m="1" x="5462"/>
        <item m="1" x="6814"/>
        <item m="1" x="2503"/>
        <item m="1" x="5440"/>
        <item m="1" x="1157"/>
        <item m="1" x="6431"/>
        <item m="1" x="2072"/>
        <item m="1" x="463"/>
        <item m="1" x="6644"/>
        <item m="1" x="536"/>
        <item m="1" x="4441"/>
        <item m="1" x="403"/>
        <item m="1" x="4314"/>
        <item m="1" x="1175"/>
        <item m="1" x="5041"/>
        <item m="1" x="998"/>
        <item m="1" x="4885"/>
        <item m="1" x="840"/>
        <item m="1" x="4732"/>
        <item m="1" x="670"/>
        <item m="1" x="4584"/>
        <item m="1" x="525"/>
        <item m="1" x="4436"/>
        <item m="1" x="1327"/>
        <item m="1" x="5178"/>
        <item m="1" x="1165"/>
        <item m="1" x="5031"/>
        <item m="1" x="990"/>
        <item m="1" x="4878"/>
        <item m="1" x="834"/>
        <item m="1" x="4726"/>
        <item m="1" x="4580"/>
        <item m="1" x="5318"/>
        <item m="1" x="1317"/>
        <item m="1" x="5172"/>
        <item m="1" x="3460"/>
        <item m="1" x="7214"/>
        <item m="1" x="3340"/>
        <item m="1" x="5025"/>
        <item m="1" x="987"/>
        <item m="1" x="4875"/>
        <item m="1" x="831"/>
        <item m="1" x="4719"/>
        <item m="1" x="366"/>
        <item m="1" x="6596"/>
        <item m="1" x="6785"/>
        <item m="1" x="2999"/>
        <item m="1" x="6907"/>
        <item m="1" x="2375"/>
        <item m="1" x="5613"/>
        <item m="1" x="4401"/>
        <item m="1" x="1264"/>
        <item m="1" x="6848"/>
        <item m="1" x="2718"/>
        <item m="1" x="1776"/>
        <item m="1" x="4081"/>
        <item m="1" x="248"/>
        <item m="1" x="3149"/>
        <item m="1" x="1066"/>
        <item m="1" x="2989"/>
        <item m="1" x="7198"/>
        <item m="1" x="6209"/>
        <item m="1" x="6451"/>
        <item m="1" x="351"/>
        <item m="1" x="6241"/>
        <item m="1" x="2211"/>
        <item m="1" x="2083"/>
        <item m="1" x="394"/>
        <item m="1" x="7660"/>
        <item m="1" x="3791"/>
        <item m="1" x="7523"/>
        <item m="1" x="3675"/>
        <item m="1" x="7417"/>
        <item m="1" x="4048"/>
        <item m="1" x="3189"/>
        <item m="1" x="6676"/>
        <item m="1" x="6313"/>
        <item m="1" x="3134"/>
        <item m="1" x="2866"/>
        <item m="1" x="6966"/>
        <item m="1" x="1302"/>
        <item m="1" x="481"/>
        <item m="1" x="4851"/>
        <item m="1" x="7080"/>
        <item m="1" x="3330"/>
        <item m="1" x="7205"/>
        <item m="1" x="7515"/>
        <item m="1" x="5736"/>
        <item m="1" x="133"/>
        <item m="1" x="4154"/>
        <item m="1" x="3560"/>
        <item m="1" x="7301"/>
        <item m="1" x="3435"/>
        <item m="1" x="3323"/>
        <item m="1" x="7295"/>
        <item m="1" x="190"/>
        <item m="1" x="4222"/>
        <item m="1" x="3940"/>
        <item m="1" x="2494"/>
        <item m="1" x="7773"/>
        <item m="1" x="4392"/>
        <item m="1" x="4538"/>
        <item m="1" x="2719"/>
        <item m="1" x="356"/>
        <item m="1" x="7502"/>
        <item m="1" x="6952"/>
        <item m="1" x="3447"/>
        <item m="1" x="7088"/>
        <item m="1" x="3203"/>
        <item m="1" x="6973"/>
        <item m="1" x="3065"/>
        <item m="1" x="6842"/>
        <item m="1" x="3686"/>
        <item m="1" x="7427"/>
        <item m="1" x="3571"/>
        <item m="1" x="7312"/>
        <item m="1" x="6399"/>
        <item m="1" x="7125"/>
        <item m="1" x="7072"/>
        <item m="1" x="3013"/>
        <item m="1" x="4643"/>
        <item m="1" x="2608"/>
        <item m="1" x="1853"/>
        <item m="1" x="1854"/>
        <item m="1" x="2521"/>
        <item m="1" x="2522"/>
        <item m="1" x="2312"/>
        <item m="1" x="4805"/>
        <item m="1" x="730"/>
        <item m="1" x="2731"/>
        <item m="1" x="6544"/>
        <item m="1" x="6251"/>
        <item m="1" x="2145"/>
        <item m="1" x="146"/>
        <item m="1" x="7055"/>
        <item m="1" x="4311"/>
        <item m="1" x="3626"/>
        <item m="1" x="6418"/>
        <item m="1" x="3902"/>
        <item m="1" x="7722"/>
        <item m="1" x="6291"/>
        <item m="1" x="583"/>
        <item m="1" x="7391"/>
        <item m="1" x="293"/>
        <item m="1" x="3785"/>
        <item m="1" x="469"/>
        <item m="1" x="4230"/>
        <item m="1" x="7323"/>
        <item m="1" x="1963"/>
        <item m="1" x="177"/>
        <item m="1" x="982"/>
        <item m="1" x="3739"/>
        <item m="1" x="4505"/>
        <item m="1" x="3287"/>
        <item m="1" x="6020"/>
        <item m="1" x="281"/>
        <item m="1" x="264"/>
        <item m="1" x="4520"/>
        <item m="1" x="4098"/>
        <item m="1" x="3998"/>
        <item m="1" x="229"/>
        <item m="1" x="4256"/>
        <item m="1" x="342"/>
        <item m="1" x="4378"/>
        <item m="1" x="930"/>
        <item m="1" x="4132"/>
        <item m="1" x="4827"/>
        <item m="1" x="5587"/>
        <item m="1" x="423"/>
        <item m="1" x="4472"/>
        <item m="1" x="566"/>
        <item m="1" x="4626"/>
        <item m="1" x="712"/>
        <item m="1" x="4785"/>
        <item m="1" x="890"/>
        <item m="1" x="4941"/>
        <item m="1" x="1059"/>
        <item m="1" x="3319"/>
        <item m="1" x="5569"/>
        <item m="1" x="2026"/>
        <item m="1" x="6046"/>
        <item m="1" x="753"/>
        <item m="1" x="601"/>
        <item m="1" x="3528"/>
        <item m="1" x="7289"/>
        <item m="1" x="617"/>
        <item m="1" x="4672"/>
        <item m="1" x="772"/>
        <item m="1" x="4041"/>
        <item m="1" x="126"/>
        <item m="1" x="4144"/>
        <item m="1" x="4268"/>
        <item m="1" x="239"/>
        <item m="1" x="318"/>
        <item m="1" x="4345"/>
        <item m="1" x="4489"/>
        <item m="1" x="2006"/>
        <item m="1" x="4661"/>
        <item m="1" x="4334"/>
        <item m="1" x="6476"/>
        <item m="1" x="4190"/>
        <item m="1" x="2646"/>
        <item m="1" x="436"/>
        <item m="1" x="7023"/>
        <item m="1" x="6338"/>
        <item m="1" x="6407"/>
        <item m="1" x="2531"/>
        <item m="1" x="6739"/>
        <item m="1" x="454"/>
        <item m="1" x="5202"/>
        <item m="1" x="812"/>
        <item m="1" x="3242"/>
        <item m="1" x="1899"/>
        <item m="1" x="1217"/>
        <item m="1" x="4243"/>
        <item m="1" x="330"/>
        <item m="1" x="642"/>
        <item m="1" x="2418"/>
        <item m="1" x="2638"/>
        <item m="1" x="5687"/>
        <item m="1" x="2762"/>
        <item m="1" x="4728"/>
        <item m="1" x="1083"/>
        <item m="1" x="5083"/>
        <item m="1" x="7579"/>
        <item m="1" x="1040"/>
        <item m="1" x="3190"/>
        <item m="1" x="7190"/>
        <item m="1" x="1131"/>
        <item m="1" x="874"/>
        <item m="1" x="5219"/>
        <item m="1" x="7639"/>
        <item m="1" x="6035"/>
        <item m="1" x="5813"/>
        <item m="1" x="1086"/>
        <item m="1" x="3265"/>
        <item m="1" x="5513"/>
        <item m="1" x="6225"/>
        <item m="1" x="7480"/>
        <item m="1" x="252"/>
        <item m="1" x="950"/>
        <item m="1" x="7607"/>
        <item m="1" x="7499"/>
        <item m="1" x="437"/>
        <item m="1" x="3952"/>
        <item m="1" x="584"/>
        <item m="1" x="4490"/>
        <item m="1" x="7685"/>
        <item m="1" x="4346"/>
        <item m="1" x="1240"/>
        <item m="1" x="3828"/>
        <item m="1" x="7292"/>
        <item m="1" x="4364"/>
        <item m="1" x="731"/>
        <item m="1" x="4644"/>
        <item m="1" x="4806"/>
        <item m="1" x="909"/>
        <item m="1" x="4963"/>
        <item m="1" x="3853"/>
        <item m="1" x="2023"/>
        <item m="1" x="2668"/>
        <item m="1" x="1366"/>
        <item m="1" x="4609"/>
        <item m="1" x="4516"/>
        <item m="1" x="692"/>
        <item m="1" x="154"/>
        <item m="1" x="6531"/>
        <item m="1" x="4920"/>
        <item m="1" x="296"/>
        <item m="1" x="4327"/>
        <item m="1" x="648"/>
        <item m="1" x="4308"/>
        <item m="1" x="1198"/>
        <item m="1" x="4388"/>
        <item m="1" x="558"/>
        <item m="1" x="4464"/>
        <item m="1" x="416"/>
        <item m="1" x="4212"/>
        <item m="1" x="3730"/>
        <item m="1" x="7237"/>
        <item m="1" x="3122"/>
        <item m="1" x="6464"/>
        <item m="1" x="1621"/>
        <item m="1" x="4158"/>
        <item m="1" x="144"/>
        <item m="1" x="4055"/>
        <item m="1" x="7778"/>
        <item m="1" x="3947"/>
        <item m="1" x="7678"/>
        <item m="1" x="3844"/>
        <item m="1" x="7573"/>
        <item m="1" x="3725"/>
        <item m="1" x="365"/>
        <item m="1" x="4279"/>
        <item m="1" x="247"/>
        <item m="1" x="4153"/>
        <item m="1" x="132"/>
        <item m="1" x="4047"/>
        <item m="1" x="7772"/>
        <item m="1" x="3939"/>
        <item m="1" x="7667"/>
        <item m="1" x="3833"/>
        <item m="1" x="480"/>
        <item m="1" x="4391"/>
        <item m="1" x="6840"/>
        <item m="1" x="2926"/>
        <item m="1" x="6727"/>
        <item m="1" x="2808"/>
        <item m="1" x="6619"/>
        <item m="1" x="2524"/>
        <item m="1" x="6120"/>
        <item m="1" x="2199"/>
        <item m="1" x="6006"/>
        <item m="1" x="4594"/>
        <item m="1" x="680"/>
        <item m="1" x="4751"/>
        <item m="1" x="857"/>
        <item m="1" x="4904"/>
        <item m="1" x="1024"/>
        <item m="1" x="5065"/>
        <item m="1" x="1927"/>
        <item m="1" x="3873"/>
        <item m="1" x="2754"/>
        <item m="1" x="7369"/>
        <item m="1" x="7477"/>
        <item m="1" x="3623"/>
        <item m="1" x="7468"/>
        <item m="1" x="3505"/>
        <item m="1" x="7777"/>
        <item m="1" x="143"/>
        <item m="1" x="3946"/>
        <item m="1" x="7677"/>
        <item m="1" x="3843"/>
        <item m="1" x="4054"/>
        <item m="1" x="3724"/>
        <item m="1" x="3612"/>
        <item m="1" x="4152"/>
        <item m="1" x="246"/>
        <item m="1" x="131"/>
        <item m="1" x="3938"/>
        <item m="1" x="7771"/>
        <item m="1" x="1864"/>
        <item m="1" x="5846"/>
        <item m="1" x="552"/>
        <item m="1" x="6566"/>
        <item m="1" x="4456"/>
        <item m="1" x="4768"/>
        <item m="1" x="2549"/>
        <item m="1" x="3248"/>
        <item m="1" x="2085"/>
        <item m="1" x="3760"/>
        <item m="1" x="7610"/>
        <item m="1" x="1180"/>
        <item m="1" x="6488"/>
        <item m="1" x="2963"/>
        <item m="1" x="967"/>
        <item m="1" x="1728"/>
        <item m="1" x="2593"/>
        <item m="1" x="6450"/>
        <item m="1" x="76"/>
        <item m="1" x="7164"/>
        <item m="1" x="7495"/>
        <item m="1" x="6645"/>
        <item m="1" x="6757"/>
        <item m="1" x="3992"/>
        <item m="1" x="685"/>
        <item m="1" x="7708"/>
        <item m="1" x="3839"/>
        <item m="1" x="3496"/>
        <item m="1" x="1872"/>
        <item m="1" x="2642"/>
        <item m="1" x="3869"/>
        <item m="1" x="4067"/>
        <item m="1" x="2506"/>
        <item m="1" x="7209"/>
        <item m="1" x="7666"/>
        <item m="1" x="3635"/>
        <item m="1" x="7509"/>
        <item m="1" x="1510"/>
        <item m="1" x="5349"/>
        <item m="1" x="1347"/>
        <item m="1" x="5198"/>
        <item m="1" x="355"/>
        <item m="1" x="4188"/>
        <item m="1" x="5046"/>
        <item m="1" x="3286"/>
        <item m="1" x="1089"/>
        <item m="1" x="4968"/>
        <item m="1" x="917"/>
        <item m="1" x="4266"/>
        <item m="1" x="493"/>
        <item m="1" x="124"/>
        <item m="1" x="2982"/>
        <item m="1" x="6893"/>
        <item m="1" x="6532"/>
        <item m="1" x="5128"/>
        <item m="1" x="2852"/>
        <item m="1" x="4039"/>
        <item m="1" x="6726"/>
        <item m="1" x="844"/>
        <item m="1" x="1003"/>
        <item m="1" x="4890"/>
        <item m="1" x="4244"/>
        <item m="1" x="4812"/>
        <item m="1" x="7718"/>
        <item m="1" x="7184"/>
        <item m="1" x="4616"/>
        <item m="1" x="4736"/>
        <item m="1" x="7697"/>
        <item m="1" x="4142"/>
        <item m="1" x="6773"/>
        <item m="1" x="237"/>
        <item m="1" x="2292"/>
        <item m="1" x="6109"/>
        <item m="1" x="5894"/>
        <item m="1" x="2075"/>
        <item m="1" x="4650"/>
        <item m="1" x="589"/>
        <item m="1" x="4495"/>
        <item m="1" x="1413"/>
        <item m="1" x="7753"/>
        <item m="1" x="5268"/>
        <item m="1" x="1246"/>
        <item m="1" x="5109"/>
        <item m="1" x="7561"/>
        <item m="1" x="3832"/>
        <item m="1" x="6662"/>
        <item m="1" x="354"/>
        <item m="1" x="3712"/>
        <item m="1" x="740"/>
        <item m="1" x="2403"/>
        <item m="1" x="7700"/>
        <item m="1" x="2669"/>
        <item m="1" x="1069"/>
        <item m="1" x="4948"/>
        <item m="1" x="7133"/>
        <item m="1" x="3376"/>
        <item m="1" x="3104"/>
        <item m="1" x="7008"/>
        <item m="1" x="3249"/>
        <item m="1" x="7763"/>
        <item m="1" x="5003"/>
        <item m="1" x="7658"/>
        <item m="1" x="3931"/>
        <item m="1" x="3823"/>
        <item m="1" x="1460"/>
        <item m="1" x="159"/>
        <item m="1" x="2753"/>
        <item m="1" x="2027"/>
        <item m="1" x="3284"/>
        <item m="1" x="4445"/>
        <item m="1" x="3848"/>
        <item m="1" x="402"/>
        <item m="1" x="4602"/>
        <item m="1" x="546"/>
        <item m="1" x="4254"/>
        <item m="1" x="6943"/>
        <item m="1" x="1236"/>
        <item m="1" x="3900"/>
        <item m="1" x="5089"/>
        <item m="1" x="1225"/>
        <item m="1" x="5248"/>
        <item m="1" x="1395"/>
        <item m="1" x="5390"/>
        <item m="1" x="1558"/>
        <item m="1" x="4634"/>
        <item m="1" x="897"/>
        <item m="1" x="4794"/>
        <item m="1" x="720"/>
        <item m="1" x="2704"/>
        <item m="1" x="6877"/>
        <item m="1" x="340"/>
        <item m="1" x="6948"/>
        <item m="1" x="1880"/>
        <item m="1" x="6024"/>
        <item m="1" x="3747"/>
        <item m="1" x="3160"/>
        <item m="1" x="1087"/>
        <item m="1" x="6212"/>
        <item m="1" x="2295"/>
        <item m="1" x="6111"/>
        <item m="1" x="1681"/>
        <item m="1" x="4776"/>
        <item m="1" x="880"/>
        <item m="1" x="4130"/>
        <item m="1" x="2187"/>
        <item m="1" x="5719"/>
        <item m="1" x="96"/>
        <item m="1" x="7434"/>
        <item m="1" x="5628"/>
        <item m="1" x="114"/>
        <item m="1" x="5726"/>
        <item m="1" x="227"/>
        <item m="1" x="4930"/>
        <item m="1" x="467"/>
        <item m="1" x="654"/>
        <item m="1" x="7792"/>
        <item m="1" x="63"/>
        <item m="1" x="4450"/>
        <item m="1" x="2158"/>
        <item m="1" x="5073"/>
        <item m="1" x="1205"/>
        <item m="1" x="1808"/>
        <item m="1" x="3310"/>
        <item m="1" x="6496"/>
        <item m="1" x="971"/>
        <item m="1" x="5140"/>
        <item m="1" x="3875"/>
        <item m="1" x="3646"/>
        <item m="1" x="3744"/>
        <item m="1" x="4318"/>
        <item m="1" x="4090"/>
        <item m="1" x="1030"/>
        <item m="1" x="4910"/>
        <item m="1" x="2530"/>
        <item m="1" x="2563"/>
        <item m="1" x="3970"/>
        <item m="1" x="3490"/>
        <item m="1" x="6646"/>
        <item m="1" x="6758"/>
        <item m="1" x="2964"/>
        <item m="1" x="7242"/>
        <item m="1" x="4026"/>
        <item m="1" x="5644"/>
        <item m="1" x="1048"/>
        <item m="1" x="3870"/>
        <item m="1" x="7750"/>
        <item m="1" x="1666"/>
        <item m="1" x="5023"/>
        <item m="1" x="4074"/>
        <item m="1" x="2275"/>
        <item m="1" x="2940"/>
        <item m="1" x="5054"/>
        <item m="1" x="1187"/>
        <item m="1" x="5205"/>
        <item m="1" x="1353"/>
        <item m="1" x="1518"/>
        <item m="1" x="5501"/>
        <item m="1" x="1928"/>
        <item m="1" x="3924"/>
        <item m="1" x="599"/>
        <item m="1" x="6189"/>
        <item m="1" x="5500"/>
        <item m="1" x="1517"/>
        <item m="1" x="5355"/>
        <item m="1" x="1352"/>
        <item m="1" x="5204"/>
        <item m="1" x="1186"/>
        <item m="1" x="5053"/>
        <item m="1" x="1009"/>
        <item m="1" x="4894"/>
        <item m="1" x="1791"/>
        <item m="1" x="5631"/>
        <item m="1" x="1648"/>
        <item m="1" x="5484"/>
        <item m="1" x="7363"/>
        <item m="1" x="1498"/>
        <item m="1" x="5340"/>
        <item m="1" x="4809"/>
        <item m="1" x="5189"/>
        <item m="1" x="4203"/>
        <item m="1" x="189"/>
        <item m="1" x="1337"/>
        <item m="1" x="5838"/>
        <item m="1" x="4300"/>
        <item m="1" x="290"/>
        <item m="1" x="2838"/>
        <item m="1" x="4868"/>
        <item m="1" x="5037"/>
        <item m="1" x="1171"/>
        <item m="1" x="6128"/>
        <item m="1" x="2238"/>
        <item m="1" x="161"/>
        <item m="1" x="951"/>
        <item m="1" x="1888"/>
        <item m="1" x="4073"/>
        <item m="1" x="2423"/>
        <item m="1" x="3225"/>
        <item m="1" x="1996"/>
        <item m="1" x="2064"/>
        <item m="1" x="3422"/>
        <item m="1" x="3589"/>
        <item m="1" x="1694"/>
        <item m="1" x="7118"/>
        <item m="1" x="6996"/>
        <item m="1" x="3231"/>
        <item m="1" x="3092"/>
        <item m="1" x="6088"/>
        <item m="1" x="7789"/>
        <item m="1" x="2144"/>
        <item m="1" x="5428"/>
        <item m="1" x="2876"/>
        <item m="1" x="5681"/>
        <item m="1" x="3967"/>
        <item m="1" x="1910"/>
        <item m="1" x="6959"/>
        <item m="1" x="6977"/>
        <item m="1" x="4372"/>
        <item m="1" x="1782"/>
        <item m="1" x="5952"/>
        <item m="1" x="7061"/>
        <item m="1" x="7693"/>
        <item m="1" x="5739"/>
        <item m="1" x="1773"/>
        <item m="1" x="5610"/>
        <item m="1" x="1629"/>
        <item m="1" x="1931"/>
        <item m="1" x="5885"/>
        <item m="1" x="5762"/>
        <item m="1" x="1906"/>
        <item m="1" x="2837"/>
        <item m="1" x="2478"/>
        <item m="1" x="675"/>
        <item m="1" x="2335"/>
        <item m="1" x="984"/>
        <item m="1" x="6520"/>
        <item m="1" x="4620"/>
        <item m="1" x="7097"/>
        <item m="1" x="6296"/>
        <item m="1" x="3295"/>
        <item m="1" x="157"/>
        <item m="1" x="2362"/>
        <item m="1" x="5835"/>
        <item m="1" x="2462"/>
        <item m="1" x="5551"/>
        <item m="1" x="1743"/>
        <item m="1" x="3705"/>
        <item m="1" x="5957"/>
        <item m="1" x="1618"/>
        <item m="1" x="1468"/>
        <item m="1" x="6284"/>
        <item m="1" x="7189"/>
        <item m="1" x="5176"/>
        <item m="1" x="6167"/>
        <item m="1" x="6862"/>
        <item m="1" x="2950"/>
        <item m="1" x="4754"/>
        <item m="1" x="6748"/>
        <item m="1" x="2251"/>
        <item m="1" x="3526"/>
        <item m="1" x="1313"/>
        <item m="1" x="5324"/>
        <item m="1" x="1478"/>
        <item m="1" x="5468"/>
        <item m="1" x="218"/>
        <item m="1" x="904"/>
        <item m="1" x="6404"/>
        <item m="1" x="6054"/>
        <item m="1" x="1323"/>
        <item m="1" x="7505"/>
        <item m="1" x="6144"/>
        <item m="1" x="2469"/>
        <item m="1" x="3599"/>
        <item m="1" x="2354"/>
        <item m="1" x="2152"/>
        <item m="1" x="6077"/>
        <item m="1" x="2019"/>
        <item m="1" x="2261"/>
        <item m="1" x="1760"/>
        <item m="1" x="5595"/>
        <item m="1" x="6174"/>
        <item m="1" x="2590"/>
        <item m="1" x="5317"/>
        <item m="1" x="5441"/>
        <item m="1" x="4559"/>
        <item m="1" x="5022"/>
        <item m="1" x="5451"/>
        <item m="1" x="5725"/>
        <item m="1" x="1898"/>
        <item m="1" x="5850"/>
        <item m="1" x="6556"/>
        <item m="1" x="5676"/>
        <item m="1" x="1866"/>
        <item m="1" x="2029"/>
        <item m="1" x="3748"/>
        <item m="1" x="3857"/>
        <item m="1" x="5968"/>
        <item m="1" x="5728"/>
        <item m="1" x="850"/>
        <item m="1" x="535"/>
        <item m="1" x="4744"/>
        <item m="1" x="4588"/>
        <item m="1" x="4175"/>
        <item m="1" x="4440"/>
        <item m="1" x="7743"/>
        <item m="1" x="6178"/>
        <item m="1" x="5011"/>
        <item m="1" x="3409"/>
        <item m="1" x="4427"/>
        <item m="1" x="2343"/>
        <item m="1" x="2032"/>
        <item m="1" x="5853"/>
        <item m="1" x="1901"/>
        <item m="1" x="2166"/>
        <item m="1" x="2581"/>
        <item m="1" x="7234"/>
        <item m="1" x="1267"/>
        <item m="1" x="2567"/>
        <item m="1" x="158"/>
        <item m="1" x="1342"/>
        <item m="1" x="5583"/>
        <item m="1" x="1751"/>
        <item m="1" x="5710"/>
        <item m="1" x="1884"/>
        <item m="1" x="5832"/>
        <item m="1" x="2016"/>
        <item m="1" x="5954"/>
        <item m="1" x="2149"/>
        <item m="1" x="1614"/>
        <item m="1" x="5946"/>
        <item m="1" x="6062"/>
        <item m="1" x="2135"/>
        <item m="1" x="6232"/>
        <item m="1" x="5244"/>
        <item m="1" x="4253"/>
        <item m="1" x="3405"/>
        <item m="1" x="798"/>
        <item m="1" x="4527"/>
        <item m="1" x="1636"/>
        <item m="1" x="226"/>
        <item m="1" x="6157"/>
        <item m="1" x="6393"/>
        <item m="1" x="2345"/>
        <item m="1" x="6271"/>
        <item m="1" x="2454"/>
        <item m="1" x="2821"/>
        <item m="1" x="4394"/>
        <item m="1" x="118"/>
        <item m="1" x="4032"/>
        <item m="1" x="3887"/>
        <item m="1" x="7766"/>
        <item m="1" x="2701"/>
        <item m="1" x="473"/>
        <item m="1" x="4381"/>
        <item m="1" x="444"/>
        <item m="1" x="4135"/>
        <item m="1" x="232"/>
        <item m="1" x="4260"/>
        <item m="1" x="347"/>
        <item m="1" x="2434"/>
        <item m="1" x="3363"/>
        <item m="1" x="3736"/>
        <item m="1" x="4387"/>
        <item m="1" x="6036"/>
        <item m="1" x="3647"/>
        <item m="1" x="2142"/>
        <item m="1" x="5738"/>
        <item m="1" x="6670"/>
        <item m="1" x="2046"/>
        <item m="1" x="2509"/>
        <item m="1" x="6321"/>
        <item m="1" x="2391"/>
        <item m="1" x="6201"/>
        <item m="1" x="2285"/>
        <item m="1" x="6101"/>
        <item m="1" x="2178"/>
        <item m="1" x="2051"/>
        <item m="1" x="5872"/>
        <item m="1" x="2618"/>
        <item m="1" x="6428"/>
        <item m="1" x="2491"/>
        <item m="1" x="6310"/>
        <item m="1" x="2377"/>
        <item m="1" x="6191"/>
        <item m="1" x="2277"/>
        <item m="1" x="6090"/>
        <item m="1" x="2168"/>
        <item m="1" x="5970"/>
        <item m="1" x="2728"/>
        <item m="1" x="6541"/>
        <item m="1" x="2605"/>
        <item m="1" x="1450"/>
        <item m="1" x="6415"/>
        <item m="1" x="7612"/>
        <item m="1" x="2887"/>
        <item m="1" x="2235"/>
        <item m="1" x="1594"/>
        <item m="1" x="510"/>
        <item m="1" x="5950"/>
        <item m="1" x="4599"/>
        <item m="1" x="7195"/>
        <item m="1" x="544"/>
        <item m="1" x="6028"/>
        <item m="1" x="6508"/>
        <item m="1" x="2686"/>
        <item m="1" x="6628"/>
        <item m="1" x="2572"/>
        <item m="1" x="2100"/>
        <item m="1" x="2672"/>
        <item m="1" x="6380"/>
        <item m="1" x="7007"/>
        <item m="1" x="606"/>
        <item m="1" x="4174"/>
        <item m="1" x="2764"/>
        <item m="1" x="3172"/>
        <item m="1" x="2443"/>
        <item m="1" x="5867"/>
        <item m="1" x="3566"/>
        <item m="1" x="6262"/>
        <item m="1" x="2801"/>
        <item m="1" x="2539"/>
        <item m="1" x="6517"/>
        <item m="1" x="7483"/>
        <item m="1" x="7376"/>
        <item m="1" x="332"/>
        <item m="1" x="3629"/>
        <item m="1" x="4294"/>
        <item m="1" x="4245"/>
        <item m="1" x="220"/>
        <item m="1" x="6152"/>
        <item m="1" x="4309"/>
        <item m="1" x="4206"/>
        <item m="1" x="4116"/>
        <item m="1" x="4759"/>
        <item m="1" x="1121"/>
        <item m="1" x="4069"/>
        <item m="1" x="2480"/>
        <item m="1" x="6067"/>
        <item m="1" x="125"/>
        <item m="1" x="4040"/>
        <item m="1" x="7764"/>
        <item m="1" x="3932"/>
        <item m="1" x="616"/>
        <item m="1" x="4519"/>
        <item m="1" x="468"/>
        <item m="1" x="4120"/>
        <item m="1" x="228"/>
        <item m="1" x="4131"/>
        <item m="1" x="115"/>
        <item m="1" x="4027"/>
        <item m="1" x="752"/>
        <item m="1" x="4660"/>
        <item m="1" x="600"/>
        <item m="1" x="4504"/>
        <item m="1" x="453"/>
        <item m="1" x="4363"/>
        <item m="1" x="915"/>
        <item m="1" x="1738"/>
        <item m="1" x="1986"/>
        <item m="1" x="2677"/>
        <item m="1" x="3513"/>
        <item m="1" x="2919"/>
        <item m="1" x="434"/>
        <item m="1" x="738"/>
        <item m="1" x="6329"/>
        <item m="1" x="4810"/>
        <item m="1" x="329"/>
        <item m="1" x="3221"/>
        <item m="1" x="3178"/>
        <item m="1" x="7098"/>
        <item m="1" x="3208"/>
        <item m="1" x="587"/>
        <item m="1" x="113"/>
        <item m="1" x="4129"/>
        <item m="1" x="4493"/>
        <item m="1" x="5902"/>
        <item m="1" x="2342"/>
        <item m="1" x="3428"/>
        <item m="1" x="6280"/>
        <item m="1" x="6970"/>
        <item m="1" x="3062"/>
        <item m="1" x="4052"/>
        <item m="1" x="6278"/>
        <item m="1" x="7075"/>
        <item m="1" x="2059"/>
        <item m="1" x="5297"/>
        <item m="1" x="1805"/>
        <item m="1" x="7177"/>
        <item m="1" x="3749"/>
        <item m="1" x="4086"/>
        <item m="1" x="2349"/>
        <item m="1" x="5372"/>
        <item m="1" x="1534"/>
        <item m="1" x="5516"/>
        <item m="1" x="5655"/>
        <item m="1" x="1369"/>
        <item m="1" x="1679"/>
        <item m="1" x="2086"/>
        <item m="1" x="5222"/>
        <item m="1" x="1940"/>
        <item m="1" x="1201"/>
        <item m="1" x="5068"/>
        <item m="1" x="5864"/>
        <item m="1" x="5768"/>
        <item m="1" x="2331"/>
        <item m="1" x="6317"/>
        <item m="1" x="4928"/>
        <item m="1" x="1046"/>
        <item m="1" x="5087"/>
        <item m="1" x="1223"/>
        <item m="1" x="4337"/>
        <item m="1" x="427"/>
        <item m="1" x="4474"/>
        <item m="1" x="572"/>
        <item m="1" x="4632"/>
        <item m="1" x="718"/>
        <item m="1" x="4792"/>
        <item m="1" x="4946"/>
        <item m="1" x="895"/>
        <item m="1" x="1067"/>
        <item m="1" x="4233"/>
        <item m="1" x="320"/>
        <item m="1" x="4350"/>
        <item m="1" x="440"/>
        <item m="1" x="4648"/>
        <item m="1" x="878"/>
        <item m="1" x="4774"/>
        <item m="1" x="7779"/>
        <item m="1" x="7668"/>
        <item m="1" x="6298"/>
        <item m="1" x="2364"/>
        <item m="1" x="6180"/>
        <item m="1" x="2263"/>
        <item m="1" x="6079"/>
        <item m="1" x="2850"/>
        <item m="1" x="1585"/>
        <item m="1" x="6957"/>
        <item m="1" x="3100"/>
        <item m="1" x="3038"/>
        <item m="1" x="3533"/>
        <item m="1" x="3745"/>
        <item m="1" x="700"/>
        <item m="1" x="2501"/>
        <item m="1" x="4242"/>
        <item m="1" x="7017"/>
        <item m="1" x="502"/>
        <item m="1" x="6900"/>
        <item m="1" x="5643"/>
        <item m="1" x="5165"/>
        <item m="1" x="1304"/>
        <item m="1" x="3194"/>
        <item m="1" x="3387"/>
        <item m="1" x="153"/>
        <item m="1" x="7298"/>
        <item m="1" x="3430"/>
        <item m="1" x="7266"/>
        <item m="1" x="1372"/>
        <item m="1" x="7742"/>
        <item m="1" x="5691"/>
        <item m="1" x="4064"/>
        <item m="1" x="7532"/>
        <item m="1" x="3681"/>
        <item m="1" x="2771"/>
        <item m="1" x="4165"/>
        <item m="1" x="5013"/>
        <item m="1" x="1488"/>
        <item m="1" x="6620"/>
        <item m="1" x="4164"/>
        <item m="1" x="6058"/>
        <item m="1" x="5627"/>
        <item m="1" x="6917"/>
        <item m="1" x="943"/>
        <item m="1" x="6839"/>
        <item m="1" x="107"/>
        <item m="1" x="4199"/>
        <item m="1" x="2058"/>
        <item m="1" x="5201"/>
        <item m="1" x="1924"/>
        <item m="1" x="5880"/>
        <item m="1" x="5753"/>
        <item m="1" x="1788"/>
        <item m="1" x="1643"/>
        <item m="1" x="5482"/>
        <item m="1" x="1114"/>
        <item m="1" x="5141"/>
        <item m="1" x="3054"/>
        <item m="1" x="3434"/>
        <item m="1" x="3184"/>
        <item m="1" x="3294"/>
        <item m="1" x="7479"/>
        <item m="1" x="4663"/>
        <item m="1" x="603"/>
        <item m="1" x="2041"/>
        <item m="1" x="755"/>
        <item m="1" x="1909"/>
        <item m="1" x="3176"/>
        <item m="1" x="932"/>
        <item m="1" x="1101"/>
        <item m="1" x="4982"/>
        <item m="1" x="1847"/>
        <item m="1" x="2173"/>
        <item m="1" x="5976"/>
        <item m="1" x="4829"/>
        <item m="1" x="5861"/>
        <item m="1" x="1156"/>
        <item m="1" x="986"/>
        <item m="1" x="4840"/>
        <item m="1" x="774"/>
        <item m="1" x="4674"/>
        <item m="1" x="619"/>
        <item m="1" x="4522"/>
        <item m="1" x="471"/>
        <item m="1" x="4380"/>
        <item m="1" x="1280"/>
        <item m="1" x="1262"/>
        <item m="1" x="1426"/>
        <item m="1" x="5280"/>
        <item m="1" x="2432"/>
        <item m="1" x="2448"/>
        <item m="1" x="2110"/>
        <item m="1" x="2783"/>
        <item m="1" x="3523"/>
        <item m="1" x="4507"/>
        <item m="1" x="6022"/>
        <item m="1" x="6684"/>
        <item m="1" x="2807"/>
        <item m="1" x="1085"/>
        <item m="1" x="5010"/>
        <item m="1" x="5419"/>
        <item m="1" x="383"/>
        <item m="1" x="6583"/>
        <item m="1" x="4965"/>
        <item m="1" x="911"/>
        <item m="1" x="2579"/>
        <item m="1" x="1625"/>
        <item m="1" x="5603"/>
        <item m="1" x="1444"/>
        <item m="1" x="3207"/>
        <item m="1" x="6098"/>
        <item m="1" x="6085"/>
        <item m="1" x="2907"/>
        <item m="1" x="1718"/>
        <item m="1" x="2466"/>
        <item m="1" x="1769"/>
        <item m="1" x="4808"/>
        <item m="1" x="733"/>
        <item m="1" x="7702"/>
        <item m="1" x="5138"/>
        <item m="1" x="4884"/>
        <item m="1" x="4646"/>
        <item m="1" x="1571"/>
        <item m="1" x="5401"/>
        <item m="1" x="1409"/>
        <item m="1" x="5265"/>
        <item m="1" x="1242"/>
        <item m="1" x="5107"/>
        <item m="1" x="1062"/>
        <item m="1" x="4944"/>
        <item m="1" x="893"/>
        <item m="1" x="4788"/>
        <item m="1" x="1693"/>
        <item m="1" x="5531"/>
        <item m="1" x="1552"/>
        <item m="1" x="5389"/>
        <item m="1" x="1391"/>
        <item m="1" x="2160"/>
        <item m="1" x="7146"/>
        <item m="1" x="5460"/>
        <item m="1" x="2270"/>
        <item m="1" x="1867"/>
        <item m="1" x="2248"/>
        <item m="1" x="4298"/>
        <item m="1" x="217"/>
        <item m="1" x="3578"/>
        <item m="1" x="7438"/>
        <item m="1" x="3695"/>
        <item m="1" x="6010"/>
        <item m="1" x="3137"/>
        <item m="1" x="1992"/>
        <item m="1" x="6640"/>
        <item m="1" x="5552"/>
        <item m="1" x="2025"/>
        <item m="1" x="4025"/>
        <item m="1" x="3923"/>
        <item m="1" x="4841"/>
        <item m="1" x="5555"/>
        <item m="1" x="1148"/>
        <item m="1" x="775"/>
        <item m="1" x="1192"/>
        <item m="1" x="5844"/>
        <item m="1" x="3816"/>
        <item m="1" x="2452"/>
        <item m="1" x="5717"/>
        <item m="1" x="4170"/>
        <item m="1" x="5243"/>
        <item m="1" x="1220"/>
        <item m="1" x="5086"/>
        <item m="1" x="1043"/>
        <item m="1" x="4923"/>
        <item m="1" x="1821"/>
        <item x="39"/>
        <item x="40"/>
        <item x="16"/>
        <item x="14"/>
        <item x="13"/>
        <item x="17"/>
        <item x="36"/>
        <item m="1" x="7557"/>
        <item m="1" x="3708"/>
        <item m="1" x="1892"/>
        <item m="1" x="352"/>
        <item m="1" x="1443"/>
        <item m="1" x="3019"/>
        <item m="1" x="1755"/>
        <item m="1" x="4264"/>
        <item m="1" x="3264"/>
        <item m="1" x="7684"/>
        <item m="1" x="3852"/>
        <item m="1" x="3197"/>
        <item m="1" x="506"/>
        <item m="1" x="3322"/>
        <item m="1" x="7071"/>
        <item m="1" x="560"/>
        <item m="1" x="6021"/>
        <item m="1" x="2421"/>
        <item m="1" x="7074"/>
        <item m="1" x="508"/>
        <item m="1" x="2588"/>
        <item m="1" x="3035"/>
        <item m="1" x="4096"/>
        <item m="1" x="1439"/>
        <item m="1" x="5820"/>
        <item m="1" x="1080"/>
        <item m="1" x="4140"/>
        <item m="1" x="4414"/>
        <item m="1" x="7171"/>
        <item m="1" x="7578"/>
        <item m="1" x="2913"/>
        <item m="1" x="529"/>
        <item m="1" x="3751"/>
        <item m="1" x="4731"/>
        <item m="1" x="5941"/>
        <item m="1" x="5296"/>
        <item m="1" x="839"/>
        <item m="1" x="378"/>
        <item m="1" x="3025"/>
        <item m="1" x="4510"/>
        <item m="1" x="607"/>
        <item m="1" x="4665"/>
        <item m="1" x="759"/>
        <item m="1" x="1819"/>
        <item m="1" x="5589"/>
        <item m="1" x="621"/>
        <item m="1" x="4832"/>
        <item m="1" x="2461"/>
        <item m="1" x="4438"/>
        <item m="1" x="3644"/>
        <item m="1" x="5418"/>
        <item m="1" x="4293"/>
        <item m="1" x="4367"/>
        <item m="1" x="3808"/>
        <item m="1" x="457"/>
        <item m="1" x="3858"/>
        <item m="1" x="5162"/>
        <item m="1" x="333"/>
        <item m="1" x="5593"/>
        <item m="1" x="7077"/>
        <item m="1" x="3186"/>
        <item m="1" x="769"/>
        <item m="1" x="5831"/>
        <item m="1" x="4061"/>
        <item m="1" x="259"/>
        <item m="1" x="7197"/>
        <item m="1" x="95"/>
        <item m="1" x="3321"/>
        <item m="1" x="7654"/>
        <item m="1" x="3819"/>
        <item m="1" x="464"/>
        <item m="1" x="7030"/>
        <item m="1" x="6145"/>
        <item m="1" x="6938"/>
        <item m="1" x="4534"/>
        <item m="1" x="6163"/>
        <item m="1" x="7588"/>
        <item m="1" x="5300"/>
        <item m="1" x="4250"/>
        <item m="1" x="6705"/>
        <item m="1" x="7066"/>
        <item m="1" x="6516"/>
        <item m="1" x="381"/>
        <item m="1" x="1461"/>
        <item m="1" x="4685"/>
        <item m="1" x="4466"/>
        <item m="1" x="4373"/>
        <item m="1" x="337"/>
        <item m="1" x="3155"/>
        <item m="1" x="5847"/>
        <item m="1" x="3866"/>
        <item m="1" x="2464"/>
        <item m="1" x="4867"/>
        <item m="1" x="4246"/>
        <item m="1" x="7719"/>
        <item m="1" x="1088"/>
        <item m="1" x="4459"/>
        <item m="1" x="665"/>
        <item m="1" x="2769"/>
        <item m="1" x="5562"/>
        <item m="1" x="5465"/>
        <item m="1" x="4036"/>
        <item m="1" x="3083"/>
        <item m="1" x="5808"/>
        <item m="1" x="4572"/>
        <item m="1" x="1458"/>
        <item m="1" x="5312"/>
        <item m="1" x="67"/>
        <item m="1" x="121"/>
        <item m="1" x="399"/>
        <item m="1" x="519"/>
        <item m="1" x="4410"/>
        <item m="1" x="1606"/>
        <item m="1" x="5433"/>
        <item m="1" x="4361"/>
        <item m="1" x="451"/>
        <item m="1" x="2234"/>
        <item m="1" x="327"/>
        <item m="1" x="2351"/>
        <item m="1" x="6831"/>
        <item m="1" x="5009"/>
        <item m="1" x="6388"/>
        <item m="1" x="1142"/>
        <item m="1" x="5014"/>
        <item m="1" x="4708"/>
        <item m="1" x="4197"/>
        <item m="1" x="5721"/>
        <item m="1" x="3986"/>
        <item m="1" x="70"/>
        <item m="1" x="4087"/>
        <item m="1" x="222"/>
        <item m="1" x="4125"/>
        <item m="1" x="109"/>
        <item m="1" x="4021"/>
        <item m="1" x="7745"/>
        <item m="1" x="3919"/>
        <item m="1" x="4118"/>
        <item m="1" x="7031"/>
        <item m="1" x="4172"/>
        <item m="1" x="7140"/>
        <item m="1" x="2679"/>
        <item m="1" x="4167"/>
        <item m="1" x="595"/>
        <item m="1" x="523"/>
        <item m="1" x="5755"/>
        <item m="1" x="5449"/>
        <item m="1" x="2447"/>
        <item m="1" x="4967"/>
        <item m="1" x="2310"/>
        <item m="1" x="3049"/>
        <item m="1" x="4193"/>
        <item m="1" x="5591"/>
        <item m="1" x="4499"/>
        <item m="1" x="447"/>
        <item m="1" x="4357"/>
        <item m="1" x="323"/>
        <item m="1" x="4236"/>
        <item m="1" x="211"/>
        <item m="1" x="4112"/>
        <item m="1" x="916"/>
        <item m="1" x="313"/>
        <item m="1" x="739"/>
        <item m="1" x="430"/>
        <item m="1" x="4483"/>
        <item m="1" x="3424"/>
        <item m="1" x="3537"/>
        <item m="1" x="3423"/>
        <item m="1" x="5303"/>
        <item m="1" x="4433"/>
        <item m="1" x="4494"/>
        <item m="1" x="4638"/>
        <item m="1" x="725"/>
        <item m="1" x="4649"/>
        <item m="1" x="577"/>
        <item m="1" x="4811"/>
        <item m="1" x="441"/>
        <item m="1" x="7042"/>
        <item m="1" x="3143"/>
        <item m="1" x="7528"/>
        <item m="1" x="4872"/>
        <item m="1" x="4351"/>
        <item m="1" x="885"/>
        <item m="1" x="200"/>
        <item m="1" x="4101"/>
        <item m="1" x="3280"/>
        <item m="1" x="588"/>
        <item m="1" x="4225"/>
        <item m="1" x="5149"/>
        <item m="1" x="524"/>
        <item m="1" x="1068"/>
        <item m="1" x="5247"/>
        <item m="1" x="6135"/>
        <item m="1" x="6921"/>
        <item m="1" x="2360"/>
        <item m="1" x="4475"/>
        <item m="1" x="5605"/>
        <item m="1" x="793"/>
        <item m="1" x="3318"/>
        <item m="1" x="94"/>
        <item m="1" x="686"/>
        <item m="1" x="4761"/>
        <item m="1" x="4092"/>
        <item m="1" x="1245"/>
        <item m="1" x="5108"/>
        <item m="1" x="4793"/>
        <item m="1" x="4947"/>
        <item m="1" x="896"/>
        <item m="1" x="5088"/>
        <item m="1" x="1224"/>
        <item m="1" x="4201"/>
        <item m="1" x="4171"/>
        <item m="1" x="4929"/>
        <item m="1" x="3755"/>
        <item m="1" x="2547"/>
        <item m="1" x="3877"/>
        <item m="1" x="2222"/>
        <item m="1" x="400"/>
        <item m="1" x="2163"/>
        <item m="1" x="1047"/>
        <item m="1" x="5849"/>
        <item m="1" x="719"/>
        <item m="1" x="6689"/>
        <item m="1" x="2879"/>
        <item m="1" x="6795"/>
        <item m="1" x="3012"/>
        <item m="1" x="5920"/>
        <item m="1" x="4018"/>
        <item m="1" x="6352"/>
        <item m="1" x="215"/>
        <item m="1" x="172"/>
        <item m="1" x="6254"/>
        <item m="1" x="7740"/>
        <item m="1" x="485"/>
        <item m="1" x="4148"/>
        <item m="1" x="934"/>
        <item m="1" x="411"/>
        <item m="1" x="1193"/>
        <item m="1" x="5060"/>
        <item m="1" x="1019"/>
        <item m="1" x="4899"/>
        <item m="1" x="853"/>
        <item m="1" x="4747"/>
        <item m="1" x="677"/>
        <item m="1" x="4591"/>
        <item m="1" x="538"/>
        <item m="1" x="4443"/>
        <item m="1" x="1343"/>
        <item m="1" x="5194"/>
        <item m="1" x="1177"/>
        <item m="1" x="5043"/>
        <item m="1" x="4887"/>
        <item m="1" x="842"/>
        <item m="1" x="6783"/>
        <item m="1" x="2863"/>
        <item m="1" x="7374"/>
        <item m="1" x="3511"/>
        <item m="1" x="7264"/>
        <item m="1" x="3385"/>
        <item m="1" x="7144"/>
        <item m="1" x="3262"/>
        <item m="1" x="7021"/>
        <item m="1" x="3119"/>
        <item m="1" x="6891"/>
        <item m="1" x="2980"/>
        <item m="1" x="7474"/>
        <item m="1" x="3620"/>
        <item m="1" x="4734"/>
        <item m="1" x="6149"/>
        <item m="1" x="879"/>
        <item m="1" x="7366"/>
        <item m="1" x="4633"/>
        <item m="1" x="573"/>
        <item m="1" x="3502"/>
        <item m="1" x="4585"/>
        <item m="1" x="3622"/>
        <item m="1" x="7254"/>
        <item m="1" x="4614"/>
        <item m="1" x="4775"/>
        <item m="1" x="6074"/>
        <item m="1" x="3590"/>
        <item m="1" x="3915"/>
        <item m="1" x="4586"/>
        <item m="1" x="5301"/>
        <item m="1" x="5035"/>
        <item m="1" x="7465"/>
        <item m="1" x="7569"/>
        <item m="1" x="4432"/>
        <item m="1" x="3487"/>
        <item m="1" x="6243"/>
        <item m="1" x="7239"/>
        <item m="1" x="2652"/>
        <item m="1" x="7256"/>
        <item m="1" x="2901"/>
        <item m="1" x="208"/>
        <item m="1" x="105"/>
        <item m="1" x="4015"/>
        <item m="1" x="401"/>
        <item m="1" x="701"/>
        <item m="1" x="7738"/>
        <item m="1" x="3246"/>
        <item m="1" x="7006"/>
        <item m="1" x="3102"/>
        <item m="1" x="3911"/>
        <item m="1" x="581"/>
        <item m="1" x="4487"/>
        <item m="1" x="3504"/>
        <item m="1" x="5375"/>
        <item m="1" x="7558"/>
        <item m="1" x="4435"/>
        <item m="1" x="2325"/>
        <item m="1" x="7717"/>
        <item m="1" x="7622"/>
        <item m="1" x="3609"/>
        <item m="1" x="7353"/>
        <item m="1" x="7240"/>
        <item m="1" x="7674"/>
        <item m="1" x="7568"/>
        <item m="1" x="3721"/>
        <item m="1" x="3945"/>
        <item m="1" x="3840"/>
        <item m="1" x="3361"/>
        <item m="1" x="6281"/>
        <item m="1" x="3729"/>
        <item m="1" x="3256"/>
        <item m="1" x="7476"/>
        <item m="1" x="3272"/>
        <item m="1" x="6905"/>
        <item m="1" x="7153"/>
        <item m="1" x="3391"/>
        <item m="1" x="7269"/>
        <item m="1" x="2742"/>
        <item m="1" x="7034"/>
        <item m="1" x="3133"/>
        <item m="1" x="2996"/>
        <item m="1" x="3375"/>
        <item m="1" x="3297"/>
        <item m="1" x="3438"/>
        <item m="1" x="3277"/>
        <item m="1" x="4990"/>
        <item m="1" x="2322"/>
        <item m="1" x="7039"/>
        <item m="1" x="1373"/>
        <item m="1" x="4343"/>
        <item m="1" x="5225"/>
        <item m="1" x="2231"/>
        <item m="1" x="6621"/>
        <item m="1" x="7278"/>
        <item m="1" x="2902"/>
        <item m="1" x="5439"/>
        <item m="1" x="1383"/>
        <item m="1" x="7116"/>
        <item m="1" x="7768"/>
        <item m="1" x="1204"/>
        <item m="1" x="6457"/>
        <item m="1" x="2218"/>
        <item m="1" x="1483"/>
        <item m="1" x="908"/>
        <item m="1" x="5072"/>
        <item m="1" x="1539"/>
        <item m="1" x="7769"/>
        <item m="1" x="79"/>
        <item m="1" x="2337"/>
        <item m="1" x="5336"/>
        <item m="1" x="4009"/>
        <item m="1" x="3607"/>
        <item m="1" x="7463"/>
        <item m="1" x="3228"/>
        <item m="1" x="7664"/>
        <item m="1" x="7310"/>
        <item m="1" x="3445"/>
        <item m="1" x="1328"/>
        <item m="1" x="5179"/>
        <item m="1" x="5630"/>
        <item m="1" x="2647"/>
        <item m="1" x="6584"/>
        <item m="1" x="7735"/>
        <item m="1" x="1459"/>
        <item m="1" x="316"/>
        <item m="1" x="7368"/>
        <item m="1" x="3485"/>
        <item m="1" x="1164"/>
        <item m="1" x="102"/>
        <item m="1" x="129"/>
        <item m="1" x="4044"/>
        <item m="1" x="4012"/>
        <item m="1" x="3395"/>
        <item m="1" x="1393"/>
        <item m="1" x="187"/>
        <item m="1" x="1166"/>
        <item m="1" x="2803"/>
        <item m="1" x="6108"/>
        <item m="1" x="3908"/>
        <item m="1" x="5629"/>
        <item m="1" x="203"/>
        <item m="1" x="4231"/>
        <item m="1" x="7154"/>
        <item m="1" x="3392"/>
        <item m="1" x="7270"/>
        <item m="1" x="3518"/>
        <item m="1" x="3273"/>
        <item m="1" x="3670"/>
        <item m="1" x="3631"/>
        <item m="1" x="2667"/>
        <item m="1" x="4362"/>
        <item m="1" x="4228"/>
        <item m="1" x="4104"/>
        <item m="1" x="88"/>
        <item m="1" x="2216"/>
        <item m="1" x="4049"/>
        <item m="1" x="5311"/>
        <item m="1" x="206"/>
        <item m="1" x="6929"/>
        <item m="1" x="7455"/>
        <item m="1" x="7340"/>
        <item m="1" x="3710"/>
        <item m="1" x="1029"/>
        <item m="1" x="863"/>
        <item m="1" x="4909"/>
        <item m="1" x="4757"/>
        <item m="1" x="1665"/>
        <item m="1" x="328"/>
        <item m="1" x="3830"/>
        <item m="1" x="2324"/>
        <item m="1" x="5563"/>
        <item m="1" x="1849"/>
        <item m="1" x="7559"/>
        <item m="1" x="7035"/>
        <item m="1" x="1609"/>
        <item m="1" x="737"/>
        <item m="1" x="1044"/>
        <item m="1" x="4107"/>
        <item m="1" x="2442"/>
        <item m="1" x="3597"/>
        <item m="1" x="3472"/>
        <item m="1" x="6130"/>
        <item m="1" x="3350"/>
        <item m="1" x="7225"/>
        <item m="1" x="4272"/>
        <item m="1" x="5403"/>
        <item m="1" x="3305"/>
        <item m="1" x="2896"/>
        <item m="1" x="710"/>
        <item m="1" x="4003"/>
        <item m="1" x="4624"/>
        <item m="1" x="613"/>
        <item m="1" x="3581"/>
        <item m="1" x="1984"/>
        <item m="1" x="6452"/>
        <item m="1" x="3564"/>
        <item m="1" x="7049"/>
        <item m="1" x="6906"/>
        <item m="1" x="7060"/>
        <item m="1" x="826"/>
        <item m="1" x="3829"/>
        <item m="1" x="3936"/>
        <item m="1" x="7663"/>
        <item m="1" x="6682"/>
        <item m="1" x="5125"/>
        <item m="1" x="3660"/>
        <item m="1" x="1599"/>
        <item m="1" x="6356"/>
        <item m="1" x="6261"/>
        <item m="1" x="7475"/>
        <item m="1" x="3619"/>
        <item m="1" x="3621"/>
        <item m="1" x="3120"/>
        <item m="1" x="3386"/>
        <item m="1" x="3263"/>
        <item m="1" x="7022"/>
        <item m="1" x="7577"/>
        <item m="1" x="3728"/>
        <item m="1" x="7656"/>
        <item m="1" x="7265"/>
        <item m="1" x="7547"/>
        <item m="1" x="4332"/>
        <item m="1" x="421"/>
        <item m="1" x="4470"/>
        <item m="1" x="7145"/>
        <item m="1" x="302"/>
        <item m="1" x="3699"/>
        <item m="1" x="7367"/>
        <item m="1" x="3707"/>
        <item m="1" x="7556"/>
        <item m="1" x="5689"/>
        <item m="1" x="7375"/>
        <item m="1" x="3628"/>
        <item m="1" x="3821"/>
        <item m="1" x="186"/>
        <item m="1" x="7676"/>
        <item m="1" x="861"/>
        <item m="1" x="3512"/>
        <item m="1" x="1202"/>
        <item m="1" x="2656"/>
        <item m="1" x="4348"/>
        <item m="1" x="3929"/>
        <item m="1" x="2628"/>
        <item m="1" x="111"/>
        <item m="1" x="6487"/>
        <item m="1" x="2997"/>
        <item m="1" x="5799"/>
        <item m="1" x="4023"/>
        <item m="1" x="6259"/>
        <item m="1" x="6138"/>
        <item m="1" x="3503"/>
        <item m="1" x="7255"/>
        <item m="1" x="3374"/>
        <item m="1" x="7132"/>
        <item m="1" x="3247"/>
        <item m="1" x="7675"/>
        <item m="1" x="3841"/>
        <item m="1" x="7570"/>
        <item m="1" x="3722"/>
        <item m="1" x="6968"/>
        <item m="1" x="7482"/>
        <item m="1" x="7761"/>
        <item m="1" x="4094"/>
        <item m="1" x="6276"/>
        <item m="1" x="3788"/>
        <item m="1" x="7441"/>
        <item m="1" x="3488"/>
        <item m="1" x="7354"/>
        <item m="1" x="3610"/>
        <item m="1" x="7466"/>
        <item m="1" x="4217"/>
        <item m="1" x="194"/>
        <item m="1" x="4766"/>
        <item m="1" x="872"/>
        <item m="1" x="7241"/>
        <item m="1" x="7291"/>
        <item m="1" x="6240"/>
        <item m="1" x="3362"/>
        <item m="1" x="4607"/>
        <item m="1" x="3412"/>
        <item m="1" x="816"/>
        <item m="1" x="7665"/>
        <item m="1" x="3842"/>
        <item m="1" x="3806"/>
        <item m="1" x="213"/>
        <item m="1" x="690"/>
        <item m="1" x="7552"/>
        <item m="1" x="7327"/>
        <item m="1" x="7747"/>
        <item m="1" x="205"/>
        <item m="1" x="1971"/>
        <item m="1" x="4183"/>
        <item m="1" x="3674"/>
        <item m="1" x="1925"/>
        <item m="1" x="4710"/>
        <item m="1" x="3684"/>
        <item m="1" x="7535"/>
        <item m="1" x="3569"/>
        <item m="1" x="2323"/>
        <item m="1" x="3831"/>
        <item m="1" x="7560"/>
        <item m="1" x="7736"/>
        <item m="1" x="7631"/>
        <item m="1" x="6032"/>
        <item m="1" x="3921"/>
        <item m="1" x="6234"/>
        <item m="1" x="6698"/>
        <item m="1" x="6639"/>
        <item m="1" x="3608"/>
        <item m="1" x="7770"/>
        <item m="1" x="3937"/>
        <item m="1" x="7643"/>
        <item m="1" x="7522"/>
        <item m="1" x="7507"/>
        <item m="1" x="4114"/>
        <item m="1" x="5442"/>
        <item m="1" x="3997"/>
        <item m="1" x="4721"/>
        <item m="1" x="2655"/>
        <item m="1" x="7339"/>
        <item m="1" x="3211"/>
        <item m="1" x="7426"/>
        <item m="1" x="3909"/>
        <item m="1" x="4013"/>
        <item m="1" x="103"/>
        <item m="1" x="7456"/>
        <item m="1" x="3789"/>
        <item m="1" x="6344"/>
        <item m="1" x="7101"/>
        <item m="1" x="7326"/>
        <item m="1" x="3457"/>
        <item m="1" x="3598"/>
        <item m="1" x="235"/>
        <item m="1" x="6915"/>
        <item m="1" x="2548"/>
        <item m="1" x="550"/>
        <item m="1" x="4321"/>
        <item m="1" x="292"/>
        <item m="1" x="412"/>
        <item m="1" x="4454"/>
        <item m="1" x="1140"/>
        <item m="1" x="3420"/>
        <item m="1" x="4926"/>
        <item m="1" x="968"/>
        <item m="1" x="201"/>
        <item m="1" x="86"/>
        <item m="1" x="1964"/>
        <item m="1" x="5435"/>
        <item m="1" x="7235"/>
        <item m="1" x="5293"/>
        <item m="1" x="3473"/>
        <item m="1" x="7604"/>
        <item m="1" x="835"/>
        <item m="1" x="123"/>
        <item m="1" x="4001"/>
        <item m="1" x="7069"/>
        <item m="1" x="7727"/>
        <item m="1" x="6378"/>
        <item m="1" x="308"/>
        <item m="1" x="4830"/>
        <item m="1" x="2670"/>
        <item m="1" x="4857"/>
        <item m="1" x="3903"/>
        <item m="1" x="7723"/>
        <item m="1" x="3781"/>
        <item m="1" x="7624"/>
        <item m="1" x="7380"/>
        <item m="1" x="6612"/>
        <item m="1" x="2419"/>
        <item m="1" x="2515"/>
        <item m="1" x="1013"/>
        <item m="1" x="2429"/>
        <item m="1" x="2228"/>
        <item m="1" x="942"/>
        <item m="1" x="3553"/>
        <item m="1" x="371"/>
        <item m="1" x="357"/>
        <item m="1" x="604"/>
        <item m="1" x="7425"/>
        <item m="1" x="4102"/>
        <item m="1" x="6044"/>
        <item m="1" x="2232"/>
        <item m="1" x="482"/>
        <item m="1" x="4393"/>
        <item m="1" x="6655"/>
        <item m="1" x="7435"/>
        <item m="1" x="7163"/>
        <item m="1" x="4220"/>
        <item m="1" x="4209"/>
        <item m="1" x="2330"/>
        <item m="1" x="633"/>
        <item m="1" x="4539"/>
        <item m="1" x="6489"/>
        <item m="1" x="6366"/>
        <item m="1" x="2560"/>
        <item m="1" x="165"/>
        <item m="1" x="98"/>
        <item m="1" x="3723"/>
        <item m="1" x="980"/>
        <item m="1" x="6872"/>
        <item m="1" x="7462"/>
        <item m="1" x="3606"/>
        <item m="1" x="7782"/>
        <item m="1" x="6139"/>
        <item m="1" x="3017"/>
        <item m="1" x="7385"/>
        <item m="1" x="6722"/>
        <item m="1" x="4005"/>
        <item m="1" x="631"/>
        <item m="1" x="6238"/>
        <item m="1" x="4673"/>
        <item m="1" x="4269"/>
        <item m="1" x="240"/>
        <item m="1" x="4145"/>
        <item m="1" x="4839"/>
        <item m="1" x="618"/>
        <item m="1" x="4139"/>
        <item m="1" x="4035"/>
        <item m="1" x="120"/>
        <item m="1" x="3768"/>
        <item m="1" x="5683"/>
        <item m="1" x="2113"/>
        <item m="1" x="4379"/>
        <item m="1" x="2792"/>
        <item m="1" x="6609"/>
        <item m="1" x="343"/>
        <item m="1" x="2225"/>
        <item m="1" x="773"/>
        <item m="1" x="7731"/>
        <item m="1" x="1394"/>
        <item m="1" x="6991"/>
        <item m="1" x="6716"/>
        <item m="1" x="4521"/>
        <item m="1" x="4822"/>
        <item m="1" x="3489"/>
        <item m="1" x="7350"/>
        <item m="1" x="7274"/>
        <item m="1" x="6918"/>
        <item m="1" x="1265"/>
        <item m="1" x="6473"/>
        <item m="1" x="2665"/>
        <item m="1" x="4861"/>
        <item m="1" x="7571"/>
        <item m="1" x="7467"/>
        <item m="1" x="6928"/>
        <item m="1" x="3484"/>
        <item m="1" x="7113"/>
        <item m="1" x="5606"/>
        <item m="1" x="6116"/>
        <item m="1" x="997"/>
        <item m="1" x="3617"/>
        <item m="1" x="6485"/>
        <item m="1" x="2541"/>
        <item m="1" x="1449"/>
        <item m="1" x="2320"/>
        <item m="1" x="6826"/>
        <item m="1" x="6358"/>
        <item m="1" x="3611"/>
        <item m="1" x="1100"/>
        <item m="1" x="3320"/>
        <item m="1" x="3795"/>
        <item m="1" x="6992"/>
        <item m="1" x="3086"/>
        <item m="1" x="305"/>
        <item m="1" x="7181"/>
        <item m="1" x="6539"/>
        <item m="1" x="7759"/>
        <item m="1" x="3927"/>
        <item m="1" x="4207"/>
        <item m="1" x="4095"/>
        <item m="1" x="2014"/>
        <item m="1" x="7554"/>
        <item m="1" x="513"/>
        <item m="1" x="6125"/>
        <item m="1" x="6956"/>
        <item m="1" x="7510"/>
        <item m="1" x="6479"/>
        <item m="1" x="4727"/>
        <item m="1" x="1555"/>
        <item m="1" x="4219"/>
        <item m="1" x="3024"/>
        <item m="1" x="931"/>
        <item m="1" x="435"/>
        <item m="1" x="4344"/>
        <item m="1" x="317"/>
        <item m="1" x="4229"/>
        <item m="1" x="204"/>
        <item m="1" x="4105"/>
        <item m="1" x="889"/>
        <item m="1" x="4784"/>
        <item m="1" x="711"/>
        <item m="1" x="565"/>
        <item m="1" x="4471"/>
        <item m="1" x="422"/>
        <item m="1" x="4333"/>
        <item m="1" x="303"/>
        <item m="1" x="4218"/>
        <item m="1" x="1039"/>
        <item m="1" x="4919"/>
        <item m="1" x="873"/>
        <item m="1" x="4767"/>
        <item m="1" x="691"/>
        <item m="1" x="4608"/>
        <item m="1" x="551"/>
        <item m="1" x="4455"/>
        <item m="1" x="413"/>
        <item m="1" x="4322"/>
        <item m="1" x="1197"/>
        <item m="1" x="5064"/>
        <item m="1" x="1023"/>
        <item m="1" x="4903"/>
        <item m="1" x="856"/>
        <item m="1" x="6595"/>
        <item m="1" x="4257"/>
        <item m="1" x="4981"/>
        <item m="1" x="4491"/>
        <item m="1" x="1408"/>
        <item m="1" x="3039"/>
        <item m="1" x="585"/>
        <item m="1" x="2422"/>
        <item m="1" x="7451"/>
        <item m="1" x="3593"/>
        <item m="1" x="7337"/>
        <item m="1" x="3469"/>
        <item m="1" x="732"/>
        <item m="1" x="4807"/>
        <item m="1" x="6946"/>
        <item m="1" x="287"/>
        <item m="1" x="5515"/>
        <item m="1" x="5684"/>
        <item m="1" x="4645"/>
        <item m="1" x="4630"/>
        <item m="1" x="5805"/>
        <item m="1" x="1150"/>
        <item m="1" x="6574"/>
        <item m="1" x="4200"/>
        <item m="1" x="4662"/>
        <item m="1" x="602"/>
        <item m="1" x="4506"/>
        <item m="1" x="455"/>
        <item m="1" x="4365"/>
        <item m="1" x="5124"/>
        <item m="1" x="5641"/>
        <item m="1" x="1061"/>
        <item m="1" x="1241"/>
        <item m="1" x="5106"/>
        <item m="1" x="4943"/>
        <item m="1" x="4738"/>
        <item m="1" x="163"/>
        <item m="1" x="5264"/>
        <item m="1" x="1125"/>
        <item m="1" x="5553"/>
        <item m="1" x="4828"/>
        <item m="1" x="910"/>
        <item m="1" x="4980"/>
        <item m="1" x="5371"/>
        <item m="1" x="7222"/>
        <item m="1" x="3209"/>
        <item m="1" x="4360"/>
        <item m="1" x="7652"/>
        <item m="1" x="4419"/>
        <item m="1" x="1082"/>
        <item m="1" x="754"/>
        <item m="1" x="5812"/>
        <item m="1" x="1551"/>
        <item m="1" x="4628"/>
        <item m="1" x="714"/>
        <item m="1" x="4787"/>
        <item m="1" x="7099"/>
        <item m="1" x="3348"/>
        <item m="1" x="6246"/>
        <item m="1" x="2326"/>
        <item m="1" x="2426"/>
        <item m="1" x="6361"/>
        <item m="1" x="6821"/>
        <item m="1" x="2912"/>
        <item m="1" x="6714"/>
        <item m="1" x="2788"/>
        <item m="1" x="6605"/>
        <item m="1" x="2551"/>
        <item m="1" x="4211"/>
        <item m="1" x="191"/>
        <item m="1" x="6712"/>
        <item m="1" x="2786"/>
        <item m="1" x="929"/>
        <item m="1" x="4881"/>
        <item m="1" x="6110"/>
        <item m="1" x="569"/>
        <item m="1" x="479"/>
        <item m="1" x="907"/>
        <item m="1" x="3282"/>
        <item m="1" x="7287"/>
        <item m="1" x="2659"/>
        <item m="1" x="5388"/>
        <item m="1" x="3817"/>
        <item m="1" x="7397"/>
        <item m="1" x="4804"/>
        <item m="1" x="3031"/>
        <item m="1" x="892"/>
        <item m="1" x="1386"/>
        <item m="1" x="3458"/>
        <item m="1" x="1153"/>
        <item m="1" x="6519"/>
        <item m="1" x="5692"/>
        <item m="1" x="4859"/>
        <item m="1" x="6472"/>
        <item m="1" x="2060"/>
        <item m="1" x="2558"/>
        <item m="1" x="7355"/>
        <item m="1" x="7653"/>
        <item m="1" x="3818"/>
        <item m="1" x="7544"/>
        <item m="1" x="7057"/>
        <item m="1" x="426"/>
        <item m="1" x="310"/>
        <item m="1" x="1470"/>
        <item m="1" x="4486"/>
        <item m="1" x="1747"/>
        <item m="1" x="4335"/>
        <item m="1" x="557"/>
        <item m="1" x="7791"/>
        <item m="1" x="6365"/>
        <item m="1" x="3397"/>
        <item m="1" x="6424"/>
        <item m="1" x="5221"/>
        <item m="1" x="75"/>
        <item m="1" x="6597"/>
        <item m="1" x="309"/>
        <item m="1" x="3455"/>
        <item m="1" x="3906"/>
        <item m="1" x="3482"/>
        <item m="1" x="1278"/>
        <item m="1" x="3761"/>
        <item m="1" x="5795"/>
        <item m="1" x="7324"/>
        <item m="1" x="1200"/>
        <item m="1" x="7410"/>
        <item m="1" x="5159"/>
        <item m="1" x="2910"/>
        <item m="1" x="1407"/>
        <item m="1" x="703"/>
        <item m="1" x="1497"/>
        <item m="1" x="6914"/>
        <item m="1" x="7210"/>
        <item m="1" x="1804"/>
        <item m="1" x="5104"/>
        <item m="1" x="3335"/>
        <item m="1" x="2785"/>
        <item m="1" x="3770"/>
        <item m="1" x="5900"/>
        <item m="1" x="4826"/>
        <item m="1" x="751"/>
        <item m="1" x="4659"/>
        <item m="1" x="3551"/>
        <item m="1" x="1058"/>
        <item m="1" x="4940"/>
        <item m="1" x="663"/>
        <item m="1" x="4617"/>
        <item m="1" x="450"/>
        <item m="1" x="4502"/>
        <item m="1" x="6593"/>
        <item m="1" x="5801"/>
        <item m="1" x="888"/>
        <item m="1" x="709"/>
        <item m="1" x="6030"/>
        <item m="1" x="270"/>
        <item m="1" x="3269"/>
        <item m="1" x="5242"/>
        <item m="1" x="1219"/>
        <item m="1" x="5085"/>
        <item m="1" x="1042"/>
        <item m="1" x="4922"/>
        <item m="1" x="876"/>
        <item m="1" x="4770"/>
        <item m="1" x="1678"/>
        <item m="1" x="1533"/>
        <item m="1" x="1026"/>
        <item m="1" x="4906"/>
        <item m="1" x="5387"/>
        <item m="1" x="1661"/>
        <item m="1" x="2132"/>
        <item m="1" x="3959"/>
        <item m="1" x="5942"/>
        <item m="1" x="7690"/>
        <item m="1" x="2008"/>
        <item m="1" x="3860"/>
        <item m="1" x="5823"/>
        <item m="1" x="5278"/>
        <item m="1" x="5322"/>
        <item m="1" x="1390"/>
        <item m="1" x="1456"/>
        <item m="1" x="5082"/>
        <item m="1" x="1216"/>
        <item m="1" x="152"/>
        <item m="1" x="2245"/>
        <item m="1" x="7488"/>
        <item m="1" x="1750"/>
        <item m="1" x="3633"/>
        <item m="1" x="5582"/>
        <item m="1" x="7383"/>
        <item m="1" x="1613"/>
        <item m="1" x="3520"/>
        <item m="1" x="5827"/>
        <item m="1" x="7590"/>
        <item m="1" x="1034"/>
        <item m="1" x="1388"/>
        <item m="1" x="6817"/>
        <item m="1" x="4641"/>
        <item m="1" x="7221"/>
        <item m="1" x="5750"/>
        <item m="1" x="1038"/>
        <item m="1" x="1550"/>
        <item m="1" x="5200"/>
        <item m="1" x="1739"/>
        <item m="1" x="3767"/>
        <item m="1" x="6468"/>
        <item m="1" x="4874"/>
        <item m="1" x="3312"/>
        <item m="1" x="4765"/>
        <item m="1" x="4578"/>
        <item m="1" x="5576"/>
        <item m="1" x="5752"/>
        <item m="1" x="3051"/>
        <item m="1" x="5514"/>
        <item m="1" x="2914"/>
        <item m="1" x="4020"/>
        <item m="1" x="3801"/>
        <item m="1" x="7638"/>
        <item m="1" x="3803"/>
        <item m="1" x="1677"/>
        <item m="1" x="446"/>
        <item m="1" x="3918"/>
        <item m="1" x="7640"/>
        <item m="1" x="7744"/>
        <item m="1" x="520"/>
        <item m="1" x="2908"/>
        <item m="1" x="5565"/>
        <item m="1" x="62"/>
        <item m="1" x="1457"/>
        <item m="1" x="3170"/>
        <item m="1" x="6942"/>
        <item m="1" x="2308"/>
        <item m="1" x="2209"/>
        <item m="1" x="2321"/>
        <item m="1" x="575"/>
        <item m="1" x="4124"/>
        <item m="1" x="108"/>
        <item m="1" x="5015"/>
        <item m="1" x="5184"/>
        <item m="1" x="6045"/>
        <item m="1" x="2229"/>
        <item m="1" x="1531"/>
        <item m="1" x="1715"/>
        <item m="1" x="5369"/>
        <item m="1" x="695"/>
        <item m="1" x="6994"/>
        <item m="1" x="130"/>
        <item m="1" x="5169"/>
        <item m="1" x="2096"/>
        <item m="1" x="1410"/>
        <item m="1" x="6947"/>
        <item m="1" x="594"/>
        <item m="1" x="1303"/>
        <item m="1" x="3044"/>
        <item m="1" x="6188"/>
        <item m="1" x="5259"/>
        <item m="1" x="3483"/>
        <item m="1" x="553"/>
        <item m="1" x="5161"/>
        <item m="1" x="1191"/>
        <item m="1" x="4304"/>
        <item m="1" x="4569"/>
        <item m="1" x="4458"/>
        <item m="1" x="4111"/>
        <item m="1" x="210"/>
        <item m="1" x="7734"/>
        <item m="1" x="101"/>
        <item m="1" x="4011"/>
        <item m="1" x="3907"/>
        <item m="1" x="2812"/>
        <item m="1" x="345"/>
        <item m="1" x="491"/>
        <item m="1" x="2012"/>
        <item m="1" x="1920"/>
        <item m="1" x="1203"/>
        <item m="1" x="598"/>
        <item m="1" x="4756"/>
        <item m="1" x="4597"/>
        <item m="1" x="1351"/>
        <item m="1" x="5203"/>
        <item m="1" x="1185"/>
        <item m="1" x="1008"/>
        <item m="1" x="846"/>
        <item m="1" x="4740"/>
        <item m="1" x="1260"/>
        <item m="1" x="6812"/>
        <item m="1" x="6295"/>
        <item m="1" x="5123"/>
        <item m="1" x="4962"/>
        <item m="1" x="7490"/>
        <item m="1" x="7661"/>
        <item m="1" x="5263"/>
        <item m="1" x="1239"/>
        <item m="1" x="5067"/>
        <item m="1" x="4783"/>
        <item m="1" x="4623"/>
        <item m="1" x="5420"/>
        <item m="1" x="406"/>
        <item m="1" x="1336"/>
        <item m="1" x="5188"/>
        <item m="1" x="1170"/>
        <item m="1" x="5036"/>
        <item m="1" x="995"/>
        <item m="1" x="221"/>
        <item m="1" x="4249"/>
        <item m="1" x="5497"/>
        <item m="1" x="1512"/>
        <item m="1" x="5351"/>
        <item m="1" x="1349"/>
        <item m="1" x="336"/>
        <item m="1" x="3696"/>
        <item m="1" x="3154"/>
        <item m="1" x="871"/>
        <item m="1" x="4918"/>
        <item m="1" x="5048"/>
        <item m="1" x="1182"/>
        <item m="1" x="1923"/>
        <item m="1" x="7503"/>
        <item m="1" x="1787"/>
        <item m="1" x="5626"/>
        <item m="1" x="1642"/>
        <item m="1" x="5481"/>
        <item m="1" x="1333"/>
        <item m="1" x="540"/>
        <item m="1" x="1487"/>
        <item m="1" x="5335"/>
        <item m="1" x="5860"/>
        <item m="1" x="4882"/>
        <item m="1" x="1772"/>
        <item m="1" x="5609"/>
        <item m="1" x="1628"/>
        <item m="1" x="5467"/>
        <item m="1" x="1477"/>
        <item m="1" x="1908"/>
        <item m="1" x="5733"/>
        <item m="1" x="985"/>
        <item m="1" x="1768"/>
        <item m="1" x="5602"/>
        <item m="1" x="1624"/>
        <item m="1" x="1322"/>
        <item m="1" x="1475"/>
        <item m="1" x="5459"/>
        <item m="1" x="5321"/>
        <item m="1" x="1111"/>
        <item m="1" x="3372"/>
        <item m="1" x="7129"/>
        <item m="1" x="3244"/>
        <item m="1" x="7004"/>
        <item m="1" x="3101"/>
        <item m="1" x="6873"/>
        <item m="1" x="2961"/>
        <item m="1" x="6742"/>
        <item m="1" x="4045"/>
        <item m="1" x="4356"/>
        <item m="1" x="322"/>
        <item m="1" x="5175"/>
        <item m="1" x="1162"/>
        <item m="1" x="5029"/>
        <item m="1" x="2776"/>
        <item m="1" x="2221"/>
        <item m="1" x="4235"/>
        <item m="1" x="1876"/>
        <item m="1" x="3459"/>
        <item m="1" x="5062"/>
        <item m="1" x="1803"/>
        <item m="1" x="1021"/>
        <item m="1" x="5218"/>
        <item m="1" x="2739"/>
        <item m="1" x="1979"/>
        <item m="1" x="6552"/>
        <item m="1" x="1195"/>
        <item m="1" x="1022"/>
        <item m="1" x="2765"/>
        <item m="1" x="5619"/>
        <item m="1" x="1361"/>
        <item m="1" x="5213"/>
        <item m="1" x="4902"/>
        <item m="1" x="1983"/>
        <item m="1" x="6586"/>
        <item m="1" x="1364"/>
        <item m="1" x="5368"/>
        <item m="1" x="827"/>
        <item m="1" x="1196"/>
        <item m="1" x="2711"/>
        <item m="1" x="2673"/>
        <item m="1" x="5217"/>
        <item m="1" x="1365"/>
        <item m="1" x="6746"/>
        <item m="1" x="2824"/>
        <item m="1" x="2545"/>
        <item m="1" x="3308"/>
        <item m="1" x="1658"/>
        <item m="1" x="855"/>
        <item m="1" x="4749"/>
        <item m="1" x="5495"/>
        <item m="1" x="3935"/>
        <item m="1" x="4901"/>
        <item m="1" x="6575"/>
        <item m="1" x="5695"/>
        <item m="1" x="5607"/>
        <item m="1" x="571"/>
        <item m="1" x="7087"/>
        <item m="1" x="6838"/>
        <item m="1" x="859"/>
        <item m="1" x="3064"/>
        <item m="1" x="7716"/>
        <item m="1" x="7305"/>
        <item m="1" x="6844"/>
        <item m="1" x="6385"/>
        <item m="1" x="5949"/>
        <item m="1" x="5454"/>
        <item m="1" x="4883"/>
        <item m="1" x="1608"/>
        <item m="1" x="983"/>
        <item m="1" x="2639"/>
        <item m="1" x="6453"/>
        <item m="1" x="2271"/>
        <item m="1" x="3901"/>
        <item m="1" x="5816"/>
        <item m="1" x="1298"/>
        <item m="1" x="6706"/>
        <item m="1" x="2523"/>
        <item m="1" x="7336"/>
        <item m="1" x="7606"/>
        <item m="1" x="4753"/>
        <item m="1" x="6728"/>
        <item m="1" x="2658"/>
        <item m="1" x="6226"/>
        <item m="1" x="2407"/>
        <item m="1" x="1508"/>
        <item m="1" x="5348"/>
        <item m="1" x="1345"/>
        <item m="1" x="5196"/>
        <item m="1" x="3665"/>
        <item m="1" x="2663"/>
        <item m="1" x="2773"/>
        <item m="1" x="3446"/>
        <item m="1" x="7311"/>
        <item m="1" x="7204"/>
        <item m="1" x="5045"/>
        <item m="1" x="808"/>
        <item m="1" x="1732"/>
        <item m="1" x="209"/>
        <item m="1" x="6332"/>
        <item m="1" x="1179"/>
        <item m="1" x="1002"/>
        <item m="1" x="2757"/>
        <item m="1" x="6833"/>
        <item m="1" x="3057"/>
        <item m="1" x="3188"/>
        <item m="1" x="2398"/>
        <item m="1" x="3944"/>
        <item m="1" x="1883"/>
        <item m="1" x="6934"/>
        <item m="1" x="576"/>
        <item m="1" x="6211"/>
        <item m="1" x="2294"/>
        <item m="1" x="2832"/>
        <item m="1" x="231"/>
        <item m="1" x="405"/>
        <item m="1" x="6801"/>
        <item m="1" x="2416"/>
        <item m="1" x="2945"/>
        <item m="1" x="4423"/>
        <item m="1" x="2890"/>
        <item m="1" x="6858"/>
        <item m="1" x="847"/>
        <item m="1" x="727"/>
        <item m="1" x="4803"/>
        <item m="1" x="4658"/>
        <item m="1" x="1897"/>
        <item m="1" x="5754"/>
        <item m="1" x="5260"/>
        <item m="1" x="6686"/>
        <item m="1" x="2139"/>
        <item m="1" x="6364"/>
        <item m="1" x="6439"/>
        <item m="1" x="2629"/>
        <item m="1" x="2507"/>
        <item m="1" x="6567"/>
        <item m="1" x="3470"/>
        <item m="1" x="6813"/>
        <item m="1" x="7453"/>
        <item m="1" x="4518"/>
        <item m="1" x="4671"/>
        <item m="1" x="2755"/>
        <item m="1" x="5803"/>
        <item m="1" x="4123"/>
        <item m="1" x="6500"/>
        <item m="1" x="3010"/>
        <item m="1" x="6919"/>
        <item m="1" x="2390"/>
        <item m="1" x="6320"/>
        <item m="1" x="2519"/>
        <item m="1" x="2877"/>
        <item m="1" x="6137"/>
        <item m="1" x="7613"/>
        <item m="1" x="3028"/>
        <item m="1" x="4939"/>
        <item m="1" x="4889"/>
        <item m="1" x="1784"/>
        <item m="1" x="5623"/>
        <item m="1" x="1639"/>
        <item m="1" x="6687"/>
        <item m="1" x="2740"/>
        <item m="1" x="2435"/>
        <item m="1" x="6553"/>
        <item m="1" x="6269"/>
        <item m="1" x="562"/>
        <item m="1" x="1244"/>
        <item m="1" x="3756"/>
        <item m="1" x="2927"/>
        <item m="1" x="6470"/>
        <item m="1" x="2616"/>
        <item m="1" x="6427"/>
        <item m="1" x="4238"/>
        <item m="1" x="7308"/>
        <item m="1" x="3442"/>
        <item m="1" x="3114"/>
        <item m="1" x="4737"/>
        <item m="1" x="1297"/>
        <item m="1" x="2928"/>
        <item m="1" x="1882"/>
        <item m="1" x="4062"/>
        <item m="1" x="3131"/>
        <item m="1" x="7424"/>
        <item m="1" x="7641"/>
        <item m="1" x="7533"/>
        <item m="1" x="3567"/>
        <item m="1" x="3682"/>
        <item m="1" x="6540"/>
        <item m="1" x="7442"/>
        <item m="1" x="6782"/>
        <item m="1" x="2269"/>
        <item m="1" x="3200"/>
        <item m="1" x="2861"/>
        <item m="1" x="2726"/>
        <item m="1" x="7250"/>
        <item m="1" x="7548"/>
        <item m="1" x="6375"/>
        <item m="1" x="100"/>
        <item m="1" x="1060"/>
        <item m="1" x="5105"/>
        <item m="1" x="396"/>
        <item m="1" x="3804"/>
        <item m="1" x="6672"/>
        <item m="1" x="219"/>
        <item m="1" x="5696"/>
        <item m="1" x="3336"/>
        <item m="1" x="7212"/>
        <item m="1" x="6903"/>
        <item m="1" x="977"/>
        <item m="1" x="5338"/>
        <item m="1" x="1168"/>
        <item m="1" x="1290"/>
        <item m="1" x="7085"/>
        <item m="1" x="377"/>
        <item m="1" x="518"/>
        <item m="1" x="2489"/>
        <item m="1" x="5924"/>
        <item m="1" x="6348"/>
        <item m="1" x="2994"/>
        <item m="1" x="6483"/>
        <item m="1" x="7201"/>
        <item m="1" x="4498"/>
        <item m="1" x="2556"/>
        <item m="1" x="3700"/>
        <item m="1" x="952"/>
        <item m="1" x="3930"/>
        <item m="1" x="5193"/>
        <item m="1" x="443"/>
        <item m="1" x="3582"/>
        <item m="1" x="326"/>
        <item m="1" x="2603"/>
        <item m="1" x="2662"/>
        <item m="1" x="6926"/>
        <item m="1" x="2554"/>
        <item m="1" x="7576"/>
        <item m="1" x="7100"/>
        <item m="1" x="3210"/>
        <item m="1" x="6980"/>
        <item m="1" x="3071"/>
        <item m="1" x="7545"/>
        <item m="1" x="3697"/>
        <item m="1" x="7439"/>
        <item m="1" x="3579"/>
        <item m="1" x="7325"/>
        <item m="1" x="3456"/>
        <item m="1" x="4115"/>
        <item m="1" x="7180"/>
        <item m="1" x="3657"/>
        <item m="1" x="2427"/>
        <item m="1" x="1975"/>
        <item m="1" x="3291"/>
        <item m="1" x="7486"/>
        <item m="1" x="1989"/>
        <item m="1" x="5534"/>
        <item m="1" x="225"/>
        <item m="1" x="4128"/>
        <item m="1" x="112"/>
        <item m="1" x="4024"/>
        <item m="1" x="7748"/>
        <item m="1" x="3922"/>
        <item m="1" x="7644"/>
        <item m="1" x="3807"/>
        <item m="1" x="7536"/>
        <item m="1" x="3309"/>
        <item m="1" x="3166"/>
        <item m="1" x="1144"/>
        <item m="1" x="2700"/>
        <item m="1" x="7541"/>
        <item m="1" x="4469"/>
        <item m="1" x="4285"/>
        <item m="1" x="4627"/>
        <item m="1" x="7309"/>
        <item m="1" x="3444"/>
        <item m="1" x="7203"/>
        <item m="1" x="3328"/>
        <item m="1" x="7142"/>
        <item m="1" x="4038"/>
        <item m="1" x="4014"/>
        <item m="1" x="7737"/>
        <item m="1" x="5187"/>
        <item m="1" x="1316"/>
        <item m="1" x="7407"/>
        <item m="1" x="7052"/>
        <item m="1" x="5724"/>
        <item m="1" x="7422"/>
        <item m="1" x="420"/>
        <item m="1" x="3790"/>
        <item m="1" x="4331"/>
        <item m="1" x="2425"/>
        <item m="1" x="5817"/>
        <item m="1" x="4582"/>
        <item m="1" x="6889"/>
        <item m="1" x="3904"/>
        <item m="1" x="4234"/>
        <item m="1" x="3151"/>
        <item m="1" x="87"/>
        <item m="1" x="315"/>
        <item m="1" x="3056"/>
        <item m="1" x="3750"/>
        <item m="1" x="4103"/>
        <item m="1" x="5826"/>
        <item m="1" x="1765"/>
        <item m="1" x="6000"/>
        <item m="1" x="5167"/>
        <item m="1" x="512"/>
        <item m="1" x="193"/>
        <item m="1" x="3418"/>
        <item m="1" x="202"/>
        <item m="1" x="822"/>
        <item m="1" x="498"/>
        <item m="1" x="5586"/>
        <item m="1" x="433"/>
        <item m="1" x="5445"/>
        <item m="1" x="2544"/>
        <item m="1" x="5822"/>
        <item m="1" x="301"/>
        <item m="1" x="4342"/>
        <item m="1" x="4227"/>
        <item m="1" x="3415"/>
        <item m="1" x="2223"/>
        <item m="1" x="4317"/>
        <item m="1" x="7487"/>
        <item m="1" x="1749"/>
        <item m="1" x="807"/>
        <item m="1" x="4093"/>
        <item m="1" x="2784"/>
        <item m="1" x="6982"/>
        <item m="1" x="5625"/>
        <item m="1" x="4239"/>
        <item m="1" x="3910"/>
        <item m="1" x="7632"/>
        <item m="1" x="563"/>
        <item m="1" x="4593"/>
        <item m="1" x="6140"/>
        <item m="1" x="1489"/>
        <item m="1" x="5034"/>
        <item m="1" x="5334"/>
        <item m="1" x="3993"/>
        <item m="1" x="7587"/>
        <item m="1" x="5337"/>
        <item m="1" x="4706"/>
        <item m="1" x="2924"/>
        <item m="1" x="5780"/>
        <item m="1" x="3541"/>
        <item m="1" x="2115"/>
        <item m="1" x="2125"/>
        <item m="1" x="4046"/>
        <item m="1" x="3685"/>
        <item m="1" x="4002"/>
        <item m="1" x="3711"/>
        <item m="1" x="4291"/>
        <item m="1" x="139"/>
        <item m="1" x="6052"/>
        <item m="1" x="7572"/>
        <item m="1" x="7341"/>
        <item m="1" x="2959"/>
        <item m="1" x="2236"/>
        <item m="1" x="1820"/>
        <item m="1" x="1138"/>
        <item m="1" x="6148"/>
        <item m="1" x="4998"/>
        <item m="1" x="4876"/>
        <item m="1" x="838"/>
        <item m="1" x="5700"/>
        <item m="1" x="1045"/>
        <item m="1" x="2341"/>
        <item m="1" x="1334"/>
        <item m="1" x="1258"/>
        <item m="1" x="2809"/>
        <item m="1" x="78"/>
        <item m="1" x="4869"/>
        <item m="1" x="385"/>
        <item m="1" x="2898"/>
        <item m="1" x="2338"/>
        <item m="1" x="3627"/>
        <item m="1" x="286"/>
        <item m="1" x="3290"/>
        <item m="1" x="4842"/>
        <item m="1" x="3018"/>
        <item m="1" x="6053"/>
        <item m="1" x="1310"/>
        <item m="1" x="669"/>
        <item m="1" x="5594"/>
        <item m="1" x="1617"/>
        <item m="1" x="7749"/>
        <item m="1" x="1112"/>
        <item m="1" x="6932"/>
        <item m="1" x="5185"/>
        <item m="1" x="414"/>
        <item m="1" x="6253"/>
        <item m="1" x="5757"/>
        <item m="1" x="4864"/>
        <item m="1" x="1537"/>
        <item m="1" x="5559"/>
        <item m="1" x="466"/>
        <item m="1" x="3117"/>
        <item m="1" x="969"/>
        <item m="1" x="2389"/>
        <item m="1" x="1199"/>
        <item m="1" x="5066"/>
        <item m="1" x="3634"/>
        <item m="1" x="6504"/>
        <item m="1" x="3734"/>
        <item m="1" x="7187"/>
        <item m="1" x="6950"/>
        <item m="1" x="3532"/>
        <item m="1" x="3962"/>
        <item m="1" x="5790"/>
        <item m="1" x="1496"/>
        <item m="1" x="1660"/>
        <item m="1" x="5450"/>
        <item m="1" x="6384"/>
        <item m="1" x="4019"/>
        <item m="1" x="7411"/>
        <item m="1" x="3948"/>
        <item m="1" x="5789"/>
        <item m="1" x="3883"/>
        <item m="1" x="1837"/>
        <item m="1" x="4525"/>
        <item m="1" x="2361"/>
        <item m="1" x="7279"/>
        <item m="1" x="3862"/>
        <item m="1" x="756"/>
        <item m="1" x="1128"/>
        <item m="1" x="3669"/>
        <item m="1" x="7775"/>
        <item m="1" x="7070"/>
        <item m="1" x="6587"/>
        <item m="1" x="539"/>
        <item m="1" x="2226"/>
        <item m="1" x="6242"/>
        <item m="1" x="667"/>
        <item m="1" x="3185"/>
        <item m="1" x="866"/>
        <item m="1" x="884"/>
        <item m="1" x="4375"/>
        <item m="1" x="4008"/>
        <item m="1" x="1966"/>
        <item m="1" x="1237"/>
        <item m="1" x="7293"/>
        <item m="1" x="7162"/>
        <item m="1" x="1692"/>
        <item m="1" x="1972"/>
        <item m="1" x="167"/>
        <item m="1" x="7352"/>
        <item m="1" x="7461"/>
        <item m="1" x="3916"/>
        <item m="1" x="445"/>
        <item m="1" x="251"/>
        <item m="1" x="1324"/>
        <item m="1" x="7645"/>
        <item m="1" x="4240"/>
        <item m="1" x="564"/>
        <item m="1" x="3544"/>
        <item m="1" x="7238"/>
        <item m="1" x="3486"/>
        <item m="1" x="7351"/>
        <item m="1" x="2834"/>
        <item m="1" x="6755"/>
        <item m="1" x="4376"/>
        <item m="1" x="6477"/>
        <item m="1" x="7115"/>
        <item m="1" x="3360"/>
        <item m="1" x="3642"/>
        <item m="1" x="3088"/>
        <item m="1" x="3558"/>
        <item m="1" x="7114"/>
        <item m="1" x="2438"/>
        <item m="1" x="3226"/>
        <item m="1" x="860"/>
        <item m="1" x="484"/>
        <item m="1" x="3082"/>
        <item m="1" x="1367"/>
        <item m="1" x="780"/>
        <item m="1" x="1956"/>
        <item m="1" x="3227"/>
        <item m="1" x="3087"/>
        <item m="1" x="5751"/>
        <item m="1" x="3663"/>
        <item m="1" x="684"/>
        <item m="1" x="1103"/>
        <item m="1" x="184"/>
        <item m="1" x="2120"/>
        <item m="1" x="339"/>
        <item m="1" x="6993"/>
        <item m="1" x="3403"/>
        <item m="1" x="5214"/>
        <item m="1" x="7386"/>
        <item m="1" x="1429"/>
        <item m="1" x="3181"/>
        <item m="1" x="3529"/>
        <item m="1" x="2859"/>
        <item m="1" x="988"/>
        <item m="1" x="1770"/>
        <item m="1" x="4444"/>
        <item m="1" x="1257"/>
        <item m="1" x="516"/>
        <item m="1" x="7454"/>
        <item m="1" x="4252"/>
        <item m="1" x="224"/>
        <item m="1" x="3595"/>
        <item m="1" x="7338"/>
        <item m="1" x="3709"/>
        <item m="1" x="928"/>
        <item m="1" x="5238"/>
        <item m="1" x="3596"/>
        <item m="1" x="7277"/>
        <item m="1" x="6936"/>
        <item m="1" x="2374"/>
        <item m="1" x="3400"/>
        <item m="1" x="5656"/>
        <item m="1" x="4157"/>
        <item m="1" x="3471"/>
        <item m="1" x="7224"/>
        <item m="1" x="3349"/>
        <item m="1" x="7053"/>
        <item m="1" x="2205"/>
        <item m="1" x="7635"/>
        <item m="1" x="1706"/>
        <item m="1" x="7223"/>
        <item m="1" x="7334"/>
        <item m="1" x="7360"/>
        <item m="1" x="4752"/>
        <item m="1" x="7319"/>
        <item m="1" x="6614"/>
        <item m="1" x="1181"/>
        <item m="1" x="1729"/>
        <item m="1" x="3683"/>
        <item m="1" x="7213"/>
        <item m="1" x="7642"/>
        <item m="1" x="3920"/>
        <item m="1" x="3337"/>
        <item m="1" x="3325"/>
        <item m="1" x="1467"/>
        <item m="1" x="3519"/>
        <item m="1" x="7655"/>
        <item m="1" x="3820"/>
        <item m="1" x="7746"/>
        <item m="1" x="7546"/>
        <item m="1" x="1143"/>
        <item m="1" x="7534"/>
        <item m="1" x="7706"/>
        <item m="1" x="7010"/>
        <item m="1" x="4059"/>
        <item m="1" x="1596"/>
        <item m="1" x="5735"/>
        <item m="1" x="3805"/>
        <item m="1" x="1641"/>
        <item m="1" x="7724"/>
        <item m="1" x="7401"/>
        <item m="1" x="3773"/>
        <item m="1" x="4850"/>
        <item m="1" x="3868"/>
        <item m="1" x="2084"/>
        <item m="1" x="7501"/>
        <item m="1" x="5177"/>
        <item m="1" x="3698"/>
        <item m="1" x="3580"/>
        <item m="1" x="7440"/>
        <item m="1" x="4780"/>
        <item m="1" x="706"/>
        <item m="1" x="1529"/>
        <item m="1" x="6816"/>
        <item m="1" x="418"/>
        <item m="1" x="5316"/>
        <item m="1" x="7614"/>
        <item m="1" x="5703"/>
        <item m="1" x="3568"/>
        <item m="1" x="3641"/>
        <item m="1" x="4604"/>
        <item m="1" x="687"/>
        <item m="1" x="4762"/>
        <item m="1" x="868"/>
        <item m="1" x="4915"/>
        <item m="1" x="1035"/>
        <item m="1" x="4215"/>
        <item m="1" x="300"/>
        <item m="1" x="4329"/>
        <item m="1" x="7651"/>
        <item m="1" x="2905"/>
        <item m="1" x="3401"/>
        <item m="1" x="7390"/>
        <item m="1" x="548"/>
        <item m="1" x="4452"/>
        <item m="1" x="4320"/>
        <item m="1" x="750"/>
        <item m="1" x="5821"/>
        <item m="1" x="1626"/>
        <item m="1" x="4743"/>
        <item m="1" x="2038"/>
        <item m="1" x="5170"/>
        <item m="1" x="483"/>
        <item m="1" x="6068"/>
        <item m="1" x="6717"/>
        <item m="1" x="6949"/>
        <item m="1" x="6264"/>
        <item m="1" x="3527"/>
        <item m="1" x="7630"/>
        <item m="1" x="7521"/>
        <item m="1" x="2571"/>
        <item m="1" x="5461"/>
        <item m="1" x="4552"/>
        <item m="1" x="5308"/>
        <item m="1" x="2614"/>
        <item m="1" x="7416"/>
        <item m="1" x="3673"/>
        <item m="1" x="935"/>
        <item m="1" x="3021"/>
        <item m="1" x="254"/>
        <item m="1" x="3316"/>
        <item m="1" x="2678"/>
        <item m="1" x="1904"/>
        <item m="1" x="2789"/>
        <item m="1" x="504"/>
        <item m="1" x="452"/>
        <item m="1" x="4503"/>
        <item m="1" x="7381"/>
        <item m="1" x="3559"/>
        <item m="1" x="409"/>
        <item m="1" x="1146"/>
        <item m="1" x="4302"/>
        <item m="1" x="7498"/>
        <item m="1" x="7691"/>
        <item m="1" x="2535"/>
        <item m="1" x="1620"/>
        <item m="1" x="1136"/>
        <item m="1" x="4117"/>
        <item m="1" x="275"/>
        <item m="1" x="4077"/>
        <item m="1" x="4241"/>
        <item m="1" x="5101"/>
        <item m="1" x="3163"/>
        <item m="1" x="4625"/>
        <item m="1" x="2395"/>
        <item m="1" x="3156"/>
        <item m="1" x="3636"/>
        <item m="1" x="3639"/>
        <item m="1" x="1315"/>
        <item m="1" x="5329"/>
        <item m="1" x="672"/>
        <item m="1" x="6482"/>
        <item m="1" x="6601"/>
        <item m="1" x="5599"/>
        <item m="1" x="7377"/>
        <item m="1" x="6011"/>
        <item m="1" x="3404"/>
        <item m="1" x="7387"/>
        <item m="1" x="4937"/>
        <item m="1" x="4434"/>
        <item m="1" x="849"/>
        <item m="1" x="216"/>
        <item m="1" x="106"/>
        <item m="1" x="4016"/>
        <item m="1" x="729"/>
        <item m="1" x="4642"/>
        <item m="1" x="4488"/>
        <item m="1" x="582"/>
        <item m="1" x="1000"/>
        <item m="1" x="4742"/>
        <item m="1" x="6187"/>
        <item m="1" x="5706"/>
        <item m="1" x="5032"/>
        <item m="1" x="991"/>
        <item m="1" x="4390"/>
        <item m="1" x="5962"/>
        <item m="1" x="3499"/>
        <item m="1" x="5331"/>
        <item m="1" x="4879"/>
        <item m="1" x="4265"/>
        <item m="1" x="1015"/>
        <item m="1" x="4180"/>
        <item m="1" x="214"/>
        <item m="1" x="5574"/>
        <item m="1" x="5416"/>
        <item m="1" x="1436"/>
        <item m="1" x="1277"/>
        <item m="1" x="5289"/>
        <item m="1" x="5137"/>
        <item m="1" x="1098"/>
        <item m="1" x="4977"/>
        <item m="1" x="925"/>
        <item m="1" x="4821"/>
        <item m="1" x="1711"/>
        <item m="1" x="5547"/>
        <item m="1" x="1582"/>
        <item m="1" x="5277"/>
        <item m="1" x="1255"/>
        <item m="1" x="5121"/>
        <item m="1" x="1079"/>
        <item m="1" x="4957"/>
        <item m="1" x="1844"/>
        <item m="1" x="5670"/>
        <item m="1" x="1704"/>
        <item m="1" x="5411"/>
        <item m="1" x="5542"/>
        <item m="1" x="1570"/>
        <item m="1" x="5400"/>
        <item m="1" x="1406"/>
        <item m="1" x="597"/>
        <item m="1" x="5309"/>
        <item m="1" x="4071"/>
        <item m="1" x="7597"/>
        <item m="1" x="374"/>
        <item m="1" x="2108"/>
        <item m="1" x="3408"/>
        <item m="1" x="5815"/>
        <item m="1" x="5127"/>
        <item m="1" x="1895"/>
        <item m="1" x="3390"/>
        <item m="1" x="5798"/>
        <item m="1" x="5720"/>
        <item m="1" x="6347"/>
        <item m="1" x="6012"/>
        <item m="1" x="1184"/>
        <item m="1" x="3879"/>
        <item m="1" x="1422"/>
        <item m="1" x="2564"/>
        <item m="1" x="7760"/>
        <item m="1" x="3928"/>
        <item m="1" x="614"/>
        <item m="1" x="4517"/>
        <item m="1" x="465"/>
        <item m="1" x="7494"/>
        <item m="1" x="4374"/>
        <item m="1" x="162"/>
        <item m="1" x="4075"/>
        <item m="1" x="1583"/>
        <item m="1" x="1757"/>
        <item m="1" x="212"/>
        <item m="1" x="4500"/>
        <item m="1" x="448"/>
        <item m="1" x="4358"/>
        <item m="1" x="679"/>
        <item m="1" x="5080"/>
        <item m="1" x="869"/>
        <item m="1" x="4916"/>
        <item m="1" x="1036"/>
        <item m="1" x="688"/>
        <item m="1" x="1194"/>
        <item m="1" x="4735"/>
        <item m="1" x="5604"/>
        <item m="1" x="674"/>
        <item m="1" x="5590"/>
        <item m="1" x="4763"/>
        <item m="1" x="1363"/>
        <item m="1" x="4453"/>
        <item m="1" x="5216"/>
        <item m="1" x="4605"/>
        <item m="1" x="549"/>
        <item m="1" x="5061"/>
        <item m="1" x="325"/>
        <item m="1" x="4359"/>
        <item m="1" x="449"/>
        <item m="1" x="5988"/>
        <item m="1" x="6780"/>
        <item m="1" x="7696"/>
        <item m="1" x="2802"/>
        <item m="1" x="1312"/>
        <item m="1" x="3759"/>
        <item m="1" x="1385"/>
        <item m="1" x="5828"/>
        <item m="1" x="3084"/>
        <item m="1" x="5012"/>
        <item m="1" x="6700"/>
        <item m="1" x="2756"/>
        <item m="1" x="6568"/>
        <item m="1" x="2630"/>
        <item m="1" x="6440"/>
        <item m="1" x="2508"/>
        <item m="1" x="7041"/>
        <item m="1" x="3142"/>
        <item m="1" x="6920"/>
        <item m="1" x="3011"/>
        <item m="1" x="6794"/>
        <item m="1" x="2741"/>
        <item m="1" x="6554"/>
        <item m="1" x="2617"/>
        <item m="1" x="7152"/>
        <item m="1" x="3271"/>
        <item m="1" x="7033"/>
        <item m="1" x="5758"/>
        <item m="1" x="3132"/>
        <item m="1" x="6793"/>
        <item m="1" x="6904"/>
        <item m="1" x="2542"/>
        <item m="1" x="2995"/>
        <item m="1" x="5939"/>
        <item m="1" x="3293"/>
        <item m="1" x="843"/>
        <item m="1" x="1507"/>
        <item m="1" x="5347"/>
        <item m="1" x="678"/>
        <item m="1" x="4592"/>
        <item m="1" x="854"/>
        <item m="1" x="4748"/>
        <item m="1" x="1020"/>
        <item m="1" x="4900"/>
        <item m="1" x="1344"/>
        <item m="1" x="5195"/>
        <item m="1" x="5044"/>
        <item m="1" x="1178"/>
        <item m="1" x="1001"/>
        <item m="1" x="4888"/>
        <item m="1" x="4237"/>
        <item m="1" x="4113"/>
        <item m="1" x="905"/>
        <item m="1" x="2302"/>
        <item m="1" x="615"/>
        <item m="1" x="419"/>
        <item m="1" x="4330"/>
        <item m="1" x="1214"/>
        <item m="1" x="4621"/>
        <item m="1" x="4467"/>
        <item m="1" x="561"/>
        <item m="1" x="4781"/>
        <item m="1" x="707"/>
        <item m="1" x="1056"/>
        <item m="1" x="4938"/>
        <item m="1" x="886"/>
        <item m="1" x="4226"/>
        <item m="1" x="314"/>
        <item m="1" x="4340"/>
        <item m="1" x="578"/>
        <item m="1" x="431"/>
        <item m="1" x="4484"/>
        <item m="1" x="4639"/>
        <item m="1" x="726"/>
        <item m="1" x="4802"/>
        <item m="1" x="2414"/>
        <item m="1" x="4825"/>
        <item m="1" x="1638"/>
        <item m="1" x="5033"/>
        <item m="1" x="7048"/>
        <item m="1" x="1329"/>
        <item m="1" x="5332"/>
        <item m="1" x="5478"/>
        <item m="1" x="820"/>
        <item m="1" x="3975"/>
        <item m="1" x="2932"/>
        <item m="1" x="5463"/>
        <item m="1" x="4127"/>
        <item m="1" x="4431"/>
        <item m="1" x="1484"/>
        <item m="1" x="865"/>
        <item m="1" x="1174"/>
        <item m="1" x="1471"/>
        <item m="1" x="1748"/>
        <item m="1" x="5708"/>
        <item m="1" x="1167"/>
        <item m="1" x="7729"/>
        <item m="1" x="3276"/>
        <item m="1" x="3893"/>
        <item m="1" x="4133"/>
        <item m="1" x="6725"/>
        <item m="1" x="7699"/>
        <item m="1" x="5180"/>
        <item m="1" x="4296"/>
        <item m="1" x="6282"/>
        <item m="1" x="5426"/>
        <item m="1" x="2878"/>
        <item m="1" x="6688"/>
        <item m="1" x="4750"/>
        <item m="1" x="353"/>
        <item m="1" x="236"/>
        <item m="1" x="4141"/>
        <item m="1" x="4037"/>
        <item m="1" x="223"/>
        <item m="1" x="4126"/>
        <item m="1" x="110"/>
        <item m="1" x="4022"/>
        <item m="1" x="749"/>
        <item m="1" x="4657"/>
        <item m="1" x="596"/>
        <item m="1" x="324"/>
        <item m="1" x="338"/>
        <item m="1" x="4251"/>
        <item m="1" x="2303"/>
        <item m="1" x="5511"/>
        <item m="1" x="4353"/>
        <item m="1" x="7609"/>
        <item m="1" x="5788"/>
        <item m="1" x="5810"/>
        <item m="1" x="5173"/>
        <item m="1" x="1825"/>
        <item m="1" x="4501"/>
        <item m="1" x="1081"/>
        <item m="1" x="4961"/>
        <item m="1" x="906"/>
        <item m="1" x="265"/>
        <item m="1" x="992"/>
        <item m="1" x="975"/>
        <item m="1" x="2239"/>
        <item m="1" x="4640"/>
        <item m="1" x="116"/>
        <item m="1" x="7796"/>
        <item m="1" x="6912"/>
        <item m="1" x="4725"/>
        <item m="1" x="579"/>
        <item m="1" x="4485"/>
        <item m="1" x="432"/>
        <item m="1" x="4341"/>
        <item m="1" x="1238"/>
        <item m="1" x="5103"/>
        <item m="1" x="4880"/>
        <item m="1" x="771"/>
        <item m="1" x="1615"/>
        <item m="1" x="5811"/>
        <item m="1" x="1158"/>
        <item m="1" x="5026"/>
        <item m="1" x="1766"/>
        <item m="1" x="5567"/>
        <item m="1" x="6954"/>
        <item m="1" x="887"/>
        <item m="1" x="4782"/>
        <item m="1" x="708"/>
        <item m="1" x="5319"/>
        <item m="1" x="1318"/>
        <item m="1" x="5679"/>
        <item m="1" x="4306"/>
        <item m="1" x="5600"/>
        <item m="1" x="2787"/>
        <item m="1" x="1894"/>
        <item m="1" x="3147"/>
        <item m="1" x="4540"/>
        <item m="1" x="7589"/>
        <item m="1" x="2862"/>
        <item m="1" x="6673"/>
        <item m="1" x="2727"/>
        <item m="1" x="7263"/>
        <item m="1" x="2119"/>
        <item m="1" x="2112"/>
        <item m="1" x="5457"/>
        <item m="1" x="1473"/>
        <item m="1" x="1622"/>
        <item m="1" x="3068"/>
        <item m="1" x="2243"/>
        <item m="1" x="4714"/>
        <item m="1" x="4622"/>
        <item m="1" x="747"/>
        <item m="1" x="2790"/>
        <item m="1" x="4468"/>
        <item m="1" x="6606"/>
        <item m="1" x="4675"/>
        <item m="1" x="5239"/>
        <item m="1" x="970"/>
        <item m="1" x="439"/>
        <item m="1" x="3007"/>
        <item m="1" x="630"/>
        <item m="1" x="5718"/>
        <item m="1" x="5865"/>
        <item m="1" x="1839"/>
        <item m="1" x="6607"/>
        <item m="1" x="3969"/>
        <item m="1" x="3845"/>
        <item m="1" x="4271"/>
        <item m="1" x="185"/>
        <item m="1" x="4568"/>
        <item m="1" x="2001"/>
        <item m="1" x="7584"/>
        <item m="1" x="2157"/>
        <item m="1" x="1102"/>
        <item m="1" x="1215"/>
        <item m="1" x="6961"/>
        <item m="1" x="768"/>
        <item m="1" x="6770"/>
        <item m="1" x="6967"/>
        <item m="1" x="3894"/>
        <item m="1" x="3652"/>
        <item m="1" x="5081"/>
        <item m="1" x="6362"/>
        <item m="1" x="1861"/>
        <item m="1" x="3501"/>
        <item m="1" x="3384"/>
        <item m="1" x="7143"/>
        <item m="1" x="3261"/>
        <item m="1" x="7020"/>
        <item m="1" x="3118"/>
        <item m="1" x="6890"/>
        <item m="1" x="2979"/>
        <item m="1" x="580"/>
        <item m="1" x="2849"/>
        <item m="1" x="7365"/>
        <item m="1" x="3550"/>
        <item m="1" x="1037"/>
        <item m="1" x="1293"/>
        <item m="1" x="5570"/>
        <item m="1" x="2911"/>
        <item m="1" x="728"/>
        <item m="1" x="716"/>
        <item m="1" x="4917"/>
        <item m="1" x="870"/>
        <item m="1" x="689"/>
        <item m="1" x="4606"/>
        <item m="1" x="1530"/>
        <item m="1" x="6604"/>
        <item m="1" x="4574"/>
        <item m="1" x="6494"/>
        <item m="1" x="1027"/>
        <item m="1" x="5585"/>
        <item m="1" x="3416"/>
        <item m="1" x="1289"/>
        <item m="1" x="7514"/>
        <item m="1" x="7478"/>
        <item m="1" x="1485"/>
        <item m="1" x="3373"/>
        <item m="1" x="5580"/>
        <item m="1" x="2916"/>
        <item m="1" x="2643"/>
        <item m="1" x="1127"/>
        <item m="1" x="7261"/>
        <item m="1" x="6708"/>
        <item m="1" x="5333"/>
        <item m="1" x="4031"/>
        <item m="1" x="4072"/>
        <item m="1" x="5181"/>
        <item m="1" x="7067"/>
        <item m="1" x="3743"/>
        <item m="1" x="1308"/>
        <item m="1" x="4286"/>
        <item m="1" x="4958"/>
        <item m="1" x="1988"/>
        <item m="1" x="1993"/>
        <item x="58"/>
        <item m="1" x="2915"/>
        <item m="1" x="6823"/>
        <item m="1" x="4862"/>
        <item m="1" x="1016"/>
        <item m="1" x="6945"/>
        <item m="1" x="6072"/>
        <item m="1" x="5240"/>
        <item m="1" x="7318"/>
        <item m="1" x="1863"/>
        <item m="1" x="2220"/>
        <item m="1" x="294"/>
        <item m="1" x="1907"/>
        <item m="1" x="5732"/>
        <item m="1" x="1330"/>
        <item m="1" x="2003"/>
        <item m="1" x="2437"/>
        <item m="1" x="2143"/>
        <item m="1" x="5951"/>
        <item m="1" x="1767"/>
        <item m="1" x="5601"/>
        <item m="1" x="1623"/>
        <item m="1" x="4579"/>
        <item m="1" x="2681"/>
        <item m="1" x="2015"/>
        <item m="1" x="5245"/>
        <item m="1" x="2210"/>
        <item m="1" x="836"/>
        <item m="1" x="3222"/>
        <item m="1" x="5566"/>
        <item m="1" x="3047"/>
        <item m="1" x="4163"/>
        <item m="1" x="3867"/>
        <item m="1" x="5458"/>
        <item m="1" x="5830"/>
        <item m="1" x="3516"/>
        <item m="1" x="156"/>
        <item m="1" x="7741"/>
        <item m="1" x="4545"/>
        <item m="1" x="3664"/>
        <item m="1" x="2440"/>
        <item m="1" x="5258"/>
        <item m="1" x="1235"/>
        <item m="1" x="5100"/>
        <item m="1" x="1962"/>
        <item m="1" x="5786"/>
        <item m="1" x="1833"/>
        <item m="1" x="5665"/>
        <item m="1" x="1689"/>
        <item m="1" x="5528"/>
        <item m="1" x="1549"/>
        <item m="1" x="5386"/>
        <item m="1" x="1384"/>
        <item m="1" x="5236"/>
        <item m="1" x="2080"/>
        <item m="1" x="5899"/>
        <item m="1" x="1949"/>
        <item m="1" x="5779"/>
        <item m="1" x="1818"/>
        <item m="1" x="5653"/>
        <item m="1" x="1676"/>
        <item m="1" x="5512"/>
        <item m="1" x="1528"/>
        <item m="1" x="5365"/>
        <item m="1" x="1137"/>
        <item m="1" x="3198"/>
        <item m="1" x="6969"/>
        <item m="1" x="3061"/>
        <item m="1" x="7531"/>
        <item m="1" x="3680"/>
        <item m="1" x="7421"/>
        <item m="1" x="3565"/>
        <item m="1" x="7307"/>
        <item m="1" x="7202"/>
        <item m="1" x="6400"/>
        <item m="1" x="5806"/>
        <item m="1" x="5843"/>
        <item m="1" x="1663"/>
        <item m="1" x="817"/>
        <item m="1" x="6354"/>
        <item m="1" x="5174"/>
        <item m="1" x="5063"/>
        <item m="1" x="1553"/>
        <item m="1" x="6037"/>
        <item m="1" x="428"/>
        <item m="1" x="3278"/>
        <item m="1" x="6602"/>
        <item m="1" x="2109"/>
        <item m="1" x="3892"/>
        <item m="1" x="5320"/>
        <item m="1" x="1474"/>
        <item m="1" x="196"/>
        <item m="1" x="5841"/>
        <item m="1" x="797"/>
        <item m="1" x="122"/>
        <item m="1" x="1891"/>
        <item m="1" x="5716"/>
        <item m="1" x="1754"/>
        <item m="1" x="5588"/>
        <item m="1" x="1616"/>
        <item m="1" x="5446"/>
        <item m="1" x="5315"/>
        <item m="1" x="1099"/>
        <item m="1" x="966"/>
        <item m="1" x="2024"/>
        <item m="1" x="4280"/>
        <item m="1" x="1319"/>
        <item m="1" x="2352"/>
        <item m="1" x="4083"/>
        <item m="1" x="2257"/>
        <item m="1" x="5963"/>
        <item m="1" x="6474"/>
        <item m="1" x="5314"/>
        <item m="1" x="4863"/>
        <item m="1" x="380"/>
        <item m="1" x="1607"/>
        <item m="1" x="3440"/>
        <item m="1" x="3888"/>
        <item m="1" x="6207"/>
        <item m="1" x="2106"/>
        <item m="1" x="5781"/>
        <item m="1" x="6071"/>
        <item m="1" x="3563"/>
        <item m="1" x="1123"/>
        <item m="1" x="7059"/>
        <item m="1" x="1645"/>
        <item m="1" x="3757"/>
        <item m="1" x="7273"/>
        <item m="1" x="145"/>
        <item m="1" x="5477"/>
        <item m="1" x="2694"/>
        <item m="1" x="7032"/>
        <item m="1" x="2141"/>
        <item m="1" x="2674"/>
        <item m="1" x="134"/>
        <item m="1" x="1717"/>
        <item m="1" x="3183"/>
        <item m="1" x="7005"/>
        <item m="1" x="7384"/>
        <item m="1" x="4006"/>
        <item m="1" x="5723"/>
        <item m="1" x="1554"/>
        <item m="1" x="3968"/>
        <item m="1" x="4563"/>
        <item m="1" x="7788"/>
        <item m="1" x="5839"/>
        <item m="1" x="632"/>
        <item m="1" x="5415"/>
        <item m="1" x="5494"/>
        <item m="1" x="2314"/>
        <item m="1" x="4060"/>
        <item m="1" x="913"/>
        <item m="1" x="2445"/>
        <item m="1" x="3671"/>
        <item m="1" x="2117"/>
        <item m="1" x="2105"/>
        <item m="1" x="2237"/>
        <item m="1" x="1294"/>
        <item m="1" x="5948"/>
        <item m="1" x="2637"/>
        <item m="1" x="263"/>
        <item m="1" x="4323"/>
        <item m="1" x="5421"/>
        <item m="1" x="1256"/>
        <item m="1" x="4277"/>
        <item m="1" x="620"/>
        <item m="1" x="7166"/>
        <item m="1" x="4596"/>
        <item m="1" x="2359"/>
        <item m="1" x="3326"/>
        <item m="1" x="7078"/>
        <item m="1" x="3187"/>
        <item m="1" x="7629"/>
        <item m="1" x="3949"/>
        <item m="1" x="7680"/>
        <item m="1" x="3846"/>
        <item m="1" x="7575"/>
        <item m="1" x="3727"/>
        <item m="1" x="7471"/>
        <item m="1" x="3618"/>
        <item m="1" x="7361"/>
        <item m="1" x="3498"/>
        <item m="1" x="138"/>
        <item m="1" x="4051"/>
        <item m="1" x="7776"/>
        <item m="1" x="3942"/>
        <item m="1" x="7671"/>
        <item m="1" x="3837"/>
        <item m="1" x="7563"/>
        <item m="1" x="3716"/>
        <item m="1" x="6951"/>
        <item m="1" x="7574"/>
        <item m="1" x="3027"/>
        <item m="1" x="7157"/>
        <item m="1" x="5024"/>
        <item m="1" x="2420"/>
        <item m="1" x="6800"/>
        <item m="1" x="6146"/>
        <item m="1" x="2569"/>
        <item m="1" x="393"/>
        <item m="1" x="3467"/>
        <item m="1" x="6172"/>
        <item m="1" x="6802"/>
        <item m="1" x="2891"/>
        <item m="1" x="5891"/>
        <item m="1" x="2518"/>
        <item m="1" x="2476"/>
        <item m="1" x="1276"/>
        <item m="1" x="2577"/>
        <item m="1" x="6960"/>
        <item m="1" x="3692"/>
        <item m="1" x="3643"/>
        <item m="1" x="7686"/>
        <item m="1" x="1879"/>
        <item m="1" x="4068"/>
        <item m="1" x="6097"/>
        <item m="1" x="6465"/>
        <item m="1" x="279"/>
        <item m="1" x="7063"/>
        <item m="1" x="7786"/>
        <item m="1" x="3139"/>
        <item m="1" x="4612"/>
        <item m="1" x="1869"/>
        <item m="1" x="2138"/>
        <item m="1" x="6935"/>
        <item m="1" x="7285"/>
        <item m="1" x="4576"/>
        <item m="1" x="7519"/>
        <item m="1" x="2960"/>
        <item m="1" x="2725"/>
        <item m="1" x="4270"/>
        <item m="1" x="166"/>
        <item m="1" x="4299"/>
        <item m="1" x="6581"/>
        <item m="1" x="7679"/>
        <item m="1" x="6874"/>
        <item m="1" x="2962"/>
        <item m="1" x="7464"/>
        <item m="1" x="7762"/>
        <item m="1" x="7657"/>
        <item m="1" x="3822"/>
        <item m="1" x="4151"/>
        <item m="1" x="7362"/>
        <item m="1" x="528"/>
        <item m="1" x="4210"/>
        <item m="1" x="1572"/>
        <item m="1" x="6042"/>
        <item m="1" x="261"/>
        <item m="1" x="5186"/>
        <item m="1" x="5929"/>
        <item m="1" x="2884"/>
        <item m="1" x="3632"/>
        <item m="1" x="1154"/>
        <item m="1" x="5581"/>
        <item m="1" x="148"/>
        <item m="1" x="673"/>
        <item m="1" x="6514"/>
        <item m="1" x="6162"/>
        <item m="1" x="2240"/>
        <item m="1" x="1057"/>
        <item m="1" x="1453"/>
        <item m="1" x="2615"/>
        <item m="1" x="4547"/>
        <item m="1" x="2247"/>
        <item m="1" x="4195"/>
        <item m="1" x="4159"/>
        <item m="1" x="3981"/>
        <item m="1" x="3168"/>
        <item m="1" x="6403"/>
        <item m="1" x="5464"/>
        <item m="1" x="5923"/>
        <item m="1" x="2095"/>
        <item m="1" x="2806"/>
        <item m="1" x="6059"/>
        <item m="1" x="3285"/>
        <item m="1" x="7130"/>
        <item m="1" x="3245"/>
        <item m="1" x="6359"/>
        <item m="1" x="382"/>
        <item m="1" x="4076"/>
        <item m="1" x="6186"/>
        <item m="1" x="6371"/>
        <item m="1" x="260"/>
        <item m="1" x="5737"/>
        <item m="1" x="7183"/>
        <item m="1" x="3941"/>
        <item m="1" x="373"/>
        <item m="1" x="5858"/>
        <item m="1" x="4297"/>
        <item m="1" x="5714"/>
        <item m="1" x="2412"/>
        <item m="1" x="6279"/>
        <item m="1" x="5622"/>
        <item m="1" x="3899"/>
        <item m="1" x="4134"/>
        <item m="1" x="2118"/>
        <item m="1" x="1387"/>
        <item m="1" x="2439"/>
        <item m="1" x="2348"/>
        <item m="1" x="1424"/>
        <item m="1" x="4801"/>
        <item m="1" x="2566"/>
        <item m="1" x="5447"/>
        <item m="1" x="4523"/>
        <item m="1" x="7372"/>
        <item m="1" x="4942"/>
        <item m="1" x="2565"/>
        <item m="1" x="6835"/>
        <item m="1" x="1985"/>
        <item m="1" x="1987"/>
        <item m="1" x="6161"/>
        <item m="1" x="2185"/>
        <item m="1" x="2373"/>
        <item m="1" x="3260"/>
        <item m="1" x="7019"/>
        <item m="1" x="6260"/>
        <item m="1" x="736"/>
        <item m="1" x="2587"/>
        <item m="1" x="7392"/>
        <item m="1" x="4824"/>
        <item m="1" x="5102"/>
        <item m="1" x="4413"/>
        <item m="1" x="2699"/>
        <item m="1" x="1368"/>
        <item m="1" x="7393"/>
        <item m="1" x="1221"/>
        <item m="1" x="1514"/>
        <item m="1" x="981"/>
        <item m="1" x="7794"/>
        <item m="1" x="3169"/>
        <item m="1" x="4991"/>
        <item m="1" x="567"/>
        <item m="1" x="7553"/>
        <item m="1" x="6328"/>
        <item m="1" x="2460"/>
        <item m="1" x="7056"/>
        <item m="1" x="6563"/>
        <item m="1" x="2649"/>
        <item m="1" x="4292"/>
        <item m="1" x="1786"/>
        <item m="1" x="5020"/>
        <item m="1" x="4581"/>
        <item m="1" x="713"/>
        <item m="1" x="4786"/>
        <item m="1" x="891"/>
        <item m="1" x="7151"/>
        <item m="1" x="4877"/>
        <item m="1" x="6707"/>
        <item m="1" x="5642"/>
        <item m="1" x="2040"/>
        <item m="1" x="1469"/>
        <item m="1" x="6277"/>
        <item m="1" x="1532"/>
        <item m="1" x="693"/>
        <item m="1" x="5084"/>
        <item m="1" x="4684"/>
        <item m="1" x="1389"/>
        <item m="1" x="1218"/>
        <item m="1" x="5241"/>
        <item m="1" x="472"/>
        <item m="1" x="258"/>
        <item m="1" x="7621"/>
        <item m="1" x="1865"/>
        <item m="1" x="4278"/>
        <item m="1" x="2333"/>
        <item m="1" x="4575"/>
        <item m="1" x="4718"/>
        <item m="1" x="5693"/>
        <item m="1" x="3715"/>
        <item m="1" x="4966"/>
        <item m="1" x="3957"/>
        <item m="1" x="268"/>
        <item m="1" x="4276"/>
        <item m="1" x="1041"/>
        <item m="1" x="2037"/>
        <item m="1" x="2042"/>
        <item m="1" x="4537"/>
        <item m="1" x="3557"/>
        <item m="1" x="5370"/>
        <item m="1" x="4764"/>
        <item m="1" x="3880"/>
        <item m="1" x="182"/>
        <item m="1" x="7131"/>
        <item m="1" x="5863"/>
        <item m="1" x="5671"/>
        <item m="1" x="2578"/>
        <item m="1" x="858"/>
        <item m="1" x="4905"/>
        <item m="1" x="3742"/>
        <item m="1" x="2710"/>
        <item m="1" x="367"/>
        <item m="1" x="5680"/>
        <item m="1" x="5907"/>
        <item m="1" x="1065"/>
        <item m="1" x="6387"/>
        <item m="1" x="376"/>
        <item m="1" x="503"/>
        <item m="1" x="6515"/>
        <item m="1" x="5139"/>
        <item m="1" x="7253"/>
        <item m="1" x="2715"/>
        <item m="1" x="2161"/>
        <item m="1" x="1511"/>
        <item m="1" x="2446"/>
        <item m="1" x="3045"/>
        <item m="1" x="6573"/>
        <item m="1" x="5496"/>
        <item m="1" x="5224"/>
        <item m="1" x="7093"/>
        <item m="1" x="7450"/>
        <item m="1" x="1132"/>
        <item m="1" x="5568"/>
        <item m="1" x="7220"/>
        <item m="1" x="3009"/>
        <item m="1" x="3978"/>
        <item m="1" x="7526"/>
        <item m="1" x="4546"/>
        <item m="1" x="650"/>
        <item m="1" x="5071"/>
        <item m="1" x="4698"/>
        <item m="1" x="4992"/>
        <item m="1" x="5281"/>
        <item m="1" x="5532"/>
        <item m="1" x="5769"/>
        <item m="1" x="5978"/>
        <item m="1" x="6175"/>
        <item m="1" x="6389"/>
        <item m="1" x="6622"/>
        <item m="1" x="6391"/>
        <item m="1" x="6268"/>
        <item m="1" x="6155"/>
        <item m="1" x="6055"/>
        <item m="1" x="5936"/>
        <item m="1" x="5818"/>
        <item m="1" x="5699"/>
        <item m="1" x="5572"/>
        <item m="1" x="5434"/>
        <item m="1" x="5307"/>
        <item m="1" x="6623"/>
        <item m="1" x="6498"/>
        <item m="1" x="6377"/>
        <item m="1" x="6258"/>
        <item m="1" x="6150"/>
        <item m="1" x="6048"/>
        <item m="1" x="4908"/>
        <item m="1" x="862"/>
        <item m="1" x="3141"/>
        <item m="1" x="1392"/>
        <item m="1" x="3162"/>
        <item m="1" x="791"/>
        <item m="1" x="5183"/>
        <item m="1" x="5480"/>
        <item m="1" x="1486"/>
        <item m="1" x="1332"/>
        <item m="1" x="4925"/>
        <item m="1" x="4993"/>
        <item m="1" x="7283"/>
        <item m="1" x="4147"/>
        <item m="1" x="883"/>
        <item m="1" x="6458"/>
        <item m="1" x="3431"/>
        <item m="1" x="6029"/>
        <item m="1" x="6807"/>
        <item m="1" x="2463"/>
        <item m="1" x="4722"/>
        <item m="1" x="7420"/>
        <item m="1" x="5417"/>
        <item m="1" x="875"/>
        <item m="1" x="4921"/>
        <item m="1" x="5220"/>
        <item m="1" x="1348"/>
        <item m="1" x="5199"/>
        <item m="1" x="833"/>
        <item m="1" x="1169"/>
        <item m="1" x="683"/>
        <item m="1" x="4110"/>
        <item m="1" x="6638"/>
        <item m="1" x="4739"/>
        <item m="1" x="2098"/>
        <item m="1" x="7784"/>
        <item m="1" x="4305"/>
        <item m="1" x="4697"/>
        <item m="1" x="2319"/>
        <item m="1" x="7582"/>
        <item m="1" x="6266"/>
        <item m="1" x="652"/>
        <item m="1" x="4287"/>
        <item m="1" x="4610"/>
        <item m="1" x="4769"/>
        <item m="1" x="6769"/>
        <item m="1" x="2978"/>
        <item m="1" x="3515"/>
        <item m="1" x="4166"/>
        <item m="1" x="912"/>
        <item m="1" x="4893"/>
        <item m="1" x="6245"/>
        <item m="1" x="4691"/>
        <item m="1" x="5517"/>
        <item m="1" x="1540"/>
        <item m="1" x="5376"/>
        <item m="1" x="6829"/>
        <item m="1" x="3055"/>
        <item m="1" x="4558"/>
        <item m="1" x="6659"/>
        <item m="1" x="2848"/>
        <item m="1" x="1025"/>
        <item m="1" x="4891"/>
        <item m="1" x="1004"/>
        <item m="1" x="5350"/>
        <item m="1" x="5047"/>
        <item m="1" x="5354"/>
        <item m="1" x="1374"/>
        <item m="1" x="6930"/>
        <item m="1" x="1981"/>
        <item m="1" x="4856"/>
        <item m="1" x="4711"/>
        <item m="1" x="7047"/>
        <item m="1" x="5226"/>
        <item m="1" x="1516"/>
        <item m="1" x="5052"/>
        <item m="1" x="1724"/>
        <item m="1" x="6582"/>
        <item m="1" x="7412"/>
        <item m="1" x="500"/>
        <item m="1" x="1028"/>
        <item m="1" x="5339"/>
        <item m="1" x="3191"/>
        <item m="1" x="4571"/>
        <item m="1" x="3437"/>
        <item m="1" x="1309"/>
        <item m="1" x="4169"/>
        <item m="1" x="4208"/>
        <item m="1" x="5804"/>
        <item m="1" x="244"/>
        <item m="1" x="104"/>
        <item m="1" x="6962"/>
        <item m="1" x="7565"/>
        <item m="1" x="2162"/>
        <item m="1" x="5483"/>
        <item m="1" x="795"/>
        <item m="1" x="643"/>
        <item m="1" x="532"/>
        <item m="1" x="2958"/>
        <item m="1" x="4409"/>
        <item m="1" x="1115"/>
        <item m="1" x="3466"/>
        <item m="1" x="5918"/>
        <item m="1" x="5223"/>
        <item m="1" x="3954"/>
        <item m="1" x="3554"/>
        <item m="1" x="3630"/>
        <item m="1" x="704"/>
        <item m="1" x="5323"/>
        <item m="1" x="2433"/>
        <item m="1" x="5564"/>
        <item m="1" x="1464"/>
        <item m="1" x="4557"/>
        <item m="1" x="6493"/>
        <item m="1" x="1465"/>
        <item m="1" x="5155"/>
        <item m="1" x="6636"/>
        <item m="1" x="3854"/>
        <item m="1" x="5549"/>
        <item m="1" x="4978"/>
        <item m="1" x="2550"/>
        <item m="1" x="1556"/>
        <item m="1" x="2692"/>
        <item m="1" x="5049"/>
        <item m="1" x="4216"/>
        <item m="1" x="7437"/>
        <item m="1" x="2657"/>
        <item m="1" x="5425"/>
        <item m="1" x="5069"/>
        <item m="1" x="5448"/>
        <item m="1" x="4656"/>
        <item m="1" x="2022"/>
        <item m="1" x="1063"/>
        <item m="1" x="5796"/>
        <item m="1" x="4664"/>
        <item m="1" x="758"/>
        <item m="1" x="6497"/>
        <item m="1" x="4248"/>
        <item m="1" x="5654"/>
        <item m="1" x="1466"/>
        <item m="1" x="2467"/>
        <item m="1" x="5791"/>
        <item m="1" x="4034"/>
        <item m="1" x="5328"/>
        <item m="1" x="3838"/>
        <item m="1" x="128"/>
        <item m="1" x="4336"/>
        <item m="1" x="7484"/>
        <item m="1" x="4713"/>
        <item m="1" x="4301"/>
        <item m="1" x="1746"/>
        <item m="1" x="4860"/>
        <item m="1" x="717"/>
        <item m="1" x="271"/>
        <item m="1" x="181"/>
        <item m="1" x="5427"/>
        <item m="1" x="4509"/>
        <item m="1" x="4701"/>
        <item m="1" x="5146"/>
        <item m="1" x="1116"/>
        <item m="1" x="1282"/>
        <item m="1" x="6131"/>
        <item m="1" x="814"/>
        <item m="1" x="5424"/>
        <item m="1" x="7040"/>
        <item m="1" x="5926"/>
        <item m="1" x="6592"/>
        <item m="1" x="7688"/>
        <item m="1" x="456"/>
        <item m="1" x="4366"/>
        <item m="1" x="2819"/>
        <item m="1" x="5290"/>
        <item m="1" x="658"/>
        <item m="1" x="4058"/>
        <item m="1" x="3996"/>
        <item m="1" x="792"/>
        <item m="1" x="386"/>
        <item m="1" x="5099"/>
        <item m="1" x="5008"/>
        <item m="1" x="837"/>
        <item m="1" x="6355"/>
        <item m="1" x="7452"/>
        <item m="1" x="3594"/>
        <item m="1" x="5964"/>
        <item m="1" x="668"/>
        <item m="1" x="1759"/>
        <item m="1" x="3861"/>
        <item m="1" x="5878"/>
        <item m="1" x="1713"/>
        <item m="1" x="1980"/>
        <item m="1" x="6627"/>
        <item m="1" x="395"/>
        <item m="1" x="3956"/>
        <item m="1" x="199"/>
        <item m="1" x="7436"/>
        <item m="1" x="1647"/>
        <item m="1" x="805"/>
        <item m="1" x="4224"/>
        <item m="1" x="1736"/>
        <item m="1" x="2684"/>
        <item m="1" x="4482"/>
        <item m="1" x="429"/>
        <item m="1" x="4339"/>
        <item m="1" x="312"/>
        <item m="1" x="4100"/>
        <item m="1" x="85"/>
        <item m="1" x="72"/>
        <item m="1" x="7566"/>
        <item m="1" x="6401"/>
        <item m="1" x="3672"/>
        <item m="1" x="6506"/>
        <item m="1" x="5685"/>
        <item m="1" x="289"/>
        <item m="1" x="2061"/>
        <item m="1" x="1941"/>
        <item m="1" x="533"/>
        <item m="1" x="1758"/>
        <item m="1" x="4316"/>
        <item m="1" x="4590"/>
        <item m="1" x="4465"/>
        <item m="1" x="559"/>
        <item m="1" x="4619"/>
        <item m="1" x="705"/>
        <item m="1" x="417"/>
        <item m="1" x="4328"/>
        <item m="1" x="299"/>
        <item m="1" x="4214"/>
        <item m="1" x="4000"/>
        <item m="1" x="192"/>
        <item m="1" x="4303"/>
        <item m="1" x="3555"/>
        <item m="1" x="867"/>
        <item m="1" x="963"/>
        <item m="1" x="1018"/>
        <item m="1" x="2939"/>
        <item m="1" x="1139"/>
        <item m="1" x="6343"/>
        <item m="1" x="7050"/>
        <item m="1" x="4460"/>
        <item m="1" x="4205"/>
        <item m="1" x="555"/>
        <item m="1" x="4613"/>
        <item m="1" x="410"/>
        <item m="1" x="4603"/>
        <item m="1" x="4451"/>
        <item m="1" x="4567"/>
        <item m="1" x="5707"/>
        <item m="1" x="3417"/>
        <item m="1" x="5686"/>
        <item m="1" x="4560"/>
        <item m="1" x="5778"/>
        <item m="1" x="7170"/>
        <item m="1" x="363"/>
        <item m="1" x="547"/>
        <item m="1" x="852"/>
        <item m="1" x="291"/>
        <item m="1" x="6127"/>
        <item m="1" x="1877"/>
        <item m="1" x="6618"/>
        <item m="1" x="4319"/>
        <item m="1" x="4898"/>
        <item m="1" x="6857"/>
        <item m="1" x="676"/>
        <item m="1" x="7623"/>
        <item m="1" x="841"/>
        <item m="1" x="6349"/>
        <item m="1" x="4733"/>
        <item m="1" x="3497"/>
        <item m="1" x="2820"/>
        <item m="1" x="537"/>
        <item m="1" x="4442"/>
        <item m="1" x="404"/>
        <item m="1" x="964"/>
        <item m="1" x="3951"/>
        <item m="1" x="2387"/>
        <item m="1" x="1176"/>
        <item m="1" x="4315"/>
        <item m="1" x="974"/>
        <item m="1" x="3694"/>
        <item m="1" x="6836"/>
        <item m="1" x="6050"/>
        <item m="1" x="526"/>
        <item m="1" x="671"/>
        <item m="1" x="4746"/>
        <item m="1" x="6151"/>
        <item m="1" x="272"/>
        <item m="1" x="1320"/>
        <item m="1" x="5367"/>
        <item m="1" x="7594"/>
        <item m="1" x="682"/>
        <item m="1" x="4162"/>
        <item m="1" x="4556"/>
        <item m="1" x="5862"/>
        <item m="1" x="2174"/>
        <item m="1" x="1288"/>
        <item m="1" x="1806"/>
        <item m="1" x="4437"/>
        <item m="1" x="4377"/>
        <item m="1" x="3780"/>
        <item m="1" x="2552"/>
        <item m="1" x="2676"/>
        <item m="1" x="1727"/>
        <item m="1" x="7765"/>
        <item m="1" x="999"/>
        <item m="1" x="5042"/>
        <item m="1" x="4267"/>
        <item m="1" x="238"/>
        <item m="1" x="4143"/>
        <item m="1" x="6656"/>
        <item m="1" x="6600"/>
        <item m="1" x="6014"/>
        <item m="1" x="4555"/>
        <item m="1" x="6142"/>
        <item m="1" x="6107"/>
        <item m="1" x="4255"/>
        <item m="1" x="5444"/>
        <item m="1" x="341"/>
        <item m="1" x="6743"/>
        <item m="1" x="1600"/>
        <item m="1" x="7787"/>
        <item m="1" x="794"/>
        <item m="1" x="3026"/>
        <item m="1" x="5018"/>
        <item m="1" x="7371"/>
        <item m="1" x="245"/>
        <item m="1" x="4687"/>
        <item m="1" x="1990"/>
        <item m="1" x="7673"/>
        <item m="1" x="4886"/>
        <item m="1" x="5251"/>
        <item m="1" x="1228"/>
        <item m="1" x="5092"/>
        <item m="1" x="1050"/>
        <item m="1" x="4932"/>
        <item m="1" x="881"/>
        <item m="1" x="4777"/>
        <item m="1" x="702"/>
        <item m="1" x="4615"/>
        <item m="1" x="1543"/>
        <item m="1" x="5379"/>
        <item m="1" x="1377"/>
        <item m="1" x="5229"/>
        <item m="1" x="1207"/>
        <item m="1" x="4702"/>
        <item m="1" x="1601"/>
        <item m="1" x="5579"/>
        <item m="1" x="1735"/>
        <item m="1" x="1133"/>
        <item m="1" x="3399"/>
        <item m="1" x="7529"/>
        <item m="1" x="486"/>
        <item m="1" x="4395"/>
        <item m="1" x="3315"/>
        <item m="1" x="2797"/>
        <item m="1" x="6941"/>
        <item m="1" x="136"/>
        <item m="1" x="6815"/>
        <item m="1" x="1659"/>
        <item m="1" x="358"/>
        <item m="1" x="4168"/>
        <item m="1" x="470"/>
        <item m="1" x="2695"/>
        <item m="1" x="6608"/>
        <item m="1" x="5007"/>
        <item m="1" x="2217"/>
        <item m="1" x="511"/>
        <item m="1" x="4866"/>
        <item m="1" x="4999"/>
        <item m="1" x="7551"/>
        <item m="1" x="4273"/>
        <item m="1" x="825"/>
        <item m="1" x="4426"/>
        <item m="1" x="3306"/>
        <item m="1" x="1014"/>
        <item m="1" x="3081"/>
        <item m="1" x="6015"/>
        <item m="1" x="241"/>
        <item m="1" x="3659"/>
        <item m="1" x="2941"/>
        <item m="1" x="2196"/>
        <item m="1" x="64"/>
        <item m="1" x="6244"/>
        <item m="1" x="7058"/>
        <item m="1" x="4865"/>
        <item m="1" x="7382"/>
        <item m="1" x="7581"/>
        <item m="1" x="6425"/>
        <item m="1" x="960"/>
        <item m="1" x="4313"/>
        <item m="1" x="4106"/>
        <item m="1" x="277"/>
        <item m="1" x="4043"/>
        <item m="1" x="6738"/>
        <item m="1" x="4149"/>
        <item m="1" x="783"/>
        <item m="1" x="127"/>
        <item m="1" x="7797"/>
        <item m="1" x="1149"/>
        <item m="1" x="4347"/>
        <item m="1" x="1462"/>
        <item m="1" x="7754"/>
        <item m="1" x="3881"/>
        <item m="1" x="1509"/>
        <item m="1" x="2775"/>
        <item m="1" x="4355"/>
        <item m="1" x="4480"/>
        <item m="1" x="5016"/>
        <item m="1" x="7182"/>
        <item m="1" x="2817"/>
        <item m="1" x="4307"/>
        <item m="1" x="7015"/>
        <item m="1" x="5909"/>
        <item m="1" x="2415"/>
        <item m="1" x="2103"/>
        <item m="1" x="2114"/>
        <item m="1" x="1845"/>
        <item m="1" x="4042"/>
        <item m="1" x="1604"/>
        <item m="1" x="542"/>
        <item m="1" x="2943"/>
        <item m="1" x="6616"/>
        <item m="1" x="1870"/>
        <item m="1" x="5573"/>
        <item m="1" x="6806"/>
        <item m="1" x="6002"/>
        <item m="1" x="6979"/>
        <item m="1" x="3653"/>
        <item m="1" x="92"/>
        <item m="1" x="7404"/>
        <item m="1" x="2990"/>
        <item m="1" x="4677"/>
        <item m="1" x="3382"/>
        <item m="1" x="195"/>
        <item m="1" x="2712"/>
        <item m="1" x="4194"/>
        <item m="1" x="815"/>
        <item m="1" x="6208"/>
        <item m="1" x="622"/>
        <item m="1" x="6256"/>
        <item m="1" x="5005"/>
        <item m="1" x="6871"/>
        <item m="1" x="6133"/>
        <item m="1" x="3534"/>
        <item m="1" x="5151"/>
        <item m="1" x="959"/>
        <item m="1" x="4528"/>
        <item m="1" x="474"/>
        <item m="1" x="4382"/>
        <item m="1" x="348"/>
        <item m="1" x="4261"/>
        <item m="1" x="233"/>
        <item m="1" x="3616"/>
        <item m="1" x="4136"/>
        <item m="1" x="760"/>
        <item m="1" x="936"/>
        <item m="1" x="2653"/>
        <item m="1" x="4833"/>
        <item m="1" x="4666"/>
        <item m="1" x="5028"/>
        <item m="1" x="2071"/>
        <item m="1" x="1307"/>
        <item m="1" x="7692"/>
        <item m="1" x="5701"/>
        <item m="1" x="5171"/>
        <item m="1" x="5543"/>
        <item m="1" x="5197"/>
        <item m="1" x="1346"/>
        <item m="1" x="819"/>
        <item m="1" x="6731"/>
        <item m="1" x="3656"/>
        <item m="1" x="7124"/>
        <item m="1" x="3509"/>
        <item m="1" x="7260"/>
        <item m="1" x="2146"/>
        <item m="1" x="777"/>
        <item m="1" x="3735"/>
        <item m="1" x="117"/>
        <item m="1" x="4969"/>
        <item m="1" x="4247"/>
        <item m="1" x="1090"/>
        <item m="1" x="918"/>
        <item m="1" x="4368"/>
        <item m="1" x="6832"/>
        <item m="1" x="6265"/>
        <item m="1" x="3048"/>
        <item m="1" x="7520"/>
        <item m="1" x="7186"/>
        <item m="1" x="4463"/>
        <item m="1" x="334"/>
        <item m="1" x="4564"/>
        <item m="1" x="4511"/>
        <item m="1" x="608"/>
        <item m="1" x="6229"/>
        <item m="1" x="1124"/>
        <item m="1" x="458"/>
        <item m="1" x="7707"/>
        <item m="1" x="6955"/>
        <item m="1" x="4629"/>
        <item m="1" x="5675"/>
        <item m="1" x="741"/>
        <item m="1" x="4813"/>
        <item m="1" x="505"/>
        <item m="1" x="2957"/>
        <item m="1" x="442"/>
        <item m="1" x="3972"/>
        <item m="1" x="6598"/>
        <item m="1" x="2904"/>
        <item m="1" x="4651"/>
        <item m="1" x="7473"/>
        <item m="1" x="7683"/>
        <item m="1" x="568"/>
        <item m="1" x="2920"/>
        <item m="1" x="1976"/>
        <item m="1" x="590"/>
        <item m="1" x="1007"/>
        <item m="1" x="6695"/>
        <item m="1" x="6390"/>
        <item m="1" x="6267"/>
        <item m="1" x="4496"/>
        <item m="1" x="7188"/>
        <item m="1" x="1005"/>
        <item m="1" x="899"/>
        <item m="1" x="4796"/>
        <item m="1" x="721"/>
        <item m="1" x="4635"/>
        <item m="1" x="4950"/>
        <item m="1" x="1071"/>
        <item m="1" x="5111"/>
        <item m="1" x="1248"/>
        <item m="1" x="4352"/>
        <item m="1" x="6855"/>
        <item m="1" x="4473"/>
        <item m="1" x="574"/>
        <item m="1" x="4476"/>
        <item m="1" x="1398"/>
        <item m="1" x="273"/>
        <item m="1" x="7662"/>
        <item m="1" x="5158"/>
        <item m="1" x="4010"/>
        <item m="1" x="4598"/>
        <item m="1" x="5913"/>
        <item m="1" x="2230"/>
        <item m="1" x="6603"/>
        <item m="1" x="1922"/>
        <item m="1" x="7409"/>
        <item m="1" x="1535"/>
        <item m="1" x="425"/>
        <item m="1" x="7492"/>
        <item m="1" x="3016"/>
        <item m="1" x="5840"/>
        <item m="1" x="5928"/>
        <item m="1" x="1662"/>
        <item m="1" x="5498"/>
        <item m="1" x="1513"/>
        <item m="1" x="5352"/>
        <item m="1" x="5915"/>
        <item m="1" x="3296"/>
        <item m="1" x="6799"/>
        <item m="1" x="3777"/>
        <item m="1" x="7616"/>
        <item m="1" x="2546"/>
        <item m="1" x="6791"/>
        <item m="1" x="1437"/>
        <item m="1" x="7398"/>
        <item m="1" x="659"/>
        <item m="1" x="6306"/>
        <item m="1" x="1300"/>
        <item m="1" x="3964"/>
        <item m="1" x="3099"/>
        <item m="1" x="2313"/>
        <item m="1" x="73"/>
        <item m="1" x="3052"/>
        <item m="1" x="3592"/>
        <item m="1" x="2873"/>
        <item m="1" x="3605"/>
        <item m="1" x="6040"/>
        <item m="1" x="6350"/>
        <item m="1" x="1442"/>
        <item m="1" x="2336"/>
        <item m="1" x="4989"/>
        <item m="1" x="6710"/>
        <item m="1" x="6827"/>
        <item m="1" x="3029"/>
        <item m="1" x="3775"/>
        <item m="1" x="7650"/>
        <item m="1" x="1455"/>
        <item m="1" x="6730"/>
        <item m="1" x="6808"/>
        <item m="1" x="1896"/>
        <item m="1" x="770"/>
        <item m="1" x="408"/>
        <item m="1" x="3898"/>
        <item m="1" x="556"/>
        <item m="1" x="2126"/>
        <item m="1" x="2973"/>
        <item m="1" x="2272"/>
        <item m="1" x="3157"/>
        <item m="1" x="7542"/>
        <item m="1" x="3303"/>
        <item m="1" x="142"/>
        <item m="1" x="3298"/>
        <item m="1" x="6578"/>
        <item m="1" x="7103"/>
        <item m="1" x="2405"/>
        <item m="1" x="1874"/>
        <item m="1" x="7774"/>
        <item m="1" x="344"/>
        <item m="1" x="4461"/>
        <item m="1" x="5734"/>
        <item m="1" x="5608"/>
        <item m="1" x="2147"/>
        <item m="1" x="3649"/>
        <item m="1" x="1834"/>
        <item m="1" x="2107"/>
        <item m="1" x="3836"/>
        <item m="1" x="1742"/>
        <item m="1" x="3030"/>
        <item m="1" x="5927"/>
        <item m="1" x="4772"/>
        <item m="1" x="1680"/>
        <item m="1" x="6507"/>
        <item m="1" x="7628"/>
        <item m="1" x="6709"/>
        <item m="1" x="2233"/>
        <item m="1" x="3960"/>
        <item m="1" x="7276"/>
        <item m="1" x="1878"/>
        <item m="1" x="3538"/>
        <item m="1" x="7044"/>
        <item m="1" x="5156"/>
        <item m="1" x="80"/>
        <item m="1" x="2782"/>
        <item m="1" x="6363"/>
        <item m="1" x="1740"/>
        <item m="1" x="543"/>
        <item m="1" x="6610"/>
        <item m="1" x="4611"/>
        <item m="1" x="6589"/>
        <item m="1" x="3407"/>
        <item m="1" x="3794"/>
        <item m="1" x="178"/>
        <item m="1" x="6766"/>
        <item m="1" x="3311"/>
        <item m="1" x="7698"/>
        <item m="1" x="6565"/>
        <item m="1" x="3772"/>
        <item m="1" x="2654"/>
        <item m="1" x="527"/>
        <item m="1" x="364"/>
        <item m="1" x="3241"/>
        <item m="1" x="628"/>
        <item m="1" x="1411"/>
        <item m="1" x="2327"/>
        <item m="1" x="4457"/>
        <item m="1" x="424"/>
        <item m="1" x="5697"/>
        <item m="1" x="2568"/>
        <item m="1" x="362"/>
        <item m="1" x="1802"/>
        <item m="1" x="3112"/>
        <item m="1" x="7359"/>
        <item m="1" x="6469"/>
        <item m="1" x="541"/>
        <item m="1" x="6963"/>
        <item m="1" x="3955"/>
        <item m="1" x="1873"/>
        <item m="1" x="5994"/>
        <item m="1" x="2065"/>
        <item m="1" x="2188"/>
        <item m="1" x="6112"/>
        <item m="1" x="6091"/>
        <item m="1" x="6213"/>
        <item m="1" x="4418"/>
        <item m="1" x="7169"/>
        <item m="1" x="4030"/>
        <item m="1" x="1952"/>
        <item m="1" x="2296"/>
        <item m="1" x="155"/>
        <item m="1" x="6333"/>
        <item m="1" x="6615"/>
        <item m="1" x="2278"/>
        <item m="1" x="2399"/>
        <item x="41"/>
        <item m="1" x="6292"/>
        <item m="1" x="4565"/>
        <item m="1" x="515"/>
        <item m="1" x="3369"/>
        <item m="1" x="173"/>
        <item m="1" x="1741"/>
        <item m="1" x="3994"/>
        <item m="1" x="6322"/>
        <item m="1" x="6441"/>
        <item m="1" x="2392"/>
        <item m="1" x="6202"/>
        <item m="1" x="2286"/>
        <item m="1" x="2179"/>
        <item m="1" x="6102"/>
        <item m="1" x="2378"/>
        <item m="1" x="5291"/>
        <item m="1" x="7689"/>
        <item m="1" x="372"/>
        <item m="1" x="7500"/>
        <item m="1" x="4411"/>
        <item m="1" x="715"/>
        <item m="1" x="2477"/>
        <item m="1" x="1948"/>
        <item m="1" x="3179"/>
        <item m="1" x="5931"/>
        <item m="1" x="6345"/>
        <item m="1" x="6990"/>
        <item m="1" x="3058"/>
        <item m="1" x="5866"/>
        <item m="1" x="864"/>
        <item m="1" x="2492"/>
        <item m="1" x="2619"/>
        <item m="1" x="6555"/>
        <item m="1" x="6429"/>
        <item m="1" x="6311"/>
        <item m="1" x="2743"/>
        <item m="1" x="3020"/>
        <item m="1" x="5794"/>
        <item m="1" x="3783"/>
        <item m="1" x="307"/>
        <item m="1" x="3577"/>
        <item m="1" x="2510"/>
        <item m="1" x="2214"/>
        <item m="1" x="3720"/>
        <item m="1" x="3719"/>
        <item m="1" x="1822"/>
        <item m="1" x="5882"/>
        <item m="1" x="6192"/>
        <item m="1" x="5937"/>
        <item m="1" x="4949"/>
        <item m="1" x="2831"/>
        <item m="1" x="3603"/>
        <item m="1" x="7793"/>
        <item m="1" x="7432"/>
        <item m="1" x="694"/>
        <item m="1" x="6958"/>
        <item m="1" x="2864"/>
        <item m="1" x="2339"/>
        <item m="1" x="7320"/>
        <item m="1" x="4795"/>
        <item m="1" x="5575"/>
        <item m="1" x="3283"/>
        <item m="1" x="1559"/>
        <item m="1" x="6674"/>
        <item m="1" x="6542"/>
        <item m="1" x="2729"/>
        <item m="1" x="2606"/>
        <item m="1" x="2780"/>
        <item m="1" x="4983"/>
        <item m="1" x="2693"/>
        <item m="1" x="7249"/>
        <item m="1" x="1646"/>
        <item m="1" x="3164"/>
        <item m="1" x="6459"/>
        <item m="1" x="7732"/>
        <item m="1" x="1396"/>
        <item m="1" x="5090"/>
        <item m="1" x="5624"/>
        <item m="1" x="1785"/>
        <item m="1" x="6416"/>
        <item m="1" x="5404"/>
        <item m="1" x="1414"/>
        <item m="1" x="6538"/>
        <item m="1" x="6641"/>
        <item m="1" x="1454"/>
        <item m="1" x="4741"/>
        <item m="1" x="5892"/>
        <item m="1" x="7046"/>
        <item m="1" x="5800"/>
        <item m="1" x="3146"/>
        <item m="1" x="5269"/>
        <item m="1" x="1247"/>
        <item m="1" x="5110"/>
        <item m="1" x="2481"/>
        <item m="1" x="74"/>
        <item m="1" x="965"/>
        <item m="1" x="6940"/>
        <item m="1" x="6299"/>
        <item m="1" x="5943"/>
        <item m="1" x="4779"/>
        <item m="1" x="2436"/>
        <item m="1" x="7726"/>
        <item m="1" x="1070"/>
        <item m="1" x="3591"/>
        <item m="1" x="234"/>
        <item m="1" x="5292"/>
        <item m="1" x="2404"/>
        <item m="1" x="2246"/>
        <item m="1" x="175"/>
        <item m="1" x="5910"/>
        <item m="1" x="976"/>
        <item m="1" x="5688"/>
        <item m="1" x="5979"/>
        <item m="1" x="5004"/>
        <item m="1" x="3300"/>
        <item m="1" x="1279"/>
        <item m="1" x="5357"/>
        <item m="1" x="7496"/>
        <item m="1" x="3604"/>
        <item m="1" x="149"/>
        <item m="1" x="1890"/>
        <item m="1" x="1950"/>
        <item m="1" x="2372"/>
        <item m="1" x="6228"/>
        <item m="1" x="4178"/>
        <item m="1" x="898"/>
        <item m="1" x="5249"/>
        <item m="1" x="1226"/>
        <item m="1" x="4417"/>
        <item m="1" x="5342"/>
        <item m="1" x="5535"/>
        <item m="1" x="1697"/>
        <item m="1" x="1541"/>
        <item m="1" x="4259"/>
        <item m="1" x="735"/>
        <item m="1" x="7564"/>
        <item m="1" x="994"/>
        <item m="1" x="1064"/>
        <item m="1" x="4931"/>
        <item m="1" x="7767"/>
        <item m="1" x="2921"/>
        <item m="1" x="5694"/>
        <item m="1" x="6484"/>
        <item m="1" x="3539"/>
        <item m="1" x="4421"/>
        <item m="1" x="2365"/>
        <item m="1" x="97"/>
        <item m="1" x="6181"/>
        <item m="1" x="1049"/>
        <item m="1" x="4760"/>
        <item m="1" x="1682"/>
        <item m="1" x="5518"/>
        <item m="1" x="6585"/>
        <item m="1" x="1126"/>
        <item m="1" x="5741"/>
        <item m="1" x="4290"/>
        <item m="1" x="2666"/>
        <item m="1" x="2031"/>
        <item m="1" x="2851"/>
        <item m="1" x="6771"/>
        <item m="1" x="6660"/>
        <item m="1" x="821"/>
        <item m="1" x="3784"/>
        <item m="1" x="5227"/>
        <item m="1" x="1206"/>
        <item m="1" x="1375"/>
        <item m="1" x="1667"/>
        <item m="1" x="5502"/>
        <item m="1" x="5377"/>
        <item m="1" x="5770"/>
        <item m="1" x="5074"/>
        <item m="1" x="1942"/>
        <item m="1" x="5645"/>
        <item m="1" x="1809"/>
        <item m="1" x="1519"/>
        <item m="1" x="1354"/>
        <item m="1" x="5206"/>
        <item m="1" x="3661"/>
        <item m="1" x="2062"/>
        <item m="1" x="5883"/>
        <item m="1" x="4479"/>
        <item m="1" x="7517"/>
        <item m="1" x="3046"/>
        <item m="1" x="1929"/>
        <item m="1" x="2557"/>
        <item m="1" x="2334"/>
        <item m="1" x="5712"/>
        <item m="1" x="779"/>
        <item m="1" x="5760"/>
        <item m="1" x="1793"/>
        <item m="1" x="7016"/>
        <item m="1" x="4823"/>
        <item m="1" x="2944"/>
        <item m="1" x="1995"/>
        <item m="1" x="7193"/>
        <item m="1" x="3317"/>
        <item m="1" x="3522"/>
        <item m="1" x="5391"/>
        <item m="1" x="5283"/>
        <item m="1" x="7065"/>
        <item m="1" x="4221"/>
        <item m="1" x="3043"/>
        <item m="1" x="3548"/>
        <item m="1" x="335"/>
        <item m="1" x="1447"/>
        <item m="1" x="4870"/>
        <item m="1" x="4232"/>
        <item m="1" x="6924"/>
        <item m="1" x="1690"/>
        <item m="1" x="746"/>
        <item m="1" x="5486"/>
        <item m="1" x="1500"/>
        <item m="1" x="5980"/>
        <item m="1" x="7003"/>
        <item m="1" x="7715"/>
        <item m="1" x="319"/>
        <item m="1" x="4407"/>
        <item m="1" x="188"/>
        <item m="1" x="1266"/>
        <item m="1" x="5470"/>
        <item m="1" x="7649"/>
        <item m="1" x="7595"/>
        <item m="1" x="2101"/>
        <item m="1" x="3542"/>
        <item m="1" x="6086"/>
        <item m="1" x="7670"/>
        <item m="1" x="5129"/>
        <item m="1" x="4755"/>
        <item m="1" x="1155"/>
        <item m="1" x="3034"/>
        <item m="1" x="1584"/>
        <item m="1" x="2274"/>
        <item m="1" x="4449"/>
        <item m="1" x="1792"/>
        <item m="1" x="5852"/>
        <item m="1" x="2165"/>
        <item m="1" x="5868"/>
        <item m="1" x="6087"/>
        <item m="1" x="5967"/>
        <item m="1" x="6590"/>
        <item m="1" x="2309"/>
        <item m="1" x="2386"/>
        <item m="1" x="6579"/>
        <item m="1" x="5366"/>
        <item m="1" x="5759"/>
        <item m="1" x="7296"/>
        <item m="1" x="5597"/>
        <item m="1" x="1994"/>
        <item m="1" x="5727"/>
        <item m="1" x="6491"/>
        <item m="1" x="4637"/>
        <item m="1" x="6005"/>
        <item m="1" x="91"/>
        <item m="1" x="5000"/>
        <item m="1" x="1900"/>
        <item m="1" x="5113"/>
        <item m="1" x="1073"/>
        <item m="1" x="5341"/>
        <item m="1" x="1338"/>
        <item m="1" x="2256"/>
        <item m="1" x="6177"/>
        <item m="1" x="1886"/>
        <item m="1" x="5722"/>
        <item m="1" x="2045"/>
        <item m="1" x="7605"/>
        <item m="1" x="1051"/>
        <item m="1" x="5633"/>
        <item m="1" x="5611"/>
        <item m="1" x="1774"/>
        <item m="1" x="5740"/>
        <item m="1" x="1911"/>
        <item m="1" x="2644"/>
        <item m="1" x="3069"/>
        <item m="1" x="3159"/>
        <item m="1" x="5050"/>
        <item m="1" x="6933"/>
        <item m="1" x="5592"/>
        <item m="1" x="6342"/>
        <item m="1" x="288"/>
        <item m="1" x="3429"/>
        <item m="1" x="5381"/>
        <item m="1" x="1379"/>
        <item m="1" x="5231"/>
        <item m="1" x="5612"/>
        <item m="1" x="1775"/>
        <item m="1" x="1912"/>
        <item m="1" x="5869"/>
        <item m="1" x="2048"/>
        <item m="1" x="4720"/>
        <item m="1" x="2260"/>
        <item m="1" x="6076"/>
        <item m="1" x="2151"/>
        <item m="1" x="5956"/>
        <item m="1" x="4492"/>
        <item m="1" x="5051"/>
        <item m="1" x="6462"/>
        <item m="1" x="3182"/>
        <item m="1" x="5154"/>
        <item m="1" x="5237"/>
        <item m="1" x="7029"/>
        <item m="1" x="3033"/>
        <item m="1" x="7730"/>
        <item m="1" x="2468"/>
        <item m="1" x="2353"/>
        <item m="1" x="6033"/>
        <item m="1" x="894"/>
        <item m="1" x="7448"/>
        <item m="1" x="3814"/>
        <item m="1" x="5070"/>
        <item m="1" x="3871"/>
        <item m="1" x="6964"/>
        <item m="1" x="5966"/>
        <item m="1" x="1951"/>
        <item m="1" x="7192"/>
        <item m="1" x="1321"/>
        <item m="1" x="5921"/>
        <item m="1" x="6937"/>
        <item m="1" x="1430"/>
        <item m="1" x="1691"/>
        <item m="1" x="3679"/>
        <item m="1" x="3764"/>
        <item m="1" x="7194"/>
        <item m="1" x="2227"/>
        <item m="1" x="1762"/>
        <item m="1" x="1761"/>
        <item m="1" x="5596"/>
        <item m="1" x="2259"/>
        <item m="1" x="6075"/>
        <item m="1" x="2150"/>
        <item m="1" x="5479"/>
        <item m="1" x="1640"/>
        <item m="1" x="531"/>
        <item m="1" x="5058"/>
        <item m="1" x="3032"/>
        <item m="1" x="6283"/>
        <item m="1" x="7286"/>
        <item m="1" x="5833"/>
        <item m="1" x="6569"/>
        <item m="1" x="2631"/>
        <item m="1" x="2511"/>
        <item m="1" x="1536"/>
        <item m="1" x="207"/>
        <item m="1" x="5955"/>
        <item m="1" x="2017"/>
        <item m="1" x="4119"/>
        <item m="1" x="1714"/>
        <item m="1" x="1562"/>
        <item m="1" x="5520"/>
        <item m="1" x="7406"/>
        <item m="1" x="4007"/>
        <item m="1" x="397"/>
        <item m="1" x="4526"/>
        <item m="1" x="7284"/>
        <item m="1" x="5550"/>
        <item m="1" x="1828"/>
        <item m="1" x="5658"/>
        <item m="1" x="1684"/>
        <item m="1" x="7083"/>
        <item m="1" x="6154"/>
        <item m="1" x="1032"/>
        <item m="1" x="4912"/>
        <item m="1" x="767"/>
        <item m="1" x="5212"/>
        <item m="1" x="1544"/>
        <item m="1" x="1378"/>
        <item m="1" x="5230"/>
        <item m="1" x="266"/>
        <item m="1" x="2011"/>
        <item m="1" x="5380"/>
        <item m="1" x="5130"/>
        <item m="1" x="1811"/>
        <item m="1" x="3427"/>
        <item m="1" x="7349"/>
        <item m="1" x="1269"/>
        <item m="1" x="6060"/>
        <item m="1" x="3040"/>
        <item m="1" x="1590"/>
        <item m="1" x="5207"/>
        <item m="1" x="1189"/>
        <item m="1" x="5056"/>
        <item m="1" x="89"/>
        <item m="1" x="3161"/>
        <item m="1" x="1650"/>
        <item m="1" x="6319"/>
        <item m="1" x="3556"/>
        <item m="1" x="1783"/>
        <item m="1" x="3976"/>
        <item m="1" x="5059"/>
        <item m="1" x="3856"/>
        <item m="1" x="7191"/>
        <item m="1" x="1105"/>
        <item m="1" x="1283"/>
        <item m="1" x="5453"/>
        <item m="1" x="5646"/>
        <item m="1" x="4907"/>
        <item m="1" x="7713"/>
        <item m="1" x="7619"/>
        <item m="1" x="697"/>
        <item m="1" x="7701"/>
        <item m="1" x="2772"/>
        <item m="1" x="4196"/>
        <item m="1" x="656"/>
        <item m="1" x="1932"/>
        <item m="1" x="5763"/>
        <item m="1" x="1977"/>
        <item m="1" x="2175"/>
        <item m="1" x="6123"/>
        <item m="1" x="1371"/>
        <item m="1" x="5940"/>
        <item m="1" x="7711"/>
        <item m="1" x="2128"/>
        <item m="1" x="3989"/>
        <item m="1" x="1011"/>
        <item m="1" x="5270"/>
        <item m="1" x="2794"/>
        <item m="1" x="3313"/>
        <item m="1" x="7637"/>
        <item m="1" x="2203"/>
        <item m="1" x="3193"/>
        <item m="1" x="4647"/>
        <item m="1" x="1796"/>
        <item m="1" x="7756"/>
        <item m="1" x="2097"/>
        <item m="1" x="1415"/>
        <item m="1" x="3042"/>
        <item m="1" x="492"/>
        <item m="1" x="5615"/>
        <item m="1" x="1778"/>
        <item m="1" x="5636"/>
        <item m="1" x="1653"/>
        <item m="1" x="5489"/>
        <item m="1" x="7172"/>
        <item m="1" x="5126"/>
        <item m="1" x="1350"/>
        <item m="1" x="1281"/>
        <item m="1" x="6176"/>
        <item m="1" x="5809"/>
        <item m="1" x="3547"/>
        <item m="1" x="5405"/>
        <item m="1" x="1259"/>
        <item m="1" x="3662"/>
        <item m="1" x="2602"/>
        <item m="1" x="3974"/>
        <item m="1" x="811"/>
        <item m="1" x="1974"/>
        <item m="1" x="3453"/>
        <item m="1" x="7720"/>
        <item m="1" x="2102"/>
        <item m="1" x="1183"/>
        <item m="1" x="1575"/>
        <item m="1" x="5521"/>
        <item m="1" x="7512"/>
        <item m="1" x="4562"/>
        <item m="1" x="593"/>
        <item m="1" x="3158"/>
        <item m="1" x="1502"/>
        <item m="1" x="197"/>
        <item m="1" x="3413"/>
        <item m="1" x="4945"/>
        <item m="1" x="5298"/>
        <item m="1" x="1340"/>
        <item m="1" x="2052"/>
        <item m="1" x="2411"/>
        <item m="1" x="1848"/>
        <item m="1" x="7076"/>
        <item m="1" x="4553"/>
        <item m="1" x="3765"/>
        <item m="1" x="724"/>
        <item m="1" x="5873"/>
        <item m="1" x="6447"/>
        <item m="1" x="3658"/>
        <item m="1" x="1173"/>
        <item m="1" x="5112"/>
        <item m="1" x="3258"/>
        <item m="1" x="2195"/>
        <item m="1" x="3129"/>
        <item m="1" x="2620"/>
        <item m="1" x="5431"/>
        <item m="1" x="4281"/>
        <item m="1" x="3165"/>
        <item m="1" x="2092"/>
        <item m="1" x="7275"/>
        <item m="1" x="823"/>
        <item m="1" x="5711"/>
        <item m="1" x="1752"/>
        <item m="1" x="5584"/>
        <item m="1" x="6056"/>
        <item m="1" x="5436"/>
        <item m="1" x="6165"/>
        <item m="1" x="1840"/>
        <item m="1" x="5938"/>
        <item m="1" x="5076"/>
        <item m="1" x="1208"/>
        <item m="1" x="1881"/>
        <item m="1" x="2249"/>
        <item m="1" x="5705"/>
        <item m="1" x="4843"/>
        <item m="1" x="784"/>
        <item m="1" x="4678"/>
        <item m="1" x="623"/>
        <item m="1" x="4529"/>
        <item m="1" x="3005"/>
        <item m="1" x="3859"/>
        <item m="1" x="475"/>
        <item m="1" x="4383"/>
        <item m="1" x="349"/>
        <item m="1" x="4262"/>
        <item m="1" x="4984"/>
        <item m="1" x="1104"/>
        <item m="1" x="4258"/>
        <item m="1" x="1522"/>
        <item m="1" x="5360"/>
        <item m="1" x="6103"/>
        <item m="1" x="2880"/>
        <item m="1" x="6690"/>
        <item m="1" x="6430"/>
        <item m="1" x="1356"/>
        <item m="1" x="5505"/>
        <item m="1" x="1670"/>
        <item m="1" x="742"/>
        <item m="1" x="4814"/>
        <item m="1" x="919"/>
        <item m="1" x="1091"/>
        <item m="1" x="609"/>
        <item m="1" x="4512"/>
        <item m="1" x="459"/>
        <item m="1" x="761"/>
        <item m="1" x="4652"/>
        <item m="1" x="4970"/>
        <item m="1" x="1268"/>
        <item m="1" x="4369"/>
        <item m="1" x="4667"/>
        <item m="1" x="4834"/>
        <item m="1" x="591"/>
        <item m="1" x="7139"/>
        <item m="1" x="3177"/>
        <item m="1" x="5266"/>
        <item m="1" x="1399"/>
        <item m="1" x="1561"/>
        <item m="1" x="5393"/>
        <item m="1" x="5252"/>
        <item m="1" x="5327"/>
        <item m="1" x="1229"/>
        <item m="1" x="1632"/>
        <item m="1" x="5160"/>
        <item m="1" x="7165"/>
        <item m="1" x="4324"/>
        <item m="1" x="722"/>
        <item m="1" x="5472"/>
        <item m="1" x="4848"/>
        <item m="1" x="1611"/>
        <item m="1" x="6038"/>
        <item m="1" x="586"/>
        <item m="1" x="7472"/>
        <item m="1" x="4424"/>
        <item m="1" x="4636"/>
        <item m="1" x="4184"/>
        <item m="1" x="1481"/>
        <item m="1" x="1299"/>
        <item m="1" x="4723"/>
        <item m="1" x="5992"/>
        <item m="1" x="900"/>
        <item m="1" x="1072"/>
        <item m="1" x="4951"/>
        <item m="1" x="6369"/>
        <item m="1" x="5745"/>
        <item m="1" x="4797"/>
        <item m="1" x="164"/>
        <item m="1" x="5413"/>
        <item m="1" x="6115"/>
        <item m="1" x="2748"/>
        <item m="1" x="6325"/>
        <item m="1" x="6435"/>
        <item m="1" x="7403"/>
        <item m="1" x="5901"/>
        <item m="1" x="5164"/>
        <item m="1" x="3521"/>
        <item m="1" x="1723"/>
        <item m="1" x="1147"/>
        <item m="1" x="2499"/>
        <item m="1" x="4288"/>
        <item m="1" x="5142"/>
        <item m="1" x="1588"/>
        <item m="1" x="4065"/>
        <item m="1" x="7460"/>
        <item m="1" x="7300"/>
        <item m="1" x="7755"/>
        <item m="1" x="2778"/>
        <item m="1" x="5402"/>
        <item m="1" x="3124"/>
        <item m="1" x="6454"/>
        <item m="1" x="6895"/>
        <item m="1" x="2640"/>
        <item m="1" x="6666"/>
        <item m="1" x="6475"/>
        <item m="1" x="6916"/>
        <item m="1" x="4415"/>
        <item m="1" x="3347"/>
        <item m="1" x="5093"/>
        <item m="1" x="4681"/>
        <item m="1" x="3971"/>
        <item m="1" x="5408"/>
        <item m="1" x="1709"/>
        <item m="1" x="5545"/>
        <item m="1" x="4818"/>
        <item m="1" x="2094"/>
        <item m="1" x="2897"/>
        <item m="1" x="2888"/>
        <item m="1" x="3345"/>
        <item m="1" x="7408"/>
        <item m="1" x="1579"/>
        <item m="1" x="6031"/>
        <item m="1" x="2431"/>
        <item m="1" x="4974"/>
        <item m="1" x="2332"/>
        <item m="1" x="764"/>
        <item m="1" x="3425"/>
        <item m="1" x="7394"/>
        <item m="1" x="1263"/>
        <item m="1" x="923"/>
        <item m="1" x="2526"/>
        <item m="1" x="787"/>
        <item m="1" x="5286"/>
        <item m="1" x="5134"/>
        <item m="1" x="1273"/>
        <item m="1" x="4524"/>
        <item m="1" x="3085"/>
        <item m="1" x="4820"/>
        <item m="1" x="7704"/>
        <item m="1" x="4508"/>
        <item m="1" x="4849"/>
        <item m="1" x="2633"/>
        <item m="1" x="3733"/>
        <item m="1" x="6908"/>
        <item m="1" x="7024"/>
        <item m="1" x="2081"/>
        <item m="1" x="1118"/>
        <item m="1" x="4995"/>
        <item m="1" x="947"/>
        <item m="1" x="1095"/>
        <item m="1" x="926"/>
        <item m="1" x="6217"/>
        <item m="1" x="6432"/>
        <item m="1" x="534"/>
        <item m="1" x="6461"/>
        <item m="1" x="2212"/>
        <item m="1" x="877"/>
        <item m="1" x="1412"/>
        <item m="1" x="2892"/>
        <item m="1" x="2350"/>
        <item m="1" x="5443"/>
        <item m="1" x="7347"/>
        <item m="1" x="7112"/>
        <item m="1" x="6134"/>
        <item m="1" x="3640"/>
        <item m="1" x="1252"/>
        <item m="1" x="2496"/>
        <item m="1" x="545"/>
        <item m="1" x="2089"/>
        <item m="1" x="757"/>
        <item m="1" x="4088"/>
        <item m="1" x="7470"/>
        <item m="1" x="4535"/>
        <item m="1" x="5267"/>
        <item m="1" x="6314"/>
        <item m="1" x="1419"/>
        <item m="1" x="5274"/>
        <item m="1" x="4716"/>
        <item m="1" x="1843"/>
        <item m="1" x="5669"/>
        <item m="1" x="2906"/>
        <item m="1" x="3693"/>
        <item m="1" x="6351"/>
        <item m="1" x="1433"/>
        <item m="1" x="1110"/>
        <item m="1" x="2430"/>
        <item m="1" x="256"/>
        <item m="1" x="5438"/>
        <item m="1" x="2724"/>
        <item m="1" x="2721"/>
        <item m="1" x="6663"/>
        <item m="1" x="2853"/>
        <item m="1" x="6083"/>
        <item m="1" x="2267"/>
        <item m="1" x="6184"/>
        <item m="1" x="2369"/>
        <item m="1" x="6303"/>
        <item m="1" x="2485"/>
        <item m="1" x="6420"/>
        <item m="1" x="2610"/>
        <item m="1" x="6545"/>
        <item m="1" x="2732"/>
        <item m="1" x="1077"/>
        <item m="1" x="5974"/>
        <item m="1" x="2172"/>
        <item m="1" x="6095"/>
        <item m="1" x="2282"/>
        <item m="1" x="6196"/>
        <item m="1" x="2382"/>
        <item m="1" x="2596"/>
        <item m="1" x="6534"/>
        <item m="1" x="5118"/>
        <item m="1" x="1702"/>
        <item m="1" x="6480"/>
        <item m="1" x="4462"/>
        <item m="1" x="6409"/>
        <item m="1" x="3758"/>
        <item m="1" x="4845"/>
        <item m="1" x="5256"/>
        <item m="1" x="1472"/>
        <item m="1" x="4955"/>
        <item m="1" x="3977"/>
        <item m="1" x="7294"/>
        <item m="1" x="1404"/>
        <item m="1" x="1233"/>
        <item m="1" x="5097"/>
        <item m="1" x="1055"/>
        <item m="1" x="4618"/>
        <item m="1" x="3738"/>
        <item m="1" x="174"/>
        <item m="1" x="1163"/>
        <item m="1" x="6118"/>
        <item m="1" x="1515"/>
        <item m="1" x="1938"/>
        <item m="1" x="7593"/>
        <item m="1" x="2318"/>
        <item m="1" x="2929"/>
        <item m="1" x="6330"/>
        <item m="1" x="3421"/>
        <item m="1" x="3476"/>
        <item m="1" x="7228"/>
        <item m="1" x="5540"/>
        <item m="1" x="1568"/>
        <item m="1" x="5398"/>
        <item m="1" x="2474"/>
        <item m="1" x="6289"/>
        <item m="1" x="2358"/>
        <item m="1" x="6171"/>
        <item m="1" x="2965"/>
        <item m="1" x="6759"/>
        <item m="1" x="2840"/>
        <item m="1" x="2885"/>
        <item m="1" x="6648"/>
        <item m="1" x="6522"/>
        <item m="1" x="2585"/>
        <item m="1" x="6397"/>
        <item m="1" x="2458"/>
        <item m="1" x="6275"/>
        <item m="1" x="3093"/>
        <item m="1" x="6863"/>
        <item m="1" x="2951"/>
        <item m="1" x="6749"/>
        <item m="1" x="2826"/>
        <item m="1" x="6633"/>
        <item m="1" x="2690"/>
        <item m="1" x="6512"/>
        <item m="1" x="2575"/>
        <item m="1" x="6383"/>
        <item m="1" x="2315"/>
        <item m="1" x="2706"/>
        <item m="1" x="6677"/>
        <item m="1" x="5731"/>
        <item m="1" x="1961"/>
        <item m="1" x="2733"/>
        <item m="1" x="243"/>
        <item m="1" x="4182"/>
        <item m="1" x="3138"/>
        <item m="1" x="4295"/>
        <item m="1" x="3741"/>
        <item m="1" x="5807"/>
        <item m="1" x="7550"/>
        <item m="1" x="1871"/>
        <item m="1" x="4631"/>
        <item m="1" x="3289"/>
        <item m="1" x="7335"/>
        <item m="1" x="2122"/>
        <item m="1" x="3786"/>
        <item m="1" x="6737"/>
        <item m="1" x="346"/>
        <item m="1" x="2855"/>
        <item m="1" x="6775"/>
        <item m="1" x="6536"/>
        <item m="1" x="7216"/>
        <item m="1" x="3342"/>
        <item m="1" x="7090"/>
        <item m="1" x="6894"/>
        <item m="1" x="2984"/>
        <item m="1" x="6339"/>
        <item m="1" x="2124"/>
        <item m="1" x="6411"/>
        <item m="1" x="6026"/>
        <item m="1" x="3531"/>
        <item m="1" x="6546"/>
        <item m="1" x="6720"/>
        <item m="1" x="5262"/>
        <item m="1" x="2079"/>
        <item m="1" x="6524"/>
        <item m="1" x="3364"/>
        <item m="1" x="7161"/>
        <item m="1" x="1331"/>
        <item m="1" x="781"/>
        <item m="1" x="3872"/>
        <item m="1" x="1696"/>
        <item m="1" x="2192"/>
        <item m="1" x="3250"/>
        <item m="1" x="5919"/>
        <item m="1" x="7297"/>
        <item m="1" x="7119"/>
        <item m="1" x="7399"/>
        <item m="1" x="4729"/>
        <item m="1" x="7596"/>
        <item m="1" x="7248"/>
        <item m="1" x="2791"/>
        <item m="1" x="3000"/>
        <item m="1" x="3233"/>
        <item m="1" x="6657"/>
        <item m="1" x="3307"/>
        <item m="1" x="6434"/>
        <item m="1" x="2623"/>
        <item m="1" x="2747"/>
        <item m="1" x="7585"/>
        <item m="1" x="2300"/>
        <item m="1" x="1591"/>
        <item m="1" x="2723"/>
        <item m="1" x="2598"/>
        <item m="1" x="6665"/>
        <item m="1" x="2708"/>
        <item m="1" x="2611"/>
        <item m="1" x="6421"/>
        <item m="1" x="2486"/>
        <item m="1" x="6304"/>
        <item m="1" x="2370"/>
        <item m="1" x="6185"/>
        <item m="1" x="2983"/>
        <item m="1" x="1557"/>
        <item m="1" x="6998"/>
        <item m="1" x="6774"/>
        <item m="1" x="3224"/>
        <item m="1" x="7068"/>
        <item m="1" x="387"/>
        <item m="1" x="3419"/>
        <item m="1" x="3543"/>
        <item m="1" x="141"/>
        <item m="1" x="6422"/>
        <item m="1" x="7527"/>
        <item m="1" x="5027"/>
        <item m="1" x="7179"/>
        <item m="1" x="5898"/>
        <item m="1" x="274"/>
        <item m="1" x="2758"/>
        <item m="1" x="6650"/>
        <item m="1" x="6410"/>
        <item m="1" x="2967"/>
        <item m="1" x="2475"/>
        <item m="1" x="6879"/>
        <item m="1" x="6761"/>
        <item m="1" x="2597"/>
        <item m="1" x="5682"/>
        <item m="1" x="6255"/>
        <item m="1" x="3827"/>
        <item m="1" x="1835"/>
        <item m="1" x="2842"/>
        <item m="1" x="4724"/>
        <item m="1" x="2722"/>
        <item m="1" x="7009"/>
        <item m="1" x="2854"/>
        <item m="1" x="6664"/>
        <item m="1" x="6535"/>
        <item m="1" x="3106"/>
        <item m="1" x="6760"/>
        <item m="1" x="6523"/>
        <item m="1" x="2586"/>
        <item m="1" x="6398"/>
        <item m="1" x="2707"/>
        <item m="1" x="2841"/>
        <item m="1" x="6649"/>
        <item m="1" x="2966"/>
        <item m="1" x="3105"/>
        <item m="1" x="6878"/>
        <item m="1" x="6290"/>
        <item m="1" x="4791"/>
        <item m="1" x="7150"/>
        <item m="1" x="4429"/>
        <item m="1" x="3095"/>
        <item m="1" x="6865"/>
        <item m="1" x="3217"/>
        <item m="1" x="3766"/>
        <item m="1" x="6750"/>
        <item m="1" x="2952"/>
        <item m="1" x="6864"/>
        <item m="1" x="3094"/>
        <item m="1" x="6997"/>
        <item m="1" x="3232"/>
        <item m="1" x="3855"/>
        <item m="1" x="4536"/>
        <item m="1" x="2648"/>
        <item m="1" x="6513"/>
        <item m="1" x="4085"/>
        <item m="1" x="7785"/>
        <item m="1" x="1695"/>
        <item m="1" x="7045"/>
        <item m="1" x="2691"/>
        <item m="1" x="7272"/>
        <item m="1" x="4108"/>
        <item m="1" x="7062"/>
        <item m="1" x="3546"/>
        <item m="1" x="1476"/>
        <item m="1" x="2827"/>
        <item m="1" x="5677"/>
        <item m="1" x="2626"/>
        <item m="1" x="2073"/>
        <item m="1" x="3718"/>
        <item m="1" x="1161"/>
        <item m="1" x="5989"/>
        <item m="1" x="2206"/>
        <item m="1" x="5533"/>
        <item m="1" x="2868"/>
        <item m="1" x="6547"/>
        <item m="1" x="3123"/>
        <item m="1" x="6683"/>
        <item m="1" x="3066"/>
        <item m="1" x="2811"/>
        <item m="1" x="6634"/>
        <item m="1" x="7290"/>
        <item m="1" x="3205"/>
        <item m="1" x="813"/>
        <item m="1" x="993"/>
        <item m="1" x="6843"/>
        <item m="1" x="2529"/>
        <item m="1" x="2087"/>
        <item m="1" x="6017"/>
        <item m="1" x="7038"/>
        <item m="1" x="6786"/>
        <item m="1" x="2734"/>
        <item m="1" x="2612"/>
        <item m="1" x="2828"/>
        <item m="1" x="6635"/>
        <item m="1" x="2953"/>
        <item m="1" x="6751"/>
        <item m="1" x="6136"/>
        <item m="1" x="7106"/>
        <item m="1" x="3355"/>
        <item m="1" x="641"/>
        <item m="1" x="7348"/>
        <item m="1" x="6206"/>
        <item m="1" x="3354"/>
        <item m="1" x="7105"/>
        <item m="1" x="3216"/>
        <item m="1" x="6985"/>
        <item m="1" x="6986"/>
        <item m="1" x="3078"/>
        <item m="1" x="6852"/>
        <item m="1" x="2938"/>
        <item m="1" x="3585"/>
        <item m="1" x="7330"/>
        <item m="1" x="3462"/>
        <item m="1" x="3037"/>
        <item m="1" x="1733"/>
        <item m="1" x="3301"/>
        <item m="1" x="2766"/>
        <item m="1" x="2099"/>
        <item m="1" x="1637"/>
        <item m="1" x="4790"/>
        <item m="1" x="3990"/>
        <item m="1" x="1960"/>
        <item m="1" x="7126"/>
        <item m="1" x="5785"/>
        <item m="1" x="5905"/>
        <item m="1" x="6975"/>
        <item m="1" x="6294"/>
        <item m="1" x="2498"/>
        <item m="1" x="6736"/>
        <item m="1" x="2816"/>
        <item m="1" x="6851"/>
        <item m="1" x="2937"/>
        <item m="1" x="1362"/>
        <item m="1" x="3077"/>
        <item m="1" x="1141"/>
        <item m="1" x="3540"/>
        <item m="1" x="2533"/>
        <item m="1" x="7511"/>
        <item m="1" x="5995"/>
        <item m="1" x="2067"/>
        <item m="1" x="4478"/>
        <item m="1" x="3717"/>
        <item m="1" x="6008"/>
        <item m="1" x="3958"/>
        <item m="1" x="4924"/>
        <item m="1" x="1586"/>
        <item m="1" x="2793"/>
        <item m="1" x="1855"/>
        <item m="1" x="3654"/>
        <item m="1" x="1445"/>
        <item m="1" x="6334"/>
        <item m="1" x="5282"/>
        <item m="1" x="7757"/>
        <item m="1" x="3454"/>
        <item m="1" x="3140"/>
        <item m="1" x="2886"/>
        <item m="1" x="3060"/>
        <item m="1" x="2401"/>
        <item m="1" x="7695"/>
        <item m="1" x="3769"/>
        <item m="1" x="6215"/>
        <item m="1" x="3876"/>
        <item m="1" x="1836"/>
        <item m="1" x="501"/>
        <item m="1" x="5115"/>
        <item m="1" x="2306"/>
        <item m="1" x="2191"/>
        <item m="1" x="5998"/>
        <item m="1" x="2069"/>
        <item m="1" x="4676"/>
        <item m="1" x="7160"/>
        <item m="1" x="1151"/>
        <item m="1" x="2298"/>
        <item m="1" x="3973"/>
        <item m="1" x="5455"/>
        <item m="1" x="1744"/>
        <item m="1" x="1564"/>
        <item m="1" x="2155"/>
        <item m="1" x="5960"/>
        <item m="1" x="2021"/>
        <item m="1" x="5911"/>
        <item m="1" x="2394"/>
        <item m="1" x="1830"/>
        <item m="1" x="5662"/>
        <item m="1" x="2406"/>
        <item m="1" x="6661"/>
        <item m="1" x="1969"/>
        <item m="1" x="5792"/>
        <item m="1" x="7092"/>
        <item m="1" x="5897"/>
        <item m="1" x="6953"/>
        <item m="1" x="5530"/>
        <item m="1" x="5523"/>
        <item m="1" x="5660"/>
        <item m="1" x="6114"/>
        <item m="1" x="1842"/>
        <item m="1" x="6106"/>
        <item m="1" x="5887"/>
        <item m="1" x="1934"/>
        <item m="1" x="5765"/>
        <item m="1" x="1798"/>
        <item m="1" x="5638"/>
        <item m="1" x="1655"/>
        <item m="1" x="5491"/>
        <item m="1" x="2288"/>
        <item m="1" x="6104"/>
        <item m="1" x="2181"/>
        <item m="1" x="5983"/>
        <item m="1" x="2054"/>
        <item m="1" x="5875"/>
        <item m="1" x="5747"/>
        <item m="1" x="1780"/>
        <item m="1" x="5617"/>
        <item m="1" x="2380"/>
        <item m="1" x="6194"/>
        <item m="1" x="2280"/>
        <item m="1" x="6093"/>
        <item m="1" x="1917"/>
        <item m="1" x="5889"/>
        <item m="1" x="2632"/>
        <item m="1" x="6443"/>
        <item m="1" x="2513"/>
        <item m="1" x="6324"/>
        <item m="1" x="2594"/>
        <item m="1" x="6408"/>
        <item m="1" x="5837"/>
        <item m="1" x="2265"/>
        <item m="1" x="2367"/>
        <item m="1" x="6301"/>
        <item m="1" x="5730"/>
        <item m="1" x="1903"/>
        <item m="1" x="5856"/>
        <item m="1" x="2035"/>
        <item m="1" x="5972"/>
        <item m="1" x="2170"/>
        <item m="1" x="6081"/>
        <item m="1" x="2483"/>
        <item m="1" x="6205"/>
        <item m="1" x="2472"/>
        <item m="1" x="6287"/>
        <item m="1" x="2356"/>
        <item m="1" x="6169"/>
        <item m="1" x="2253"/>
        <item m="1" x="6064"/>
        <item m="1" x="2136"/>
        <item m="1" x="5947"/>
        <item m="1" x="1856"/>
        <item m="1" x="2289"/>
        <item m="1" x="6057"/>
        <item m="1" x="1311"/>
        <item m="1" x="2268"/>
        <item m="1" x="6204"/>
        <item m="1" x="6105"/>
        <item m="1" x="2078"/>
        <item m="1" x="3776"/>
        <item m="1" x="2182"/>
        <item m="1" x="2290"/>
        <item m="1" x="5030"/>
        <item m="1" x="1603"/>
        <item m="1" x="1955"/>
        <item m="1" x="1401"/>
        <item m="1" x="3991"/>
        <item m="1" x="2183"/>
        <item m="1" x="2384"/>
        <item m="1" x="3835"/>
        <item m="1" x="7728"/>
        <item m="1" x="6724"/>
        <item m="1" x="6315"/>
        <item m="1" x="2383"/>
        <item m="1" x="6197"/>
        <item m="1" x="5775"/>
        <item m="1" x="2525"/>
        <item m="1" x="6121"/>
        <item m="1" x="3796"/>
        <item m="1" x="3778"/>
        <item m="1" x="2777"/>
        <item m="1" x="2576"/>
        <item m="1" x="3966"/>
        <item m="1" x="6249"/>
        <item m="1" x="5984"/>
        <item m="1" x="2818"/>
        <item m="1" x="3302"/>
        <item m="1" x="2201"/>
        <item m="1" x="3067"/>
        <item m="1" x="3651"/>
        <item m="1" x="2408"/>
        <item m="1" x="2622"/>
        <item m="1" x="4425"/>
        <item m="1" x="1031"/>
        <item m="1" x="1712"/>
        <item m="1" x="4911"/>
        <item m="1" x="5075"/>
        <item m="1" x="4325"/>
        <item m="1" x="7400"/>
        <item m="1" x="829"/>
        <item m="1" x="2974"/>
        <item m="1" x="1731"/>
        <item m="1" x="3787"/>
        <item m="1" x="5876"/>
        <item m="1" x="2283"/>
        <item m="1" x="6096"/>
        <item m="1" x="3995"/>
        <item m="1" x="1945"/>
        <item m="1" x="5538"/>
        <item m="1" x="6233"/>
        <item m="1" x="5668"/>
        <item m="1" x="1700"/>
        <item m="1" x="1565"/>
        <item m="1" x="2207"/>
        <item m="1" x="6016"/>
        <item m="1" x="5395"/>
        <item m="1" x="6297"/>
        <item m="1" x="2262"/>
        <item m="1" x="6327"/>
        <item m="1" x="6179"/>
        <item m="1" x="2121"/>
        <item m="1" x="6078"/>
        <item m="1" x="3889"/>
        <item m="1" x="2123"/>
        <item m="1" x="655"/>
        <item m="1" x="4439"/>
        <item m="1" x="6419"/>
        <item m="1" x="2484"/>
        <item m="1" x="2036"/>
        <item m="1" x="5857"/>
        <item m="1" x="2609"/>
        <item m="1" x="6195"/>
        <item m="1" x="2171"/>
        <item m="1" x="5973"/>
        <item m="1" x="6168"/>
        <item m="1" x="2281"/>
        <item m="1" x="2470"/>
        <item m="1" x="2381"/>
        <item m="1" x="2591"/>
        <item m="1" x="6285"/>
        <item m="1" x="5698"/>
        <item m="1" x="5904"/>
        <item m="1" x="5661"/>
        <item m="1" x="1846"/>
        <item m="1" x="1978"/>
        <item m="1" x="7396"/>
        <item m="1" x="6094"/>
        <item m="1" x="2355"/>
        <item m="1" x="3897"/>
        <item m="1" x="3171"/>
        <item m="1" x="6069"/>
        <item m="1" x="2495"/>
        <item m="1" x="1918"/>
        <item m="1" x="5748"/>
        <item m="1" x="6307"/>
        <item m="1" x="5474"/>
        <item m="1" x="7054"/>
        <item m="1" x="2215"/>
        <item m="1" x="3926"/>
        <item m="1" x="6529"/>
        <item m="1" x="2363"/>
        <item m="1" x="6302"/>
        <item m="1" x="1452"/>
        <item m="1" x="1463"/>
        <item m="1" x="3961"/>
        <item m="1" x="2424"/>
        <item m="1" x="1685"/>
        <item m="1" x="6063"/>
        <item m="1" x="1326"/>
        <item m="1" x="6886"/>
        <item m="1" x="1860"/>
        <item m="1" x="6043"/>
        <item m="1" x="7288"/>
        <item m="1" x="6370"/>
        <item m="1" x="6405"/>
        <item m="1" x="2252"/>
        <item m="1" x="6183"/>
        <item m="1" x="2055"/>
        <item m="1" x="3346"/>
        <item m="1" x="5524"/>
        <item m="1" x="7485"/>
        <item m="1" x="2368"/>
        <item m="1" x="7611"/>
        <item m="1" x="6550"/>
        <item m="1" x="7608"/>
        <item m="1" x="1664"/>
        <item m="1" x="5975"/>
        <item m="1" x="1954"/>
        <item m="1" x="2589"/>
        <item m="1" x="2867"/>
        <item m="1" x="2479"/>
        <item m="1" x="2153"/>
        <item m="1" x="5958"/>
        <item m="1" x="2266"/>
        <item m="1" x="6082"/>
        <item m="1" x="2156"/>
        <item m="1" x="5961"/>
        <item m="1" x="2720"/>
        <item m="1" x="6533"/>
        <item m="1" x="2595"/>
        <item m="1" x="2473"/>
        <item m="1" x="6288"/>
        <item m="1" x="2357"/>
        <item m="1" x="4561"/>
        <item m="1" x="2835"/>
        <item m="1" x="7481"/>
        <item m="1" x="2111"/>
        <item m="1" x="2584"/>
        <item m="1" x="796"/>
        <item m="1" x="6170"/>
        <item m="1" x="2254"/>
        <item m="1" x="6065"/>
        <item m="1" x="2839"/>
        <item m="1" x="6647"/>
        <item m="1" x="2705"/>
        <item m="1" x="6521"/>
        <item m="1" x="2497"/>
        <item m="1" x="6433"/>
        <item m="1" x="6558"/>
        <item m="1" x="2746"/>
        <item m="1" x="5986"/>
        <item m="1" x="6414"/>
        <item m="1" x="2716"/>
        <item m="1" x="2449"/>
        <item m="1" x="6396"/>
        <item m="1" x="2457"/>
        <item m="1" x="6274"/>
        <item m="1" x="2347"/>
        <item m="1" x="6159"/>
        <item m="1" x="2091"/>
        <item m="1" x="5772"/>
        <item m="1" x="1812"/>
        <item m="1" x="5647"/>
        <item m="1" x="1671"/>
        <item m="1" x="5506"/>
        <item m="1" x="1523"/>
        <item m="1" x="5361"/>
        <item m="1" x="1357"/>
        <item m="1" x="5208"/>
        <item m="1" x="2066"/>
        <item m="1" x="5886"/>
        <item m="1" x="1933"/>
        <item m="1" x="6643"/>
        <item m="1" x="2455"/>
        <item m="1" x="2131"/>
        <item m="1" x="3525"/>
        <item m="1" x="6221"/>
        <item m="1" x="462"/>
        <item m="1" x="3180"/>
        <item m="1" x="2127"/>
        <item m="1" x="5764"/>
        <item m="1" x="1797"/>
        <item m="1" x="5637"/>
        <item m="1" x="1654"/>
        <item m="1" x="5490"/>
        <item m="1" x="1503"/>
        <item m="1" x="2702"/>
        <item m="1" x="4773"/>
        <item m="1" x="2346"/>
        <item m="1" x="2687"/>
        <item m="1" x="6509"/>
        <item m="1" x="1824"/>
        <item m="1" x="3885"/>
        <item m="1" x="6381"/>
        <item m="1" x="2444"/>
        <item m="1" x="972"/>
        <item m="1" x="3965"/>
        <item m="1" x="5344"/>
        <item m="1" x="5715"/>
        <item m="1" x="2465"/>
        <item m="1" x="6518"/>
        <item m="1" x="2582"/>
        <item m="1" x="6158"/>
        <item m="1" x="2946"/>
        <item m="1" x="6745"/>
        <item m="1" x="2305"/>
        <item m="1" x="2822"/>
        <item m="1" x="6629"/>
        <item m="1" x="6272"/>
        <item m="1" x="6263"/>
        <item m="1" x="3072"/>
        <item m="1" x="4587"/>
        <item m="1" x="3878"/>
        <item m="1" x="5578"/>
        <item m="1" x="6019"/>
        <item m="1" x="6654"/>
        <item m="1" x="4758"/>
        <item m="1" x="5359"/>
        <item m="1" x="5504"/>
        <item m="1" x="1521"/>
        <item m="1" x="2200"/>
        <item m="1" x="1669"/>
        <item m="1" x="6160"/>
        <item m="1" x="6007"/>
        <item m="1" x="2846"/>
        <item m="1" x="1355"/>
        <item m="1" x="2077"/>
        <item m="1" x="2082"/>
        <item m="1" x="1726"/>
        <item m="1" x="6528"/>
        <item m="1" x="1270"/>
        <item m="1" x="6624"/>
        <item m="1" x="5412"/>
        <item m="1" x="2304"/>
        <item m="1" x="2570"/>
        <item m="1" x="2682"/>
        <item m="1" x="2933"/>
        <item m="1" x="6732"/>
        <item m="1" x="3895"/>
        <item m="1" x="1431"/>
        <item m="1" x="5284"/>
        <item m="1" x="2180"/>
        <item m="1" x="4097"/>
        <item m="1" x="6394"/>
        <item m="1" x="2573"/>
        <item m="1" x="6876"/>
        <item m="1" x="2813"/>
        <item m="1" x="6501"/>
        <item m="1" x="6580"/>
        <item m="1" x="4896"/>
        <item m="1" x="6526"/>
        <item m="1" x="5982"/>
        <item m="1" x="6978"/>
        <item m="1" x="5131"/>
        <item m="1" x="169"/>
        <item m="1" x="2537"/>
        <item m="1" x="3763"/>
        <item m="1" x="7530"/>
        <item m="1" x="4412"/>
        <item m="1" x="2975"/>
        <item m="1" x="4326"/>
        <item m="1" x="2053"/>
        <item m="1" x="4927"/>
        <item m="1" x="5819"/>
        <item m="1" x="5667"/>
        <item m="1" x="1841"/>
        <item m="1" x="7672"/>
        <item m="1" x="818"/>
        <item m="1" x="2774"/>
        <item m="1" x="4422"/>
        <item m="1" x="230"/>
        <item m="1" x="4914"/>
        <item m="1" x="6846"/>
        <item m="1" x="6099"/>
        <item m="1" x="1134"/>
        <item m="1" x="7648"/>
        <item m="1" x="2543"/>
        <item m="1" x="4349"/>
        <item m="1" x="4815"/>
        <item m="1" x="920"/>
        <item m="1" x="1092"/>
        <item m="1" x="1707"/>
        <item m="1" x="5406"/>
        <item m="1" x="1577"/>
        <item m="1" x="4971"/>
        <item m="1" x="5271"/>
        <item m="1" x="1074"/>
        <item m="1" x="3517"/>
        <item m="1" x="5729"/>
        <item m="1" x="1763"/>
        <item m="1" x="5598"/>
        <item m="1" x="2366"/>
        <item m="1" x="6182"/>
        <item m="1" x="1370"/>
        <item m="1" x="4952"/>
        <item m="1" x="3549"/>
        <item m="1" x="5704"/>
        <item m="1" x="5544"/>
        <item m="1" x="5874"/>
        <item m="1" x="1916"/>
        <item m="1" x="5746"/>
        <item m="1" x="1779"/>
        <item m="1" x="5616"/>
        <item m="1" x="1633"/>
        <item m="1" x="5473"/>
        <item m="1" x="2279"/>
        <item m="1" x="6092"/>
        <item m="1" x="2169"/>
        <item m="1" x="5971"/>
        <item m="1" x="2034"/>
        <item m="1" x="5855"/>
        <item m="1" x="1902"/>
        <item m="1" x="2536"/>
        <item m="1" x="4601"/>
        <item m="1" x="2198"/>
        <item m="1" x="6173"/>
        <item m="1" x="1563"/>
        <item m="1" x="5394"/>
        <item m="1" x="1400"/>
        <item m="1" x="5774"/>
        <item m="1" x="5659"/>
        <item m="1" x="1944"/>
        <item m="1" x="6153"/>
        <item m="1" x="2696"/>
        <item m="1" x="1230"/>
        <item m="1" x="6004"/>
        <item m="1" x="1959"/>
        <item m="1" x="5784"/>
        <item m="1" x="2264"/>
        <item m="1" x="6080"/>
        <item m="1" x="6637"/>
        <item m="1" x="5908"/>
        <item m="1" x="6084"/>
        <item m="1" x="6027"/>
        <item m="1" x="5215"/>
        <item m="1" x="3481"/>
        <item m="1" x="7233"/>
        <item m="1" x="1672"/>
        <item m="1" x="5522"/>
        <item m="1" x="6413"/>
        <item m="1" x="1249"/>
        <item m="1" x="5114"/>
        <item m="1" x="5157"/>
        <item m="1" x="4595"/>
        <item m="1" x="6729"/>
        <item m="1" x="2923"/>
        <item m="1" x="6834"/>
        <item m="1" x="4402"/>
        <item m="1" x="2893"/>
        <item m="1" x="4122"/>
        <item m="1" x="3963"/>
        <item m="1" x="5537"/>
        <item m="1" x="7091"/>
        <item m="1" x="2076"/>
        <item m="1" x="3746"/>
        <item m="1" x="5122"/>
        <item m="1" x="3891"/>
        <item m="1" x="1416"/>
        <item m="1" x="1699"/>
        <item m="1" x="5094"/>
        <item m="1" x="1813"/>
        <item m="1" x="2154"/>
        <item m="1" x="5959"/>
        <item m="1" x="2020"/>
        <item m="1" x="5836"/>
        <item m="1" x="6803"/>
        <item m="1" x="2882"/>
        <item m="1" x="6692"/>
        <item m="1" x="6308"/>
        <item m="1" x="2918"/>
        <item m="1" x="941"/>
        <item m="1" x="4354"/>
        <item m="1" x="5935"/>
        <item m="1" x="3865"/>
        <item m="1" x="1887"/>
        <item m="1" x="2749"/>
        <item m="1" x="6559"/>
        <item m="1" x="6436"/>
        <item m="1" x="7036"/>
        <item m="1" x="3274"/>
        <item m="1" x="2661"/>
        <item m="1" x="6787"/>
        <item m="1" x="4730"/>
        <item m="1" x="3396"/>
        <item m="1" x="2703"/>
        <item m="1" x="3135"/>
        <item m="1" x="379"/>
        <item m="1" x="1652"/>
        <item m="1" x="3648"/>
        <item m="1" x="3001"/>
        <item m="1" x="6909"/>
        <item m="1" x="2869"/>
        <item m="1" x="4689"/>
        <item m="1" x="7583"/>
        <item m="1" x="6875"/>
        <item m="1" x="1829"/>
        <item m="1" x="7567"/>
        <item m="1" x="6756"/>
        <item m="1" x="1188"/>
        <item m="1" x="5055"/>
        <item m="1" x="4895"/>
        <item m="1" x="1010"/>
        <item m="1" x="5773"/>
        <item m="1" x="5648"/>
        <item m="1" x="1545"/>
        <item m="1" x="5382"/>
        <item m="1" x="1380"/>
        <item m="1" x="5232"/>
        <item m="1" x="5895"/>
        <item m="1" x="5507"/>
        <item m="1" x="1524"/>
        <item m="1" x="2189"/>
        <item m="1" x="3753"/>
        <item m="1" x="2005"/>
        <item m="1" x="2553"/>
        <item m="1" x="407"/>
        <item m="1" x="530"/>
        <item m="1" x="2583"/>
        <item m="1" x="6395"/>
        <item m="1" x="3229"/>
        <item m="1" x="3090"/>
        <item m="1" x="6860"/>
        <item m="1" x="1795"/>
        <item m="1" x="4446"/>
        <item m="1" x="4198"/>
        <item m="1" x="6837"/>
        <item m="1" x="2093"/>
        <item m="1" x="782"/>
        <item m="1" x="6570"/>
        <item m="1" x="6444"/>
        <item m="1" x="2514"/>
        <item m="1" x="2759"/>
        <item m="1" x="6701"/>
        <item m="1" x="5635"/>
        <item m="1" x="6797"/>
        <item m="1" x="3014"/>
        <item m="1" x="6922"/>
        <item m="1" x="3144"/>
        <item m="1" x="6326"/>
        <item m="1" x="2634"/>
        <item m="1" x="5713"/>
        <item m="1" x="1587"/>
        <item m="1" x="7134"/>
        <item m="1" x="3251"/>
        <item m="1" x="3107"/>
        <item m="1" x="6880"/>
        <item m="1" x="2968"/>
        <item m="1" x="6762"/>
        <item m="1" x="2843"/>
        <item m="1" x="6651"/>
        <item m="1" x="3491"/>
        <item m="1" x="7243"/>
        <item m="1" x="3365"/>
        <item m="1" x="7120"/>
        <item m="1" x="3234"/>
        <item m="1" x="6999"/>
        <item m="1" x="3356"/>
        <item m="1" x="7107"/>
        <item m="1" x="3218"/>
        <item m="1" x="6853"/>
        <item m="1" x="6866"/>
        <item m="1" x="3096"/>
        <item m="1" x="3343"/>
        <item m="1" x="3463"/>
        <item m="1" x="7331"/>
        <item m="1" x="2954"/>
        <item m="1" x="6752"/>
        <item m="1" x="3586"/>
        <item m="1" x="7444"/>
        <item m="1" x="3702"/>
        <item m="1" x="3079"/>
        <item m="1" x="6987"/>
        <item m="1" x="7217"/>
        <item m="1" x="7229"/>
        <item m="1" x="7343"/>
        <item m="1" x="3477"/>
        <item m="1" x="3600"/>
        <item m="1" x="696"/>
        <item m="1" x="1730"/>
        <item m="1" x="2624"/>
        <item m="1" x="6239"/>
        <item m="1" x="3206"/>
        <item m="1" x="5802"/>
        <item m="1" x="2948"/>
        <item m="1" x="3452"/>
        <item m="1" x="495"/>
        <item m="1" x="4403"/>
        <item m="1" x="7082"/>
        <item m="1" x="4549"/>
        <item m="1" x="3022"/>
        <item m="1" x="3332"/>
        <item m="1" x="7207"/>
        <item m="1" x="3573"/>
        <item m="1" x="3266"/>
        <item m="1" x="7314"/>
        <item m="1" x="6548"/>
        <item m="1" x="7429"/>
        <item m="1" x="7306"/>
        <item m="1" x="6073"/>
        <item m="1" x="6591"/>
        <item m="1" x="1495"/>
        <item m="1" x="3449"/>
        <item m="1" x="3410"/>
        <item m="1" x="2800"/>
        <item m="1" x="4428"/>
        <item m="1" x="3688"/>
        <item m="1" x="7147"/>
        <item m="1" x="1438"/>
        <item m="1" x="6611"/>
        <item m="1" x="3810"/>
        <item m="1" x="6976"/>
        <item m="1" x="6678"/>
        <item m="1" x="4176"/>
        <item m="1" x="653"/>
        <item m="1" x="4692"/>
        <item m="1" x="7538"/>
        <item m="1" x="494"/>
        <item m="1" x="1605"/>
        <item m="1" x="2735"/>
        <item m="1" x="4959"/>
        <item m="1" x="2540"/>
        <item m="1" x="3388"/>
        <item m="1" x="4202"/>
        <item m="1" x="637"/>
        <item m="1" x="2805"/>
        <item m="1" x="3864"/>
        <item m="1" x="368"/>
        <item m="1" x="4282"/>
        <item m="1" x="253"/>
        <item m="1" x="4155"/>
        <item m="1" x="137"/>
        <item m="1" x="4050"/>
        <item m="1" x="799"/>
        <item m="1" x="6896"/>
        <item m="1" x="3125"/>
        <item m="1" x="119"/>
        <item m="1" x="996"/>
        <item m="1" x="2664"/>
        <item m="1" x="3398"/>
        <item m="1" x="7025"/>
        <item m="1" x="2255"/>
        <item m="1" x="7669"/>
        <item m="1" x="5649"/>
        <item m="1" x="3506"/>
        <item m="1" x="2400"/>
        <item m="1" x="1006"/>
        <item m="1" x="6448"/>
        <item m="1" x="6667"/>
        <item m="1" x="2856"/>
        <item m="1" x="2371"/>
        <item m="1" x="6776"/>
        <item m="1" x="487"/>
        <item m="1" x="4396"/>
        <item m="1" x="359"/>
        <item m="1" x="242"/>
        <item m="1" x="4541"/>
        <item m="1" x="7721"/>
        <item m="1" x="7257"/>
        <item m="1" x="2004"/>
        <item m="1" x="5529"/>
        <item m="1" x="521"/>
        <item m="1" x="6066"/>
        <item m="1" x="1814"/>
        <item m="1" x="4150"/>
        <item m="1" x="4173"/>
        <item m="1" x="3377"/>
        <item m="1" x="6925"/>
        <item m="1" x="3351"/>
        <item m="1" x="1991"/>
        <item m="1" x="1428"/>
        <item m="1" x="2009"/>
        <item m="1" x="7135"/>
        <item m="1" x="4679"/>
        <item m="1" x="624"/>
        <item m="1" x="6492"/>
        <item m="1" x="5672"/>
        <item m="1" x="1753"/>
        <item m="1" x="3737"/>
        <item m="1" x="3774"/>
        <item m="1" x="804"/>
        <item m="1" x="4447"/>
        <item m="1" x="4979"/>
        <item m="1" x="6511"/>
        <item m="1" x="785"/>
        <item m="1" x="3917"/>
        <item m="1" x="945"/>
        <item m="1" x="2985"/>
        <item m="1" x="7138"/>
        <item m="1" x="1953"/>
        <item m="1" x="7489"/>
        <item m="1" x="6230"/>
        <item m="1" x="2137"/>
        <item m="1" x="6041"/>
        <item m="1" x="6505"/>
        <item m="1" x="5261"/>
        <item m="1" x="5558"/>
        <item m="1" x="4420"/>
        <item m="1" x="7011"/>
        <item m="1" x="2039"/>
        <item m="1" x="5182"/>
        <item m="1" x="6214"/>
        <item m="1" x="3252"/>
        <item m="1" x="666"/>
        <item m="1" x="1756"/>
        <item m="1" x="3108"/>
        <item m="1" x="179"/>
        <item m="1" x="4530"/>
        <item m="1" x="1967"/>
        <item m="1" x="2660"/>
        <item m="1" x="6763"/>
        <item m="1" x="2301"/>
        <item m="1" x="6881"/>
        <item m="1" x="2969"/>
        <item m="1" x="4384"/>
        <item m="1" x="7586"/>
        <item m="1" x="6939"/>
        <item m="1" x="2393"/>
        <item m="1" x="350"/>
        <item m="1" x="7175"/>
        <item m="1" x="5571"/>
        <item m="1" x="5881"/>
        <item m="1" x="3613"/>
        <item m="1" x="4082"/>
        <item m="1" x="1799"/>
        <item m="1" x="7356"/>
        <item m="1" x="1708"/>
        <item m="1" x="7102"/>
        <item m="1" x="3213"/>
        <item m="1" x="3074"/>
        <item m="1" x="2935"/>
        <item m="1" x="6734"/>
        <item m="1" x="2815"/>
        <item m="1" x="4513"/>
        <item m="1" x="460"/>
        <item m="1" x="3492"/>
        <item m="1" x="2297"/>
        <item m="1" x="5879"/>
        <item m="1" x="6913"/>
        <item m="1" x="5997"/>
        <item m="1" x="5916"/>
        <item m="1" x="1593"/>
        <item m="1" x="6402"/>
        <item m="1" x="7096"/>
        <item m="1" x="2900"/>
        <item m="1" x="68"/>
        <item m="1" x="2459"/>
        <item m="1" x="1441"/>
        <item m="1" x="1213"/>
        <item m="1" x="4263"/>
        <item m="1" x="1106"/>
        <item m="1" x="4985"/>
        <item m="1" x="937"/>
        <item m="1" x="4835"/>
        <item m="1" x="762"/>
        <item m="1" x="1417"/>
        <item m="1" x="4497"/>
        <item m="1" x="592"/>
        <item m="1" x="4653"/>
        <item m="1" x="743"/>
        <item m="1" x="4816"/>
        <item m="1" x="921"/>
        <item m="1" x="4972"/>
        <item m="1" x="1093"/>
        <item m="1" x="5132"/>
        <item m="1" x="1271"/>
        <item m="1" x="4370"/>
        <item m="1" x="610"/>
        <item m="1" x="4668"/>
        <item m="1" x="6113"/>
        <item m="1" x="7121"/>
        <item m="1" x="3235"/>
        <item m="1" x="6767"/>
        <item m="1" x="6887"/>
        <item m="1" x="3115"/>
        <item m="1" x="2976"/>
        <item m="1" x="5690"/>
        <item m="1" x="7617"/>
        <item m="1" x="476"/>
        <item m="1" x="5253"/>
        <item m="1" x="3882"/>
        <item m="1" x="3874"/>
        <item m="1" x="2190"/>
        <item m="1" x="3050"/>
        <item m="1" x="3762"/>
        <item m="1" x="1574"/>
        <item m="1" x="2328"/>
        <item m="1" x="3439"/>
        <item m="1" x="2193"/>
        <item m="1" x="1339"/>
        <item m="1" x="5191"/>
        <item m="1" x="1172"/>
        <item m="1" x="5343"/>
        <item m="1" x="1501"/>
        <item m="1" x="5038"/>
        <item m="1" x="5488"/>
        <item m="1" x="2697"/>
        <item m="1" x="5272"/>
        <item m="1" x="7173"/>
        <item m="1" x="6626"/>
        <item m="1" x="2396"/>
        <item m="1" x="6250"/>
        <item m="1" x="4583"/>
        <item m="1" x="7000"/>
        <item m="1" x="7282"/>
        <item m="1" x="1997"/>
        <item m="1" x="4191"/>
        <item m="1" x="5163"/>
        <item m="1" x="1968"/>
        <item m="1" x="3097"/>
        <item m="1" x="6210"/>
        <item m="1" x="6426"/>
        <item m="1" x="5814"/>
        <item m="1" x="1250"/>
        <item m="1" x="5116"/>
        <item m="1" x="1075"/>
        <item m="1" x="5499"/>
        <item m="1" x="2293"/>
        <item m="1" x="4161"/>
        <item m="1" x="2559"/>
        <item m="1" x="5996"/>
        <item m="1" x="6252"/>
        <item m="1" x="1506"/>
        <item m="1" x="3219"/>
        <item m="1" x="901"/>
        <item m="1" x="4953"/>
        <item m="1" x="4798"/>
        <item m="1" x="7518"/>
        <item m="1" x="4371"/>
        <item m="1" x="4053"/>
        <item m="1" x="7168"/>
        <item m="1" x="3713"/>
        <item m="1" x="7457"/>
        <item m="1" x="5793"/>
        <item m="1" x="7156"/>
        <item m="1" x="7580"/>
        <item m="1" x="1427"/>
        <item m="1" x="7344"/>
        <item m="1" x="3601"/>
        <item m="1" x="7687"/>
        <item m="1" x="723"/>
        <item m="1" x="4079"/>
        <item m="1" x="6988"/>
        <item m="1" x="7395"/>
        <item m="1" x="3402"/>
        <item m="1" x="6599"/>
        <item m="1" x="3478"/>
        <item m="1" x="7230"/>
        <item m="1" x="978"/>
        <item m="1" x="6870"/>
        <item m="1" x="3798"/>
        <item m="1" x="65"/>
        <item m="1" x="3943"/>
        <item m="1" x="1566"/>
        <item m="1" x="71"/>
        <item m="1" x="3925"/>
        <item m="1" x="7646"/>
        <item m="1" x="7445"/>
        <item m="1" x="3587"/>
        <item m="1" x="7251"/>
        <item m="1" x="2991"/>
        <item m="1" x="3240"/>
        <item m="1" x="2291"/>
        <item m="1" x="3849"/>
        <item m="1" x="3982"/>
        <item m="1" x="2068"/>
        <item m="1" x="5888"/>
        <item m="1" x="1935"/>
        <item m="1" x="2441"/>
        <item m="1" x="140"/>
        <item m="1" x="4996"/>
        <item m="1" x="6867"/>
        <item m="1" x="2651"/>
        <item m="1" x="3637"/>
        <item m="1" x="389"/>
        <item m="1" x="3152"/>
        <item m="1" x="4070"/>
        <item m="1" x="2213"/>
        <item m="1" x="3824"/>
        <item m="1" x="3703"/>
        <item m="1" x="7218"/>
        <item m="1" x="3344"/>
        <item m="1" x="1381"/>
        <item m="1" x="5077"/>
        <item m="1" x="1033"/>
        <item m="1" x="4778"/>
        <item m="1" x="1546"/>
        <item m="1" x="5383"/>
        <item m="1" x="5233"/>
        <item m="1" x="1209"/>
        <item m="1" x="7208"/>
        <item m="1" x="1686"/>
        <item m="1" x="3574"/>
        <item m="1" x="882"/>
        <item m="1" x="7315"/>
        <item m="1" x="7600"/>
        <item m="1" x="4573"/>
        <item m="1" x="3270"/>
        <item m="1" x="5925"/>
        <item m="1" x="5525"/>
        <item m="1" x="391"/>
        <item m="1" x="3450"/>
        <item m="1" x="1852"/>
        <item m="1" x="5845"/>
        <item m="1" x="1721"/>
        <item m="1" x="1052"/>
        <item m="1" x="5095"/>
        <item m="1" x="3689"/>
        <item m="1" x="6224"/>
        <item m="1" x="4310"/>
        <item m="1" x="6527"/>
        <item m="1" x="4690"/>
        <item m="1" x="4933"/>
        <item m="1" x="4960"/>
        <item m="1" x="7430"/>
        <item m="1" x="3811"/>
        <item m="1" x="7539"/>
        <item m="1" x="5396"/>
        <item m="1" x="1402"/>
        <item m="1" x="5254"/>
        <item m="1" x="1231"/>
        <item m="1" x="1815"/>
        <item m="1" x="4913"/>
        <item m="1" x="7602"/>
        <item m="1" x="7378"/>
        <item m="1" x="7108"/>
        <item m="1" x="3357"/>
        <item m="1" x="1525"/>
        <item m="1" x="5362"/>
        <item m="1" x="1673"/>
        <item m="1" x="5508"/>
        <item m="1" x="5650"/>
        <item m="1" x="4017"/>
        <item m="1" x="6341"/>
        <item m="1" x="6025"/>
        <item m="1" x="280"/>
        <item m="1" x="509"/>
        <item m="1" x="1358"/>
        <item m="1" x="5209"/>
        <item m="1" x="5313"/>
        <item m="1" x="7178"/>
        <item m="1" x="438"/>
        <item m="1" x="1190"/>
        <item m="1" x="1403"/>
        <item m="1" x="5096"/>
        <item m="1" x="1053"/>
        <item m="1" x="1936"/>
        <item m="1" x="7591"/>
        <item m="1" x="5492"/>
        <item m="1" x="6231"/>
        <item m="1" x="2650"/>
        <item m="1" x="7739"/>
        <item m="1" x="3677"/>
        <item m="1" x="3153"/>
        <item m="1" x="5766"/>
        <item m="1" x="1800"/>
        <item m="1" x="5639"/>
        <item m="1" x="7634"/>
        <item m="1" x="7525"/>
        <item m="1" x="3913"/>
        <item m="1" x="3793"/>
        <item m="1" x="3562"/>
        <item m="1" x="7419"/>
        <item m="1" x="6353"/>
        <item m="1" x="7592"/>
        <item m="1" x="499"/>
        <item m="1" x="5255"/>
        <item m="1" x="3779"/>
        <item m="1" x="2833"/>
        <item m="1" x="7714"/>
        <item m="1" x="1232"/>
        <item m="1" x="3451"/>
        <item m="1" x="1656"/>
        <item m="1" x="2532"/>
        <item m="1" x="7497"/>
        <item m="1" x="4189"/>
        <item m="1" x="2516"/>
        <item m="1" x="4181"/>
        <item m="1" x="176"/>
        <item m="1" x="2194"/>
        <item m="1" x="3167"/>
        <item m="1" x="2942"/>
        <item m="1" x="6805"/>
        <item m="1" x="946"/>
        <item m="1" x="4994"/>
        <item m="1" x="3988"/>
        <item m="1" x="5039"/>
        <item m="1" x="1122"/>
        <item m="1" x="5556"/>
        <item m="1" x="3813"/>
        <item m="1" x="1939"/>
        <item m="1" x="3464"/>
        <item m="1" x="4274"/>
        <item m="1" x="360"/>
        <item m="1" x="4397"/>
        <item m="1" x="488"/>
        <item m="1" x="4542"/>
        <item m="1" x="638"/>
        <item m="1" x="4693"/>
        <item m="1" x="1567"/>
        <item m="1" x="5397"/>
        <item m="1" x="5539"/>
        <item m="1" x="644"/>
        <item m="1" x="7303"/>
        <item m="1" x="304"/>
        <item m="1" x="7601"/>
        <item m="1" x="800"/>
        <item m="1" x="5040"/>
        <item m="1" x="4852"/>
        <item m="1" x="954"/>
        <item m="1" x="5192"/>
        <item m="1" x="1341"/>
        <item m="1" x="5345"/>
        <item m="1" x="1504"/>
        <item m="1" x="3953"/>
        <item m="1" x="4934"/>
        <item m="1" x="1159"/>
        <item m="1" x="7783"/>
        <item m="1" x="4789"/>
        <item m="1" x="2450"/>
        <item m="1" x="5384"/>
        <item m="1" x="5859"/>
        <item m="1" x="1117"/>
        <item m="1" x="6223"/>
        <item m="1" x="7449"/>
        <item m="1" x="3468"/>
        <item m="1" x="4704"/>
        <item m="1" x="763"/>
        <item m="1" x="6449"/>
        <item m="1" x="1210"/>
        <item m="1" x="4986"/>
        <item m="1" x="1107"/>
        <item m="1" x="5143"/>
        <item m="1" x="1831"/>
        <item m="1" x="1687"/>
        <item m="1" x="5663"/>
        <item m="1" x="1284"/>
        <item m="1" x="4385"/>
        <item m="1" x="477"/>
        <item m="1" x="4531"/>
        <item m="1" x="625"/>
        <item m="1" x="4680"/>
        <item m="1" x="786"/>
        <item m="1" x="4844"/>
        <item m="1" x="938"/>
        <item m="1" x="4836"/>
        <item m="1" x="989"/>
        <item m="1" x="5057"/>
        <item m="1" x="5234"/>
        <item m="1" x="5078"/>
        <item m="1" x="4063"/>
        <item m="1" x="2860"/>
        <item m="1" x="5842"/>
        <item m="1" x="284"/>
        <item m="1" x="1012"/>
        <item m="1" x="6463"/>
        <item m="1" x="2992"/>
        <item m="1" x="2517"/>
        <item m="1" x="6119"/>
        <item m="1" x="933"/>
        <item m="1" x="4669"/>
        <item m="1" x="3691"/>
        <item m="1" x="3668"/>
        <item m="1" x="7167"/>
        <item m="1" x="1113"/>
        <item m="1" x="3980"/>
        <item m="1" x="4703"/>
        <item m="1" x="6013"/>
        <item m="1" x="611"/>
        <item m="1" x="7627"/>
        <item m="1" x="5363"/>
        <item m="1" x="4707"/>
        <item m="1" x="6467"/>
        <item m="1" x="1946"/>
        <item m="1" x="5776"/>
        <item m="1" x="1816"/>
        <item m="1" x="5651"/>
        <item m="1" x="1674"/>
        <item m="1" x="5509"/>
        <item m="1" x="1526"/>
        <item m="1" x="6562"/>
        <item m="1" x="4514"/>
        <item m="1" x="5620"/>
        <item m="1" x="6830"/>
        <item m="1" x="4408"/>
        <item m="1" x="2159"/>
        <item m="1" x="7051"/>
        <item m="1" x="278"/>
        <item m="1" x="5526"/>
        <item m="1" x="1547"/>
        <item m="1" x="5210"/>
        <item m="1" x="1359"/>
        <item m="1" x="415"/>
        <item m="1" x="2070"/>
        <item m="1" x="5890"/>
        <item m="1" x="3406"/>
        <item m="1" x="3339"/>
        <item m="1" x="5493"/>
        <item m="1" x="7271"/>
        <item m="1" x="1432"/>
        <item m="1" x="3195"/>
        <item m="1" x="5304"/>
        <item m="1" x="5618"/>
        <item m="1" x="2417"/>
        <item m="1" x="5285"/>
        <item m="1" x="5021"/>
        <item m="1" x="4186"/>
        <item m="1" x="1921"/>
        <item m="1" x="1937"/>
        <item m="1" x="1915"/>
        <item m="1" x="1777"/>
        <item m="1" x="5744"/>
        <item m="1" x="1657"/>
        <item m="1" x="6117"/>
        <item m="1" x="2413"/>
        <item m="1" x="321"/>
        <item m="1" x="170"/>
        <item m="1" x="5148"/>
        <item m="1" x="2013"/>
        <item m="1" x="1781"/>
        <item m="1" x="1272"/>
        <item m="1" x="4973"/>
        <item m="1" x="629"/>
        <item m="1" x="4078"/>
        <item m="1" x="7493"/>
        <item m="1" x="2781"/>
        <item m="1" x="7281"/>
        <item m="1" x="5621"/>
        <item m="1" x="1801"/>
        <item m="1" x="5767"/>
        <item m="1" x="5640"/>
        <item m="1" x="1505"/>
        <item m="1" x="5346"/>
        <item m="1" x="2184"/>
        <item m="1" x="5987"/>
        <item m="1" x="5877"/>
        <item m="1" x="1919"/>
        <item m="1" x="5749"/>
        <item m="1" x="2057"/>
        <item m="1" x="1094"/>
        <item m="1" x="922"/>
        <item m="1" x="5133"/>
        <item m="1" x="3202"/>
        <item m="1" x="6972"/>
        <item m="1" x="6841"/>
        <item m="1" x="3570"/>
        <item m="1" x="3625"/>
        <item m="1" x="7388"/>
        <item m="1" x="7636"/>
        <item m="1" x="3678"/>
        <item m="1" x="4400"/>
        <item m="1" x="1982"/>
        <item m="1" x="5475"/>
        <item m="1" x="1448"/>
        <item m="1" x="6257"/>
        <item m="1" x="7379"/>
        <item m="1" x="3333"/>
        <item m="1" x="3196"/>
        <item m="1" x="3059"/>
        <item m="1" x="2922"/>
        <item m="1" x="2804"/>
        <item m="1" x="7332"/>
        <item m="1" x="2505"/>
        <item m="1" x="2909"/>
        <item m="1" x="1291"/>
        <item m="1" x="1722"/>
        <item m="1" x="4187"/>
        <item m="1" x="2889"/>
        <item m="1" x="698"/>
        <item m="1" x="6318"/>
        <item m="1" x="6642"/>
        <item m="1" x="6693"/>
        <item m="1" x="4817"/>
        <item m="1" x="7508"/>
        <item m="1" x="3006"/>
        <item m="1" x="744"/>
        <item m="1" x="4654"/>
        <item m="1" x="6129"/>
        <item m="1" x="2675"/>
        <item m="1" x="2512"/>
        <item m="1" x="1634"/>
        <item m="1" x="267"/>
        <item m="1" x="4185"/>
        <item m="1" x="6323"/>
        <item m="1" x="1705"/>
        <item m="1" x="6901"/>
        <item m="1" x="4831"/>
        <item m="1" x="1425"/>
        <item m="1" x="5930"/>
        <item m="1" x="1578"/>
        <item m="1" x="5407"/>
        <item m="1" x="5273"/>
        <item m="1" x="1418"/>
        <item m="1" x="1251"/>
        <item m="1" x="3002"/>
        <item m="1" x="249"/>
        <item m="1" x="3950"/>
        <item m="1" x="1716"/>
        <item m="1" x="745"/>
        <item m="1" x="5409"/>
        <item m="1" x="1420"/>
        <item m="1" x="4799"/>
        <item m="1" x="924"/>
        <item m="1" x="4819"/>
        <item m="1" x="1580"/>
        <item m="1" x="4655"/>
        <item m="1" x="2487"/>
        <item m="1" x="1701"/>
        <item m="1" x="2613"/>
        <item m="1" x="902"/>
        <item m="1" x="6549"/>
        <item m="1" x="257"/>
        <item m="1" x="1859"/>
        <item m="1" x="7798"/>
        <item m="1" x="7028"/>
        <item m="1" x="2810"/>
        <item m="1" x="4975"/>
        <item m="1" x="5006"/>
        <item m="1" x="3914"/>
        <item m="1" x="6374"/>
        <item m="1" x="7405"/>
        <item m="1" x="2870"/>
        <item m="1" x="962"/>
        <item m="1" x="1893"/>
        <item m="1" x="1076"/>
        <item m="1" x="5117"/>
        <item m="1" x="5917"/>
        <item m="1" x="2736"/>
        <item m="1" x="5119"/>
        <item m="1" x="1253"/>
        <item m="1" x="1078"/>
        <item m="1" x="5466"/>
        <item m="1" x="3126"/>
        <item m="1" x="4954"/>
        <item m="1" x="6617"/>
        <item m="1" x="2752"/>
        <item m="1" x="6897"/>
        <item m="1" x="4771"/>
        <item m="1" x="7433"/>
        <item m="1" x="3771"/>
        <item m="1" x="7073"/>
        <item m="1" x="3304"/>
        <item m="1" x="5306"/>
        <item m="1" x="262"/>
        <item m="1" x="4577"/>
        <item m="1" x="6305"/>
        <item m="1" x="2986"/>
        <item m="1" x="6316"/>
        <item m="1" x="2500"/>
        <item m="1" x="6679"/>
        <item m="1" x="6437"/>
        <item m="1" x="2625"/>
        <item m="1" x="6560"/>
        <item m="1" x="2750"/>
        <item m="1" x="6198"/>
        <item m="1" x="2385"/>
        <item m="1" x="5287"/>
        <item m="1" x="1274"/>
        <item m="1" x="5135"/>
        <item m="1" x="1096"/>
        <item m="1" x="5476"/>
        <item m="1" x="5429"/>
        <item m="1" x="384"/>
        <item m="1" x="7159"/>
        <item m="1" x="5275"/>
        <item m="1" x="7174"/>
        <item m="1" x="6471"/>
        <item m="1" x="1703"/>
        <item m="1" x="5541"/>
        <item m="1" x="3113"/>
        <item x="56"/>
        <item m="1" x="2857"/>
        <item m="1" x="6777"/>
        <item m="1" x="2002"/>
        <item m="1" x="1734"/>
        <item m="1" x="1999"/>
        <item m="1" x="7795"/>
        <item m="1" x="2273"/>
        <item m="1" x="4956"/>
        <item m="1" x="4800"/>
        <item m="1" x="90"/>
        <item m="1" x="2627"/>
        <item m="1" x="1868"/>
        <item m="1" x="1569"/>
        <item m="1" x="903"/>
        <item m="1" x="3500"/>
        <item m="1" x="66"/>
        <item m="1" x="5168"/>
        <item m="1" x="1926"/>
        <item m="1" x="4066"/>
        <item m="1" x="1602"/>
        <item m="1" x="4138"/>
        <item m="1" x="634"/>
        <item m="1" x="2562"/>
        <item m="1" x="1688"/>
        <item m="1" x="1832"/>
        <item m="1" x="5664"/>
        <item m="1" x="5527"/>
        <item m="1" x="1548"/>
        <item m="1" x="5385"/>
        <item m="1" x="6811"/>
        <item m="1" x="7618"/>
        <item m="1" x="7681"/>
        <item m="1" x="2242"/>
        <item m="1" x="6499"/>
        <item m="1" x="2504"/>
        <item m="1" x="5896"/>
        <item m="1" x="5079"/>
        <item m="1" x="1947"/>
        <item m="1" x="3645"/>
        <item m="1" x="3740"/>
        <item m="1" x="3329"/>
        <item m="1" x="7079"/>
        <item m="1" x="1211"/>
        <item m="1" x="5235"/>
        <item m="1" x="1382"/>
        <item m="1" x="7598"/>
        <item m="1" x="4033"/>
        <item m="1" x="5990"/>
        <item m="1" x="7321"/>
        <item m="1" x="7781"/>
        <item m="1" x="6001"/>
        <item m="1" x="2204"/>
        <item m="1" x="6697"/>
        <item m="1" x="4137"/>
        <item m="1" x="7703"/>
        <item m="1" x="6668"/>
        <item m="1" x="5985"/>
        <item m="1" x="2056"/>
        <item m="1" x="4935"/>
        <item m="1" x="1054"/>
        <item m="1" x="5098"/>
        <item m="1" x="1234"/>
        <item m="1" x="5257"/>
        <item m="1" x="1405"/>
        <item m="1" x="5399"/>
        <item m="1" x="7236"/>
        <item m="1" x="7196"/>
        <item m="1" x="6386"/>
        <item m="1" x="4892"/>
        <item m="1" x="927"/>
        <item m="1" x="1675"/>
        <item m="1" x="1817"/>
        <item m="1" x="5652"/>
        <item m="1" x="5777"/>
        <item m="1" x="5510"/>
        <item m="1" x="6537"/>
        <item m="1" x="6360"/>
        <item m="1" x="1527"/>
        <item m="1" x="6696"/>
        <item m="1" x="3288"/>
        <item m="1" x="4146"/>
        <item m="1" x="6711"/>
        <item m="1" x="3324"/>
        <item m="1" x="6564"/>
        <item m="1" x="517"/>
        <item m="1" x="6034"/>
        <item m="1" x="6810"/>
        <item m="1" x="3299"/>
        <item m="1" x="3192"/>
        <item m="1" x="803"/>
        <item m="1" x="5152"/>
        <item m="1" x="5002"/>
        <item m="1" x="961"/>
        <item m="1" x="957"/>
        <item m="1" x="1360"/>
        <item m="1" x="4696"/>
        <item m="1" x="1130"/>
        <item m="1" x="5364"/>
        <item m="1" x="5211"/>
        <item m="1" x="2847"/>
        <item m="1" x="6658"/>
        <item m="1" x="2714"/>
        <item m="1" x="7252"/>
        <item m="1" x="4855"/>
        <item m="1" x="5437"/>
        <item m="1" x="2599"/>
        <item m="1" x="7012"/>
        <item m="1" x="6412"/>
        <item m="1" x="3253"/>
        <item m="1" x="3109"/>
        <item m="1" x="5953"/>
        <item m="1" x="295"/>
        <item m="1" x="3536"/>
        <item m="1" x="4430"/>
        <item m="1" x="7414"/>
        <item m="1" x="3036"/>
        <item m="1" x="2224"/>
        <item m="1" x="6486"/>
        <item m="1" x="6143"/>
        <item m="1" x="7615"/>
        <item m="1" x="5914"/>
        <item m="1" x="3334"/>
        <item m="1" x="6882"/>
        <item m="1" x="6820"/>
        <item m="1" x="4057"/>
        <item m="1" x="1440"/>
        <item m="1" x="2875"/>
        <item m="1" x="4686"/>
        <item m="1" x="7705"/>
        <item m="1" x="5294"/>
        <item m="1" x="2970"/>
        <item m="1" x="2895"/>
        <item m="1" x="6685"/>
        <item m="1" x="168"/>
        <item m="1" x="6902"/>
        <item m="1" x="6764"/>
        <item m="1" x="1287"/>
        <item m="1" x="2779"/>
        <item m="1" x="6466"/>
        <item m="1" x="7752"/>
        <item m="1" x="7373"/>
        <item m="1" x="3510"/>
        <item m="1" x="6824"/>
        <item m="1" x="2993"/>
        <item m="1" x="388"/>
        <item m="1" x="3239"/>
        <item m="1" x="5471"/>
        <item m="1" x="6373"/>
        <item m="1" x="7158"/>
        <item m="1" x="3394"/>
        <item m="1" x="3576"/>
        <item m="1" x="5709"/>
        <item m="1" x="7064"/>
        <item m="1" x="6551"/>
        <item m="1" x="6652"/>
        <item m="1" x="664"/>
        <item m="1" x="6856"/>
        <item m="1" x="6741"/>
        <item m="1" x="6503"/>
        <item m="1" x="2709"/>
        <item m="1" x="5848"/>
        <item m="1" x="6744"/>
        <item m="1" x="4709"/>
        <item m="1" x="4988"/>
        <item m="1" x="940"/>
        <item m="1" x="4838"/>
        <item m="1" x="2502"/>
        <item m="1" x="3411"/>
        <item m="1" x="6671"/>
        <item m="1" x="4600"/>
        <item m="1" x="7513"/>
        <item m="1" x="6218"/>
        <item m="1" x="828"/>
        <item m="1" x="1789"/>
        <item m="1" x="5673"/>
        <item m="1" x="5546"/>
        <item m="1" x="1581"/>
        <item m="1" x="5414"/>
        <item m="1" x="1097"/>
        <item m="1" x="1857"/>
        <item m="1" x="1710"/>
        <item m="1" x="4976"/>
        <item m="1" x="5136"/>
        <item m="1" x="778"/>
        <item m="1" x="4871"/>
        <item m="1" x="2601"/>
        <item m="1" x="5295"/>
        <item m="1" x="1719"/>
        <item m="1" x="5017"/>
        <item m="1" x="4179"/>
        <item m="1" x="2795"/>
        <item m="1" x="3257"/>
        <item m="1" x="3754"/>
        <item m="1" x="5288"/>
        <item m="1" x="1435"/>
        <item m="1" x="1589"/>
        <item m="1" x="748"/>
        <item m="1" x="4548"/>
        <item m="1" x="1421"/>
        <item m="1" x="1275"/>
        <item m="1" x="4700"/>
        <item m="1" x="5305"/>
        <item m="1" x="7095"/>
        <item m="1" x="2600"/>
        <item m="1" x="4873"/>
        <item m="1" x="2844"/>
        <item m="1" x="3366"/>
        <item m="1" x="6525"/>
        <item m="1" x="6868"/>
        <item m="1" x="7001"/>
        <item m="1" x="3098"/>
        <item m="1" x="7122"/>
        <item m="1" x="3236"/>
        <item m="1" x="5554"/>
        <item m="1" x="2955"/>
        <item m="1" x="6438"/>
        <item m="1" x="4477"/>
        <item m="1" x="2528"/>
        <item m="1" x="2538"/>
        <item m="1" x="6376"/>
        <item m="1" x="6456"/>
        <item m="1" x="2829"/>
        <item m="1" x="5410"/>
        <item m="1" x="6336"/>
        <item m="1" x="5614"/>
        <item m="1" x="1631"/>
        <item m="1" x="5326"/>
        <item m="1" x="6753"/>
        <item m="1" x="150"/>
        <item m="1" x="3826"/>
        <item m="1" x="6478"/>
        <item m="1" x="6809"/>
        <item m="1" x="2899"/>
        <item m="1" x="2768"/>
        <item m="1" x="6704"/>
        <item m="1" x="6577"/>
        <item m="1" x="6792"/>
        <item m="1" x="1295"/>
        <item m="1" x="3148"/>
        <item m="1" x="5432"/>
        <item m="1" x="3015"/>
        <item m="1" x="7790"/>
        <item m="1" x="2874"/>
        <item m="1" x="5353"/>
        <item m="1" x="269"/>
        <item m="1" x="4936"/>
        <item m="1" x="2636"/>
        <item m="1" x="3255"/>
        <item m="1" x="6572"/>
        <item m="1" x="1480"/>
        <item m="1" x="7137"/>
        <item m="1" x="3023"/>
        <item m="1" x="6804"/>
        <item m="1" x="6927"/>
        <item m="1" x="6703"/>
        <item m="1" x="2894"/>
        <item m="1" x="2761"/>
        <item m="1" x="832"/>
        <item m="1" x="6446"/>
        <item m="1" x="3281"/>
        <item m="1" x="7043"/>
        <item m="1" x="6923"/>
        <item m="1" x="3145"/>
        <item m="1" x="6911"/>
        <item m="1" x="3004"/>
        <item m="1" x="2140"/>
        <item m="1" x="6372"/>
        <item m="1" x="4715"/>
        <item m="1" x="830"/>
        <item m="1" x="3379"/>
        <item m="1" x="5246"/>
        <item m="1" x="1306"/>
        <item m="1" x="6721"/>
        <item m="1" x="7603"/>
        <item m="1" x="1491"/>
        <item m="1" x="2104"/>
        <item m="1" x="635"/>
        <item m="1" x="6694"/>
        <item m="1" x="2751"/>
        <item m="1" x="3393"/>
        <item m="1" x="3275"/>
        <item m="1" x="7155"/>
        <item m="1" x="3136"/>
        <item m="1" x="3638"/>
        <item m="1" x="1905"/>
        <item m="1" x="3238"/>
        <item m="1" x="7123"/>
        <item m="1" x="3368"/>
        <item m="1" x="7247"/>
        <item m="1" x="3834"/>
        <item m="1" x="7002"/>
        <item m="1" x="6789"/>
        <item m="1" x="2872"/>
        <item m="1" x="6681"/>
        <item m="1" x="2883"/>
        <item m="1" x="6798"/>
        <item m="1" x="6561"/>
        <item m="1" x="7037"/>
        <item m="1" x="3615"/>
        <item m="1" x="7358"/>
        <item m="1" x="3495"/>
        <item m="1" x="6357"/>
        <item m="1" x="3514"/>
        <item m="1" x="7543"/>
        <item m="1" x="7200"/>
        <item m="1" x="6495"/>
        <item m="1" x="2930"/>
        <item m="1" x="7504"/>
        <item m="1" x="6235"/>
        <item m="1" x="1305"/>
        <item m="1" x="1492"/>
        <item m="1" x="7459"/>
        <item m="1" x="661"/>
        <item m="1" x="6965"/>
        <item m="1" x="4858"/>
        <item m="1" x="810"/>
        <item m="1" x="646"/>
        <item m="1" x="4551"/>
        <item m="1" x="496"/>
        <item m="1" x="4405"/>
        <item m="1" x="370"/>
        <item m="1" x="4284"/>
        <item m="1" x="1129"/>
        <item m="1" x="5001"/>
        <item m="1" x="956"/>
        <item m="1" x="4854"/>
        <item m="1" x="944"/>
        <item m="1" x="1490"/>
        <item m="1" x="802"/>
        <item m="1" x="4695"/>
        <item m="1" x="640"/>
        <item m="1" x="4544"/>
        <item m="1" x="490"/>
        <item m="1" x="4399"/>
        <item m="1" x="1292"/>
        <item m="1" x="5147"/>
        <item m="1" x="1120"/>
        <item m="1" x="7562"/>
        <item m="1" x="3714"/>
        <item m="1" x="7402"/>
        <item m="1" x="6723"/>
        <item m="1" x="6147"/>
        <item m="1" x="3150"/>
        <item m="1" x="3292"/>
        <item m="1" x="5276"/>
        <item m="1" x="1254"/>
        <item m="1" x="5120"/>
        <item m="1" x="1970"/>
        <item m="1" x="3508"/>
        <item m="1" x="7259"/>
        <item m="1" x="7267"/>
        <item m="1" x="3389"/>
        <item m="1" x="522"/>
        <item m="1" x="3731"/>
        <item m="1" x="7710"/>
        <item m="1" x="5548"/>
        <item x="33"/>
        <item m="1" x="5310"/>
        <item m="1" x="7014"/>
        <item m="1" x="3111"/>
        <item m="1" x="7469"/>
        <item m="1" x="6885"/>
        <item m="1" x="3726"/>
        <item m="1" x="6248"/>
        <item m="1" x="4997"/>
        <item m="1" x="3984"/>
        <item m="1" x="1152"/>
        <item m="1" x="7149"/>
        <item m="1" x="3008"/>
        <item m="1" x="3933"/>
        <item x="57"/>
        <item x="18"/>
        <item m="1" x="949"/>
        <item m="1" x="5999"/>
        <item m="1" x="3268"/>
        <item m="1" x="3128"/>
        <item m="1" x="5560"/>
        <item m="1" x="1838"/>
        <item m="1" x="845"/>
        <item m="1" x="7659"/>
        <item m="1" x="1493"/>
        <item m="1" x="4312"/>
        <item m="1" x="6790"/>
        <item m="1" x="1737"/>
        <item m="1" x="4177"/>
        <item m="1" x="4705"/>
        <item m="1" x="93"/>
        <item m="1" x="5829"/>
        <item m="1" x="5991"/>
        <item m="1" x="7346"/>
        <item m="1" x="7244"/>
        <item m="1" x="2988"/>
        <item m="1" x="3847"/>
        <item m="1" x="788"/>
        <item m="1" x="4683"/>
        <item m="1" x="627"/>
        <item m="1" x="4533"/>
        <item m="1" x="6899"/>
        <item m="1" x="3884"/>
        <item m="1" x="4712"/>
        <item m="1" x="2410"/>
        <item m="1" x="1612"/>
        <item m="1" x="3480"/>
        <item m="1" x="7232"/>
        <item m="1" x="3359"/>
        <item m="1" x="7110"/>
        <item m="1" x="4847"/>
        <item m="1" x="1451"/>
        <item m="1" x="4283"/>
        <item m="1" x="7027"/>
        <item m="1" x="5756"/>
        <item m="1" x="1325"/>
        <item m="1" x="4554"/>
        <item m="1" x="3624"/>
        <item m="1" x="6779"/>
        <item m="1" x="497"/>
        <item m="1" x="4406"/>
        <item m="1" x="6070"/>
        <item m="1" x="2116"/>
        <item m="1" x="660"/>
        <item m="1" x="4160"/>
        <item m="1" x="375"/>
        <item m="1" x="255"/>
        <item m="1" x="4289"/>
        <item x="4"/>
        <item m="1" x="5934"/>
        <item m="1" x="3070"/>
        <item m="1" x="6944"/>
        <item m="1" x="6003"/>
        <item m="1" x="6200"/>
        <item m="1" x="3704"/>
        <item m="1" x="1314"/>
        <item m="1" x="2129"/>
        <item m="1" x="5019"/>
        <item m="1" x="6818"/>
        <item m="1" x="3130"/>
        <item m="1" x="392"/>
        <item m="1" x="1889"/>
        <item m="1" x="461"/>
        <item m="1" x="2241"/>
        <item m="1" x="5674"/>
        <item m="1" x="369"/>
        <item m="1" x="1858"/>
        <item m="1" x="3800"/>
        <item m="1" x="4121"/>
        <item m="1" x="6199"/>
        <item m="1" x="7370"/>
        <item m="1" x="979"/>
        <item m="1" x="147"/>
        <item m="1" x="1494"/>
        <item m="1" x="4056"/>
        <item m="1" x="7599"/>
        <item m="1" x="7780"/>
        <item m="1" x="4550"/>
        <item m="1" x="645"/>
        <item m="1" x="6680"/>
        <item m="1" x="2871"/>
        <item m="1" x="6788"/>
        <item m="1" x="3003"/>
        <item m="1" x="6910"/>
        <item m="1" x="649"/>
        <item m="1" x="7316"/>
        <item m="1" x="3575"/>
        <item m="1" x="7431"/>
        <item m="1" x="3690"/>
        <item m="1" x="7540"/>
        <item m="1" x="3812"/>
        <item m="1" x="7647"/>
        <item m="1" x="6293"/>
        <item m="1" x="7751"/>
        <item m="1" x="4028"/>
        <item m="1" x="7219"/>
        <item m="1" x="3465"/>
        <item m="1" x="7333"/>
        <item m="1" x="3588"/>
        <item m="1" x="7447"/>
        <item m="1" x="7549"/>
        <item m="1" x="3825"/>
        <item m="1" x="2737"/>
        <item m="1" x="4404"/>
        <item m="1" x="4688"/>
        <item m="1" x="809"/>
        <item m="1" x="4699"/>
        <item m="1" x="7364"/>
        <item m="1" x="657"/>
        <item m="1" x="3655"/>
        <item m="1" x="4448"/>
        <item m="1" x="5787"/>
        <item m="1" x="7304"/>
        <item m="1" x="5373"/>
        <item m="1" x="4543"/>
        <item m="1" x="639"/>
        <item m="1" x="5330"/>
        <item m="1" x="6423"/>
        <item m="1" x="489"/>
        <item m="1" x="7694"/>
        <item m="1" x="5487"/>
        <item m="1" x="2987"/>
        <item m="1" x="6039"/>
        <item m="1" x="6247"/>
        <item m="1" x="6481"/>
        <item m="1" x="6713"/>
        <item m="1" x="4846"/>
        <item m="1" x="6898"/>
        <item m="1" x="2428"/>
        <item m="1" x="6781"/>
        <item m="1" x="4156"/>
        <item m="1" x="955"/>
        <item m="1" x="4853"/>
        <item m="1" x="801"/>
        <item m="1" x="4694"/>
        <item m="1" x="3267"/>
        <item m="1" x="7026"/>
        <item m="1" x="948"/>
        <item m="1" x="1119"/>
        <item m="1" x="4275"/>
        <item m="1" x="361"/>
        <item m="1" x="4398"/>
        <item m="1" x="250"/>
        <item m="1" x="135"/>
        <item m="1" x="3314"/>
        <item m="1" x="3545"/>
        <item m="1" x="806"/>
        <item m="1" x="2799"/>
        <item m="1" x="2698"/>
        <item m="1" x="2931"/>
        <item m="1" x="4670"/>
        <item m="1" x="699"/>
        <item m="1" x="2148"/>
        <item m="1" x="6778"/>
        <item m="1" x="2219"/>
        <item m="1" x="2044"/>
        <item m="1" x="160"/>
        <item m="1" x="69"/>
        <item m="1" x="3983"/>
        <item m="1" x="5561"/>
        <item m="1" x="5797"/>
        <item m="1" x="3127"/>
        <item m="1" x="4682"/>
        <item m="1" x="4386"/>
        <item m="1" x="848"/>
        <item m="1" x="1764"/>
        <item m="1" x="4532"/>
        <item m="1" x="478"/>
        <item m="1" x="626"/>
        <item m="1" x="4987"/>
        <item m="1" x="1108"/>
        <item m="1" x="5144"/>
        <item m="1" x="1285"/>
        <item m="1" x="4837"/>
        <item m="1" x="939"/>
        <item m="1" x="765"/>
        <item m="1" x="7491"/>
        <item m="1" x="5456"/>
        <item m="1" x="612"/>
        <item m="1" x="1725"/>
        <item m="1" x="647"/>
        <item m="1" x="6051"/>
        <item x="1"/>
        <item x="2"/>
        <item x="5"/>
        <item x="6"/>
        <item x="7"/>
        <item x="11"/>
        <item x="12"/>
        <item x="20"/>
        <item x="21"/>
        <item x="26"/>
        <item x="27"/>
        <item x="28"/>
        <item m="1" x="1446"/>
        <item x="32"/>
        <item x="34"/>
        <item m="1" x="7176"/>
        <item x="38"/>
        <item m="1" x="2858"/>
        <item x="43"/>
        <item x="44"/>
        <item x="45"/>
        <item x="46"/>
        <item m="1" x="7322"/>
        <item m="1" x="1434"/>
        <item m="1" x="4515"/>
        <item m="1" x="7148"/>
        <item m="1" x="5932"/>
        <item x="49"/>
        <item x="54"/>
        <item m="1" x="2388"/>
        <item m="1" x="7245"/>
        <item m="1" x="3493"/>
        <item m="1" x="6653"/>
        <item m="1" x="2845"/>
        <item m="1" x="6765"/>
        <item m="1" x="2971"/>
        <item m="1" x="6883"/>
        <item x="3"/>
        <item x="8"/>
        <item x="9"/>
        <item x="22"/>
        <item m="1" x="7013"/>
        <item x="35"/>
        <item m="1" x="7258"/>
        <item x="50"/>
        <item m="1" x="958"/>
        <item m="1" x="6368"/>
        <item m="1" x="6669"/>
        <item m="1" x="6869"/>
        <item m="1" x="81"/>
        <item m="1" x="1286"/>
        <item m="1" x="3507"/>
        <item m="1" x="3254"/>
        <item m="1" x="7136"/>
        <item m="1" x="3378"/>
        <item m="1" x="1598"/>
        <item m="1" x="5977"/>
        <item m="1" x="7682"/>
        <item x="59"/>
        <item x="60"/>
        <item m="1" x="6754"/>
        <item m="1" x="2956"/>
        <item m="1" x="3602"/>
        <item m="1" x="2830"/>
        <item m="1" x="7345"/>
        <item m="1" x="5166"/>
        <item m="1" x="3279"/>
        <item m="1" x="151"/>
        <item m="1" x="6845"/>
        <item m="1" x="5430"/>
        <item m="1" x="3110"/>
        <item m="1" x="7506"/>
        <item m="1" x="6822"/>
        <item m="1" x="3237"/>
        <item m="1" x="2972"/>
        <item m="1" x="6884"/>
        <item m="1" x="7231"/>
        <item m="1" x="3358"/>
        <item m="1" x="7109"/>
        <item m="1" x="3220"/>
        <item m="1" x="6989"/>
        <item m="1" x="3080"/>
        <item m="1" x="6854"/>
        <item m="1" x="2770"/>
        <item m="1" x="6346"/>
        <item m="1" x="2409"/>
        <item m="1" x="6227"/>
        <item m="1" x="2316"/>
        <item m="1" x="6124"/>
        <item m="1" x="2208"/>
        <item x="19"/>
        <item m="1" x="3614"/>
        <item m="1" x="3479"/>
        <item m="1" x="6740"/>
        <item m="1" x="7357"/>
        <item m="1" x="99"/>
        <item x="10"/>
        <item m="1" x="7458"/>
        <item m="1" x="7446"/>
        <item m="1" x="6340"/>
        <item m="1" x="2534"/>
        <item m="1" x="6460"/>
        <item m="1" x="2645"/>
        <item m="1" x="5906"/>
        <item m="1" x="2088"/>
        <item m="1" x="6018"/>
        <item x="15"/>
        <item x="29"/>
        <item m="1" x="2680"/>
        <item x="37"/>
        <item m="1" x="3494"/>
        <item m="1" x="5423"/>
        <item m="1" x="5912"/>
        <item x="23"/>
        <item x="24"/>
        <item m="1" x="5965"/>
        <item m="1" x="5145"/>
        <item m="1" x="6122"/>
        <item m="1" x="6576"/>
        <item m="1" x="2202"/>
        <item m="1" x="2307"/>
        <item m="1" x="6009"/>
        <item m="1" x="6335"/>
        <item m="1" x="2402"/>
        <item m="1" x="6455"/>
        <item m="1" x="6571"/>
        <item m="1" x="6222"/>
        <item m="1" x="2767"/>
        <item m="1" x="2760"/>
        <item m="1" x="2299"/>
        <item m="1" x="6216"/>
        <item m="1" x="2641"/>
        <item m="1" x="2527"/>
        <item m="1" x="6702"/>
        <item m="1" x="2635"/>
        <item m="1" x="3367"/>
        <item m="1" x="7246"/>
        <item m="1" x="6445"/>
        <item m="1" x="5299"/>
        <item m="1" x="390"/>
        <item m="1" x="7317"/>
        <item x="25"/>
        <item x="30"/>
        <item x="31"/>
        <item x="42"/>
        <item x="47"/>
        <item x="51"/>
        <item x="52"/>
        <item x="53"/>
        <item x="55"/>
        <item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000">
        <item m="1" x="174"/>
        <item x="88"/>
        <item m="1" x="6968"/>
        <item x="73"/>
        <item m="1" x="2071"/>
        <item m="1" x="2265"/>
        <item m="1" x="2223"/>
        <item m="1" x="4176"/>
        <item m="1" x="2710"/>
        <item m="1" x="6266"/>
        <item x="91"/>
        <item m="1" x="734"/>
        <item m="1" x="4231"/>
        <item m="1" x="448"/>
        <item m="1" x="7230"/>
        <item m="1" x="285"/>
        <item m="1" x="1005"/>
        <item m="1" x="5655"/>
        <item m="1" x="4342"/>
        <item m="1" x="3875"/>
        <item m="1" x="1452"/>
        <item m="1" x="3693"/>
        <item m="1" x="4011"/>
        <item m="1" x="4299"/>
        <item m="1" x="6492"/>
        <item m="1" x="5708"/>
        <item m="1" x="6093"/>
        <item m="1" x="2763"/>
        <item m="1" x="3993"/>
        <item m="1" x="4860"/>
        <item m="1" x="3942"/>
        <item m="1" x="5353"/>
        <item m="1" x="6534"/>
        <item m="1" x="397"/>
        <item m="1" x="6368"/>
        <item m="1" x="3518"/>
        <item m="1" x="6372"/>
        <item m="1" x="1847"/>
        <item m="1" x="339"/>
        <item m="1" x="4043"/>
        <item m="1" x="3723"/>
        <item m="1" x="3216"/>
        <item m="1" x="930"/>
        <item m="1" x="1726"/>
        <item m="1" x="1710"/>
        <item m="1" x="6517"/>
        <item m="1" x="5373"/>
        <item m="1" x="6207"/>
        <item m="1" x="7308"/>
        <item m="1" x="3573"/>
        <item m="1" x="4938"/>
        <item m="1" x="7025"/>
        <item m="1" x="7576"/>
        <item m="1" x="3816"/>
        <item m="1" x="5149"/>
        <item m="1" x="7881"/>
        <item m="1" x="6568"/>
        <item m="1" x="4096"/>
        <item m="1" x="7076"/>
        <item m="1" x="3487"/>
        <item x="92"/>
        <item m="1" x="7333"/>
        <item m="1" x="7661"/>
        <item m="1" x="4840"/>
        <item m="1" x="3144"/>
        <item m="1" x="2976"/>
        <item m="1" x="5230"/>
        <item m="1" x="5534"/>
        <item m="1" x="7803"/>
        <item m="1" x="6608"/>
        <item m="1" x="507"/>
        <item m="1" x="7765"/>
        <item m="1" x="2509"/>
        <item m="1" x="2264"/>
        <item m="1" x="3155"/>
        <item m="1" x="4152"/>
        <item x="90"/>
        <item m="1" x="2483"/>
        <item m="1" x="2360"/>
        <item m="1" x="2072"/>
        <item m="1" x="4446"/>
        <item m="1" x="5154"/>
        <item m="1" x="5656"/>
        <item m="1" x="5153"/>
        <item m="1" x="5568"/>
        <item m="1" x="4495"/>
        <item m="1" x="2557"/>
        <item m="1" x="1917"/>
        <item m="1" x="3618"/>
        <item m="1" x="841"/>
        <item m="1" x="4347"/>
        <item m="1" x="2732"/>
        <item m="1" x="1019"/>
        <item m="1" x="6000"/>
        <item m="1" x="4128"/>
        <item m="1" x="6493"/>
        <item m="1" x="6030"/>
        <item m="1" x="4537"/>
        <item m="1" x="4745"/>
        <item m="1" x="5360"/>
        <item m="1" x="391"/>
        <item m="1" x="4276"/>
        <item m="1" x="5577"/>
        <item m="1" x="2835"/>
        <item m="1" x="4223"/>
        <item m="1" x="709"/>
        <item m="1" x="6924"/>
        <item m="1" x="4861"/>
        <item m="1" x="5290"/>
        <item m="1" x="3865"/>
        <item m="1" x="3191"/>
        <item m="1" x="4802"/>
        <item m="1" x="7622"/>
        <item m="1" x="2032"/>
        <item m="1" x="3298"/>
        <item m="1" x="828"/>
        <item m="1" x="1784"/>
        <item m="1" x="6885"/>
        <item m="1" x="7260"/>
        <item m="1" x="3316"/>
        <item m="1" x="1783"/>
        <item m="1" x="7417"/>
        <item m="1" x="5027"/>
        <item m="1" x="1277"/>
        <item m="1" x="7015"/>
        <item m="1" x="1972"/>
        <item m="1" x="3005"/>
        <item m="1" x="7713"/>
        <item m="1" x="5633"/>
        <item m="1" x="7071"/>
        <item m="1" x="4921"/>
        <item m="1" x="6060"/>
        <item m="1" x="5885"/>
        <item m="1" x="6865"/>
        <item m="1" x="6053"/>
        <item m="1" x="1871"/>
        <item m="1" x="6785"/>
        <item m="1" x="1325"/>
        <item m="1" x="2112"/>
        <item m="1" x="2001"/>
        <item m="1" x="2476"/>
        <item m="1" x="2869"/>
        <item m="1" x="2019"/>
        <item m="1" x="2387"/>
        <item m="1" x="2990"/>
        <item m="1" x="5066"/>
        <item m="1" x="596"/>
        <item m="1" x="4810"/>
        <item m="1" x="3952"/>
        <item m="1" x="627"/>
        <item m="1" x="4951"/>
        <item m="1" x="3794"/>
        <item m="1" x="2053"/>
        <item m="1" x="487"/>
        <item m="1" x="1633"/>
        <item m="1" x="7224"/>
        <item m="1" x="4709"/>
        <item m="1" x="7834"/>
        <item m="1" x="1894"/>
        <item m="1" x="3558"/>
        <item m="1" x="2152"/>
        <item m="1" x="6267"/>
        <item m="1" x="4421"/>
        <item m="1" x="2245"/>
        <item m="1" x="7595"/>
        <item m="1" x="7951"/>
        <item m="1" x="7394"/>
        <item m="1" x="2203"/>
        <item m="1" x="4272"/>
        <item m="1" x="340"/>
        <item m="1" x="3694"/>
        <item m="1" x="3467"/>
        <item m="1" x="7183"/>
        <item m="1" x="3426"/>
        <item m="1" x="6890"/>
        <item m="1" x="5124"/>
        <item m="1" x="1114"/>
        <item m="1" x="5992"/>
        <item m="1" x="6656"/>
        <item m="1" x="3454"/>
        <item m="1" x="3568"/>
        <item m="1" x="2372"/>
        <item m="1" x="2727"/>
        <item m="1" x="3026"/>
        <item m="1" x="5091"/>
        <item x="17"/>
        <item m="1" x="1411"/>
        <item m="1" x="3692"/>
        <item m="1" x="6629"/>
        <item m="1" x="2131"/>
        <item m="1" x="853"/>
        <item m="1" x="7870"/>
        <item m="1" x="5056"/>
        <item m="1" x="7107"/>
        <item m="1" x="1215"/>
        <item m="1" x="5759"/>
        <item m="1" x="1091"/>
        <item m="1" x="3778"/>
        <item m="1" x="2671"/>
        <item m="1" x="7227"/>
        <item m="1" x="7226"/>
        <item m="1" x="3385"/>
        <item m="1" x="1993"/>
        <item m="1" x="6776"/>
        <item m="1" x="7577"/>
        <item m="1" x="3885"/>
        <item m="1" x="7484"/>
        <item m="1" x="1257"/>
        <item m="1" x="2289"/>
        <item m="1" x="4235"/>
        <item m="1" x="7034"/>
        <item x="79"/>
        <item m="1" x="2672"/>
        <item m="1" x="1467"/>
        <item m="1" x="5628"/>
        <item m="1" x="7184"/>
        <item m="1" x="2823"/>
        <item m="1" x="7375"/>
        <item m="1" x="4407"/>
        <item m="1" x="1753"/>
        <item m="1" x="1872"/>
        <item m="1" x="2125"/>
        <item m="1" x="978"/>
        <item x="154"/>
        <item m="1" x="1449"/>
        <item m="1" x="4593"/>
        <item m="1" x="370"/>
        <item m="1" x="5827"/>
        <item m="1" x="6599"/>
        <item m="1" x="4435"/>
        <item m="1" x="7965"/>
        <item m="1" x="4269"/>
        <item m="1" x="2551"/>
        <item m="1" x="5413"/>
        <item m="1" x="5752"/>
        <item m="1" x="6072"/>
        <item m="1" x="5072"/>
        <item m="1" x="6373"/>
        <item m="1" x="3973"/>
        <item m="1" x="807"/>
        <item m="1" x="3702"/>
        <item m="1" x="4578"/>
        <item m="1" x="4922"/>
        <item m="1" x="7094"/>
        <item m="1" x="4292"/>
        <item m="1" x="1022"/>
        <item m="1" x="6728"/>
        <item m="1" x="3602"/>
        <item m="1" x="6691"/>
        <item m="1" x="2355"/>
        <item m="1" x="2063"/>
        <item m="1" x="1278"/>
        <item m="1" x="817"/>
        <item m="1" x="2047"/>
        <item x="86"/>
        <item m="1" x="6863"/>
        <item m="1" x="6805"/>
        <item m="1" x="7601"/>
        <item m="1" x="782"/>
        <item m="1" x="7245"/>
        <item m="1" x="4940"/>
        <item m="1" x="2248"/>
        <item m="1" x="7841"/>
        <item m="1" x="4923"/>
        <item m="1" x="7179"/>
        <item m="1" x="2805"/>
        <item m="1" x="1582"/>
        <item m="1" x="4039"/>
        <item m="1" x="7941"/>
        <item m="1" x="6591"/>
        <item m="1" x="4211"/>
        <item m="1" x="7589"/>
        <item m="1" x="3076"/>
        <item m="1" x="3502"/>
        <item m="1" x="4558"/>
        <item m="1" x="1533"/>
        <item m="1" x="7644"/>
        <item m="1" x="1562"/>
        <item m="1" x="4811"/>
        <item m="1" x="2182"/>
        <item m="1" x="1701"/>
        <item m="1" x="985"/>
        <item m="1" x="3183"/>
        <item m="1" x="769"/>
        <item m="1" x="341"/>
        <item m="1" x="6858"/>
        <item m="1" x="197"/>
        <item m="1" x="7351"/>
        <item m="1" x="970"/>
        <item m="1" x="2379"/>
        <item m="1" x="4883"/>
        <item m="1" x="1673"/>
        <item m="1" x="4216"/>
        <item m="1" x="3051"/>
        <item m="1" x="3721"/>
        <item m="1" x="3789"/>
        <item m="1" x="7633"/>
        <item m="1" x="2938"/>
        <item x="42"/>
        <item m="1" x="5919"/>
        <item m="1" x="1262"/>
        <item m="1" x="7930"/>
        <item m="1" x="6835"/>
        <item m="1" x="2764"/>
        <item m="1" x="5207"/>
        <item m="1" x="6282"/>
        <item m="1" x="1469"/>
        <item m="1" x="1855"/>
        <item m="1" x="5617"/>
        <item m="1" x="356"/>
        <item m="1" x="2765"/>
        <item m="1" x="346"/>
        <item m="1" x="432"/>
        <item m="1" x="7150"/>
        <item m="1" x="518"/>
        <item m="1" x="2592"/>
        <item m="1" x="6312"/>
        <item m="1" x="2455"/>
        <item m="1" x="4795"/>
        <item m="1" x="6223"/>
        <item m="1" x="1675"/>
        <item m="1" x="3946"/>
        <item m="1" x="4496"/>
        <item m="1" x="3304"/>
        <item m="1" x="7760"/>
        <item m="1" x="1014"/>
        <item m="1" x="1482"/>
        <item m="1" x="7814"/>
        <item m="1" x="1559"/>
        <item m="1" x="7312"/>
        <item m="1" x="1685"/>
        <item m="1" x="3596"/>
        <item m="1" x="2612"/>
        <item m="1" x="4857"/>
        <item m="1" x="932"/>
        <item m="1" x="1951"/>
        <item m="1" x="5232"/>
        <item x="118"/>
        <item m="1" x="4034"/>
        <item m="1" x="6087"/>
        <item m="1" x="1520"/>
        <item m="1" x="1620"/>
        <item m="1" x="1722"/>
        <item m="1" x="3365"/>
        <item m="1" x="7346"/>
        <item m="1" x="6362"/>
        <item m="1" x="3023"/>
        <item m="1" x="3784"/>
        <item m="1" x="2813"/>
        <item m="1" x="1637"/>
        <item m="1" x="4344"/>
        <item m="1" x="1846"/>
        <item m="1" x="1683"/>
        <item m="1" x="5176"/>
        <item m="1" x="649"/>
        <item m="1" x="413"/>
        <item m="1" x="2660"/>
        <item m="1" x="848"/>
        <item m="1" x="1236"/>
        <item m="1" x="1546"/>
        <item m="1" x="7704"/>
        <item m="1" x="4310"/>
        <item m="1" x="6413"/>
        <item m="1" x="3138"/>
        <item m="1" x="6886"/>
        <item m="1" x="4297"/>
        <item m="1" x="4143"/>
        <item m="1" x="2287"/>
        <item m="1" x="4154"/>
        <item m="1" x="5308"/>
        <item m="1" x="2304"/>
        <item m="1" x="6665"/>
        <item m="1" x="4448"/>
        <item m="1" x="2632"/>
        <item m="1" x="1638"/>
        <item m="1" x="7662"/>
        <item x="39"/>
        <item m="1" x="5846"/>
        <item x="143"/>
        <item m="1" x="999"/>
        <item m="1" x="3823"/>
        <item m="1" x="6094"/>
        <item m="1" x="6354"/>
        <item m="1" x="2783"/>
        <item m="1" x="4030"/>
        <item m="1" x="7273"/>
        <item m="1" x="6119"/>
        <item m="1" x="1694"/>
        <item m="1" x="3889"/>
        <item m="1" x="345"/>
        <item m="1" x="4381"/>
        <item m="1" x="6778"/>
        <item m="1" x="2356"/>
        <item m="1" x="1162"/>
        <item m="1" x="3647"/>
        <item m="1" x="7243"/>
        <item m="1" x="7483"/>
        <item m="1" x="211"/>
        <item m="1" x="212"/>
        <item m="1" x="4155"/>
        <item m="1" x="2480"/>
        <item m="1" x="610"/>
        <item m="1" x="6489"/>
        <item m="1" x="5344"/>
        <item m="1" x="6316"/>
        <item m="1" x="1196"/>
        <item m="1" x="2669"/>
        <item m="1" x="5378"/>
        <item m="1" x="3399"/>
        <item m="1" x="3276"/>
        <item m="1" x="3896"/>
        <item m="1" x="928"/>
        <item m="1" x="5857"/>
        <item m="1" x="410"/>
        <item m="1" x="4387"/>
        <item m="1" x="1763"/>
        <item m="1" x="4009"/>
        <item m="1" x="3605"/>
        <item m="1" x="5435"/>
        <item m="1" x="5926"/>
        <item m="1" x="941"/>
        <item m="1" x="3425"/>
        <item m="1" x="5770"/>
        <item m="1" x="6633"/>
        <item m="1" x="1593"/>
        <item m="1" x="788"/>
        <item m="1" x="6948"/>
        <item m="1" x="1957"/>
        <item m="1" x="6642"/>
        <item m="1" x="2460"/>
        <item m="1" x="3981"/>
        <item m="1" x="2839"/>
        <item m="1" x="5718"/>
        <item m="1" x="6046"/>
        <item m="1" x="786"/>
        <item m="1" x="1527"/>
        <item m="1" x="4770"/>
        <item m="1" x="7435"/>
        <item m="1" x="5512"/>
        <item m="1" x="2750"/>
        <item m="1" x="4740"/>
        <item m="1" x="4159"/>
        <item m="1" x="4841"/>
        <item m="1" x="3619"/>
        <item m="1" x="3232"/>
        <item m="1" x="7743"/>
        <item m="1" x="4408"/>
        <item m="1" x="1984"/>
        <item m="1" x="1848"/>
        <item m="1" x="2326"/>
        <item m="1" x="558"/>
        <item m="1" x="4842"/>
        <item m="1" x="7871"/>
        <item m="1" x="2249"/>
        <item m="1" x="2250"/>
        <item m="1" x="4483"/>
        <item m="1" x="4160"/>
        <item m="1" x="5398"/>
        <item m="1" x="6213"/>
        <item m="1" x="2580"/>
        <item m="1" x="4665"/>
        <item m="1" x="412"/>
        <item m="1" x="1333"/>
        <item m="1" x="7157"/>
        <item m="1" x="3920"/>
        <item m="1" x="2070"/>
        <item m="1" x="1279"/>
        <item m="1" x="4974"/>
        <item m="1" x="739"/>
        <item m="1" x="4365"/>
        <item m="1" x="744"/>
        <item m="1" x="6140"/>
        <item m="1" x="476"/>
        <item m="1" x="7700"/>
        <item m="1" x="6618"/>
        <item m="1" x="5175"/>
        <item m="1" x="5474"/>
        <item m="1" x="6540"/>
        <item m="1" x="3233"/>
        <item m="1" x="2923"/>
        <item m="1" x="6304"/>
        <item m="1" x="1048"/>
        <item m="1" x="6174"/>
        <item m="1" x="3061"/>
        <item m="1" x="3637"/>
        <item m="1" x="5231"/>
        <item m="1" x="6799"/>
        <item m="1" x="1720"/>
        <item m="1" x="2477"/>
        <item m="1" x="4666"/>
        <item m="1" x="967"/>
        <item m="1" x="1076"/>
        <item m="1" x="7683"/>
        <item m="1" x="1251"/>
        <item m="1" x="2213"/>
        <item m="1" x="5491"/>
        <item m="1" x="7320"/>
        <item m="1" x="745"/>
        <item m="1" x="7573"/>
        <item m="1" x="3953"/>
        <item m="1" x="4549"/>
        <item m="1" x="4232"/>
        <item m="1" x="6165"/>
        <item m="1" x="3400"/>
        <item m="1" x="7806"/>
        <item m="1" x="3681"/>
        <item m="1" x="6944"/>
        <item m="1" x="5563"/>
        <item m="1" x="5564"/>
        <item m="1" x="5513"/>
        <item m="1" x="3613"/>
        <item m="1" x="3190"/>
        <item m="1" x="1192"/>
        <item m="1" x="268"/>
        <item m="1" x="3866"/>
        <item m="1" x="7920"/>
        <item m="1" x="6006"/>
        <item m="1" x="5578"/>
        <item m="1" x="2057"/>
        <item m="1" x="666"/>
        <item m="1" x="6159"/>
        <item m="1" x="2484"/>
        <item m="1" x="2485"/>
        <item m="1" x="7795"/>
        <item m="1" x="1830"/>
        <item m="1" x="2519"/>
        <item m="1" x="2454"/>
        <item m="1" x="6580"/>
        <item m="1" x="5475"/>
        <item m="1" x="1578"/>
        <item m="1" x="5050"/>
        <item m="1" x="5776"/>
        <item m="1" x="4248"/>
        <item m="1" x="3641"/>
        <item m="1" x="2984"/>
        <item m="1" x="754"/>
        <item m="1" x="4255"/>
        <item m="1" x="5492"/>
        <item m="1" x="6144"/>
        <item m="1" x="4249"/>
        <item m="1" x="6193"/>
        <item m="1" x="3386"/>
        <item m="1" x="6790"/>
        <item m="1" x="5971"/>
        <item m="1" x="2490"/>
        <item m="1" x="2214"/>
        <item m="1" x="358"/>
        <item m="1" x="1355"/>
        <item m="1" x="961"/>
        <item m="1" x="4561"/>
        <item m="1" x="5855"/>
        <item m="1" x="7334"/>
        <item m="1" x="1549"/>
        <item m="1" x="3954"/>
        <item m="1" x="5844"/>
        <item m="1" x="3011"/>
        <item m="1" x="746"/>
        <item m="1" x="320"/>
        <item m="1" x="4339"/>
        <item m="1" x="971"/>
        <item m="1" x="7447"/>
        <item m="1" x="2491"/>
        <item m="1" x="1966"/>
        <item m="1" x="7719"/>
        <item m="1" x="3873"/>
        <item m="1" x="3588"/>
        <item m="1" x="6411"/>
        <item m="1" x="6903"/>
        <item m="1" x="5607"/>
        <item m="1" x="1193"/>
        <item m="1" x="1488"/>
        <item m="1" x="696"/>
        <item m="1" x="3542"/>
        <item m="1" x="3184"/>
        <item m="1" x="3439"/>
        <item m="1" x="6085"/>
        <item m="1" x="7306"/>
        <item m="1" x="2581"/>
        <item m="1" x="3323"/>
        <item m="1" x="775"/>
        <item m="1" x="7296"/>
        <item m="1" x="6147"/>
        <item m="1" x="5329"/>
        <item m="1" x="2582"/>
        <item m="1" x="4928"/>
        <item m="1" x="635"/>
        <item m="1" x="6958"/>
        <item m="1" x="3662"/>
        <item m="1" x="6806"/>
        <item m="1" x="6014"/>
        <item m="1" x="7348"/>
        <item m="1" x="2552"/>
        <item m="1" x="4260"/>
        <item m="1" x="3103"/>
        <item m="1" x="7730"/>
        <item m="1" x="6573"/>
        <item m="1" x="4836"/>
        <item m="1" x="5493"/>
        <item m="1" x="4654"/>
        <item m="1" x="4697"/>
        <item m="1" x="6773"/>
        <item m="1" x="4655"/>
        <item m="1" x="2514"/>
        <item m="1" x="1682"/>
        <item m="1" x="7369"/>
        <item m="1" x="7208"/>
        <item m="1" x="5400"/>
        <item m="1" x="5401"/>
        <item m="1" x="5985"/>
        <item m="1" x="239"/>
        <item m="1" x="5986"/>
        <item m="1" x="6086"/>
        <item m="1" x="6613"/>
        <item m="1" x="7359"/>
        <item m="1" x="750"/>
        <item m="1" x="5476"/>
        <item m="1" x="710"/>
        <item m="1" x="5995"/>
        <item m="1" x="3758"/>
        <item m="1" x="652"/>
        <item m="1" x="3185"/>
        <item m="1" x="2601"/>
        <item m="1" x="301"/>
        <item m="1" x="2523"/>
        <item m="1" x="2430"/>
        <item m="1" x="5368"/>
        <item m="1" x="6548"/>
        <item m="1" x="3136"/>
        <item m="1" x="7013"/>
        <item m="1" x="7524"/>
        <item m="1" x="6201"/>
        <item m="1" x="688"/>
        <item m="1" x="4309"/>
        <item m="1" x="5704"/>
        <item m="1" x="3901"/>
        <item m="1" x="1155"/>
        <item m="1" x="2294"/>
        <item m="1" x="5719"/>
        <item m="1" x="3169"/>
        <item m="1" x="1154"/>
        <item m="1" x="2715"/>
        <item m="1" x="6436"/>
        <item m="1" x="4880"/>
        <item m="1" x="2185"/>
        <item m="1" x="661"/>
        <item m="1" x="4895"/>
        <item m="1" x="4621"/>
        <item m="1" x="4110"/>
        <item m="1" x="6190"/>
        <item m="1" x="6895"/>
        <item m="1" x="3626"/>
        <item m="1" x="7444"/>
        <item m="1" x="890"/>
        <item m="1" x="5688"/>
        <item m="1" x="4975"/>
        <item m="1" x="1819"/>
        <item m="1" x="1959"/>
        <item m="1" x="3982"/>
        <item m="1" x="6759"/>
        <item m="1" x="4233"/>
        <item m="1" x="5689"/>
        <item m="1" x="5881"/>
        <item m="1" x="992"/>
        <item m="1" x="5132"/>
        <item m="1" x="624"/>
        <item m="1" x="6224"/>
        <item m="1" x="2492"/>
        <item m="1" x="6554"/>
        <item m="1" x="5608"/>
        <item m="1" x="6268"/>
        <item m="1" x="7534"/>
        <item m="1" x="5147"/>
        <item m="1" x="1567"/>
        <item m="1" x="2138"/>
        <item m="1" x="5755"/>
        <item m="1" x="1586"/>
        <item m="1" x="3317"/>
        <item m="1" x="286"/>
        <item m="1" x="607"/>
        <item m="1" x="1579"/>
        <item m="1" x="5987"/>
        <item m="1" x="1688"/>
        <item m="1" x="5876"/>
        <item m="1" x="2593"/>
        <item m="1" x="5441"/>
        <item m="1" x="6831"/>
        <item m="1" x="4018"/>
        <item m="1" x="4536"/>
        <item m="1" x="4116"/>
        <item m="1" x="1092"/>
        <item m="1" x="5528"/>
        <item m="1" x="5920"/>
        <item m="1" x="863"/>
        <item m="1" x="1290"/>
        <item m="1" x="628"/>
        <item m="1" x="4281"/>
        <item m="1" x="6686"/>
        <item m="1" x="7667"/>
        <item m="1" x="5529"/>
        <item m="1" x="3921"/>
        <item m="1" x="793"/>
        <item m="1" x="7714"/>
        <item m="1" x="3469"/>
        <item m="1" x="5609"/>
        <item m="1" x="3902"/>
        <item m="1" x="3197"/>
        <item m="1" x="648"/>
        <item m="1" x="1006"/>
        <item m="1" x="477"/>
        <item m="1" x="2687"/>
        <item m="1" x="823"/>
        <item m="1" x="3779"/>
        <item m="1" x="5756"/>
        <item m="1" x="5793"/>
        <item m="1" x="3595"/>
        <item m="1" x="523"/>
        <item m="1" x="1943"/>
        <item m="1" x="842"/>
        <item m="1" x="2540"/>
        <item m="1" x="6908"/>
        <item m="1" x="5863"/>
        <item m="1" x="7807"/>
        <item m="1" x="4901"/>
        <item m="1" x="464"/>
        <item m="1" x="931"/>
        <item m="1" x="5907"/>
        <item m="1" x="3256"/>
        <item m="1" x="1831"/>
        <item m="1" x="7809"/>
        <item m="1" x="7190"/>
        <item m="1" x="6160"/>
        <item m="1" x="7038"/>
        <item m="1" x="3257"/>
        <item m="1" x="3923"/>
        <item m="1" x="4252"/>
        <item m="1" x="6459"/>
        <item m="1" x="3964"/>
        <item m="1" x="5016"/>
        <item m="1" x="7280"/>
        <item m="1" x="5330"/>
        <item m="1" x="437"/>
        <item m="1" x="4261"/>
        <item m="1" x="5737"/>
        <item m="1" x="5914"/>
        <item m="1" x="5845"/>
        <item m="1" x="1634"/>
        <item m="1" x="2227"/>
        <item m="1" x="4019"/>
        <item m="1" x="1502"/>
        <item m="1" x="6555"/>
        <item m="1" x="398"/>
        <item m="1" x="4004"/>
        <item m="1" x="7467"/>
        <item m="1" x="4876"/>
        <item m="1" x="4282"/>
        <item m="1" x="6672"/>
        <item m="1" x="4507"/>
        <item m="1" x="191"/>
        <item m="1" x="4170"/>
        <item m="1" x="3440"/>
        <item m="1" x="2564"/>
        <item m="1" x="4245"/>
        <item m="1" x="1617"/>
        <item m="1" x="4051"/>
        <item m="1" x="7436"/>
        <item m="1" x="2451"/>
        <item m="1" x="376"/>
        <item m="1" x="6313"/>
        <item m="1" x="7970"/>
        <item m="1" x="304"/>
        <item m="1" x="5467"/>
        <item m="1" x="192"/>
        <item m="1" x="1618"/>
        <item m="1" x="3387"/>
        <item m="1" x="2565"/>
        <item m="1" x="6721"/>
        <item m="1" x="1010"/>
        <item m="1" x="1334"/>
        <item m="1" x="2132"/>
        <item m="1" x="6248"/>
        <item m="1" x="1773"/>
        <item m="1" x="4667"/>
        <item m="1" x="4571"/>
        <item m="1" x="495"/>
        <item m="1" x="496"/>
        <item m="1" x="581"/>
        <item m="1" x="5258"/>
        <item m="1" x="2487"/>
        <item m="1" x="6249"/>
        <item m="1" x="4527"/>
        <item m="1" x="4786"/>
        <item m="1" x="7231"/>
        <item m="1" x="7438"/>
        <item m="1" x="7014"/>
        <item m="1" x="332"/>
        <item m="1" x="4684"/>
        <item m="1" x="5284"/>
        <item m="1" x="2782"/>
        <item m="1" x="4634"/>
        <item m="1" x="7460"/>
        <item m="1" x="7913"/>
        <item m="1" x="4064"/>
        <item m="1" x="1256"/>
        <item m="1" x="2348"/>
        <item m="1" x="7824"/>
        <item m="1" x="1077"/>
        <item m="1" x="5895"/>
        <item m="1" x="559"/>
        <item m="1" x="7846"/>
        <item m="1" x="1324"/>
        <item m="1" x="2146"/>
        <item m="1" x="4300"/>
        <item m="1" x="1338"/>
        <item m="1" x="524"/>
        <item m="1" x="4301"/>
        <item m="1" x="6274"/>
        <item m="1" x="1702"/>
        <item m="1" x="4690"/>
        <item m="1" x="5812"/>
        <item m="1" x="3876"/>
        <item m="1" x="703"/>
        <item m="1" x="5766"/>
        <item m="1" x="7285"/>
        <item m="1" x="7286"/>
        <item m="1" x="7287"/>
        <item m="1" x="5951"/>
        <item m="1" x="315"/>
        <item m="1" x="5587"/>
        <item m="1" x="5588"/>
        <item m="1" x="4293"/>
        <item m="1" x="5494"/>
        <item m="1" x="4294"/>
        <item m="1" x="5495"/>
        <item m="1" x="7349"/>
        <item m="1" x="1344"/>
        <item m="1" x="3654"/>
        <item m="1" x="2824"/>
        <item m="1" x="6606"/>
        <item m="1" x="6928"/>
        <item m="1" x="7955"/>
        <item m="1" x="5506"/>
        <item m="1" x="798"/>
        <item m="1" x="2770"/>
        <item m="1" x="2361"/>
        <item m="1" x="2798"/>
        <item m="1" x="5590"/>
        <item m="1" x="5952"/>
        <item m="1" x="4762"/>
        <item m="1" x="2575"/>
        <item m="1" x="2049"/>
        <item m="1" x="7694"/>
        <item m="1" x="4375"/>
        <item m="1" x="6225"/>
        <item m="1" x="209"/>
        <item m="1" x="4929"/>
        <item m="1" x="3506"/>
        <item m="1" x="949"/>
        <item m="1" x="4295"/>
        <item m="1" x="5953"/>
        <item m="1" x="7971"/>
        <item m="1" x="4296"/>
        <item m="1" x="4283"/>
        <item m="1" x="2121"/>
        <item m="1" x="6036"/>
        <item m="1" x="5589"/>
        <item m="1" x="4343"/>
        <item m="1" x="4354"/>
        <item m="1" x="5085"/>
        <item m="1" x="7418"/>
        <item m="1" x="5073"/>
        <item m="1" x="608"/>
        <item m="1" x="5496"/>
        <item m="1" x="1345"/>
        <item m="1" x="2799"/>
        <item m="1" x="1982"/>
        <item m="1" x="1303"/>
        <item m="1" x="1404"/>
        <item m="1" x="240"/>
        <item m="1" x="3932"/>
        <item m="1" x="6292"/>
        <item m="1" x="6614"/>
        <item m="1" x="7158"/>
        <item m="1" x="6421"/>
        <item m="1" x="1491"/>
        <item m="1" x="1413"/>
        <item m="1" x="2086"/>
        <item m="1" x="7384"/>
        <item m="1" x="6543"/>
        <item m="1" x="371"/>
        <item m="1" x="1446"/>
        <item m="1" x="5783"/>
        <item m="1" x="7261"/>
        <item m="1" x="5903"/>
        <item m="1" x="2688"/>
        <item m="1" x="6166"/>
        <item m="1" x="7403"/>
        <item m="1" x="7956"/>
        <item m="1" x="3958"/>
        <item m="1" x="7680"/>
        <item m="1" x="2295"/>
        <item m="1" x="6972"/>
        <item m="1" x="2541"/>
        <item m="1" x="4877"/>
        <item m="1" x="5571"/>
        <item m="1" x="6953"/>
        <item m="1" x="1315"/>
        <item m="1" x="1414"/>
        <item m="1" x="2903"/>
        <item m="1" x="7564"/>
        <item m="1" x="3465"/>
        <item m="1" x="422"/>
        <item m="1" x="7091"/>
        <item m="1" x="4790"/>
        <item m="1" x="597"/>
        <item m="1" x="5339"/>
        <item m="1" x="4302"/>
        <item m="1" x="5498"/>
        <item m="1" x="3983"/>
        <item m="1" x="3984"/>
        <item m="1" x="7514"/>
        <item m="1" x="7673"/>
        <item m="1" x="6167"/>
        <item m="1" x="6412"/>
        <item m="1" x="279"/>
        <item m="1" x="2777"/>
        <item m="1" x="7957"/>
        <item m="1" x="6609"/>
        <item m="1" x="2602"/>
        <item m="1" x="3137"/>
        <item m="1" x="3959"/>
        <item m="1" x="6739"/>
        <item m="1" x="1364"/>
        <item m="1" x="7914"/>
        <item x="160"/>
        <item m="1" x="1544"/>
        <item m="1" x="2619"/>
        <item m="1" x="1365"/>
        <item m="1" x="1349"/>
        <item m="1" x="2009"/>
        <item m="1" x="1711"/>
        <item m="1" x="3150"/>
        <item m="1" x="6488"/>
        <item m="1" x="843"/>
        <item m="1" x="1674"/>
        <item m="1" x="5649"/>
        <item m="1" x="6456"/>
        <item m="1" x="6391"/>
        <item m="1" x="6871"/>
        <item m="1" x="6710"/>
        <item m="1" x="2501"/>
        <item x="158"/>
        <item m="1" x="7958"/>
        <item m="1" x="3151"/>
        <item m="1" x="3780"/>
        <item m="1" x="6250"/>
        <item m="1" x="3239"/>
        <item m="1" x="1235"/>
        <item m="1" x="7548"/>
        <item m="1" x="4721"/>
        <item m="1" x="4731"/>
        <item m="1" x="1840"/>
        <item m="1" x="1841"/>
        <item m="1" x="3703"/>
        <item m="1" x="519"/>
        <item m="1" x="1401"/>
        <item m="1" x="4355"/>
        <item m="1" x="1230"/>
        <item m="1" x="4718"/>
        <item m="1" x="1402"/>
        <item m="1" x="7472"/>
        <item m="1" x="4356"/>
        <item m="1" x="4357"/>
        <item m="1" x="3245"/>
        <item m="1" x="4065"/>
        <item m="1" x="6168"/>
        <item m="1" x="865"/>
        <item m="1" x="6913"/>
        <item m="1" x="5866"/>
        <item m="1" x="2410"/>
        <item m="1" x="794"/>
        <item m="1" x="3579"/>
        <item m="1" x="5086"/>
        <item m="1" x="747"/>
        <item m="1" x="2399"/>
        <item m="1" x="3551"/>
        <item m="1" x="269"/>
        <item m="1" x="7313"/>
        <item m="1" x="2087"/>
        <item m="1" x="1698"/>
        <item m="1" x="7172"/>
        <item m="1" x="682"/>
        <item m="1" x="3473"/>
        <item m="1" x="4409"/>
        <item m="1" x="1689"/>
        <item m="1" x="387"/>
        <item m="1" x="270"/>
        <item m="1" x="4580"/>
        <item m="1" x="4138"/>
        <item m="1" x="825"/>
        <item m="1" x="6099"/>
        <item m="1" x="1778"/>
        <item x="157"/>
        <item m="1" x="6713"/>
        <item m="1" x="4744"/>
        <item m="1" x="4234"/>
        <item m="1" x="2985"/>
        <item m="1" x="7397"/>
        <item m="1" x="4410"/>
        <item m="1" x="1421"/>
        <item m="1" x="3580"/>
        <item m="1" x="2327"/>
        <item m="1" x="259"/>
        <item m="1" x="1835"/>
        <item m="1" x="4187"/>
        <item m="1" x="1465"/>
        <item m="1" x="3581"/>
        <item m="1" x="7256"/>
        <item m="1" x="2679"/>
        <item m="1" x="776"/>
        <item m="1" x="6526"/>
        <item m="1" x="6560"/>
        <item m="1" x="7106"/>
        <item m="1" x="5724"/>
        <item m="1" x="7307"/>
        <item m="1" x="6687"/>
        <item m="1" x="4658"/>
        <item m="1" x="891"/>
        <item m="1" x="1508"/>
        <item m="1" x="6973"/>
        <item m="1" x="3295"/>
        <item m="1" x="2604"/>
        <item m="1" x="2751"/>
        <item m="1" x="1509"/>
        <item m="1" x="1712"/>
        <item m="1" x="1950"/>
        <item m="1" x="4153"/>
        <item m="1" x="6503"/>
        <item m="1" x="2081"/>
        <item m="1" x="3488"/>
        <item m="1" x="5499"/>
        <item m="1" x="7890"/>
        <item m="1" x="1810"/>
        <item m="1" x="6361"/>
        <item m="1" x="7891"/>
        <item m="1" x="5772"/>
        <item m="1" x="6299"/>
        <item m="1" x="5477"/>
        <item m="1" x="3145"/>
        <item m="1" x="440"/>
        <item m="1" x="6933"/>
        <item m="1" x="1627"/>
        <item m="1" x="2689"/>
        <item m="1" x="6855"/>
        <item m="1" x="3410"/>
        <item m="1" x="5739"/>
        <item m="1" x="993"/>
        <item m="1" x="3682"/>
        <item m="1" x="4493"/>
        <item m="1" x="877"/>
        <item m="1" x="4965"/>
        <item m="1" x="5507"/>
        <item m="1" x="2232"/>
        <item m="1" x="2752"/>
        <item m="1" x="1470"/>
        <item m="1" x="4431"/>
        <item m="1" x="4528"/>
        <item m="1" x="6729"/>
        <item m="1" x="5255"/>
        <item m="1" x="5864"/>
        <item m="1" x="5669"/>
        <item m="1" x="5877"/>
        <item m="1" x="6959"/>
        <item m="1" x="1350"/>
        <item m="1" x="5709"/>
        <item m="1" x="6688"/>
        <item m="1" x="783"/>
        <item m="1" x="6872"/>
        <item m="1" x="7250"/>
        <item m="1" x="866"/>
        <item m="1" x="193"/>
        <item m="1" x="2105"/>
        <item m="1" x="2439"/>
        <item m="1" x="3782"/>
        <item m="1" x="4581"/>
        <item m="1" x="4934"/>
        <item m="1" x="5125"/>
        <item m="1" x="5126"/>
        <item m="1" x="7003"/>
        <item m="1" x="6154"/>
        <item m="1" x="2652"/>
        <item m="1" x="922"/>
        <item m="1" x="4916"/>
        <item m="1" x="4455"/>
        <item m="1" x="1597"/>
        <item m="1" x="1049"/>
        <item m="1" x="4640"/>
        <item m="1" x="482"/>
        <item m="1" x="3290"/>
        <item m="1" x="3720"/>
        <item m="1" x="5954"/>
        <item m="1" x="3046"/>
        <item m="1" x="6185"/>
        <item m="1" x="2202"/>
        <item m="1" x="3200"/>
        <item m="1" x="1976"/>
        <item m="1" x="1545"/>
        <item m="1" x="7808"/>
        <item m="1" x="6516"/>
        <item m="1" x="1308"/>
        <item m="1" x="6505"/>
        <item m="1" x="5939"/>
        <item m="1" x="7202"/>
        <item m="1" x="1301"/>
        <item m="1" x="1690"/>
        <item m="1" x="2133"/>
        <item m="1" x="1124"/>
        <item m="1" x="2524"/>
        <item m="1" x="5478"/>
        <item m="1" x="6964"/>
        <item m="1" x="6557"/>
        <item m="1" x="3900"/>
        <item m="1" x="857"/>
        <item m="1" x="5150"/>
        <item m="1" x="7070"/>
        <item m="1" x="4072"/>
        <item m="1" x="4303"/>
        <item m="1" x="5276"/>
        <item m="1" x="5120"/>
        <item m="1" x="1577"/>
        <item m="1" x="2585"/>
        <item m="1" x="4980"/>
        <item m="1" x="6300"/>
        <item m="1" x="6695"/>
        <item m="1" x="6498"/>
        <item x="159"/>
        <item m="1" x="7830"/>
        <item m="1" x="2937"/>
        <item m="1" x="7389"/>
        <item m="1" x="6800"/>
        <item m="1" x="5055"/>
        <item m="1" x="2624"/>
        <item m="1" x="814"/>
        <item m="1" x="4988"/>
        <item m="1" x="6494"/>
        <item m="1" x="6117"/>
        <item m="1" x="6178"/>
        <item m="1" x="2281"/>
        <item m="1" x="5164"/>
        <item m="1" x="2010"/>
        <item m="1" x="3124"/>
        <item m="1" x="7831"/>
        <item m="1" x="2011"/>
        <item m="1" x="3582"/>
        <item m="1" x="6068"/>
        <item m="1" x="1791"/>
        <item m="1" x="7490"/>
        <item m="1" x="6847"/>
        <item m="1" x="2415"/>
        <item x="76"/>
        <item m="1" x="4502"/>
        <item m="1" x="316"/>
        <item m="1" x="3414"/>
        <item m="1" x="1195"/>
        <item m="1" x="1084"/>
        <item m="1" x="6657"/>
        <item m="1" x="5639"/>
        <item m="1" x="799"/>
        <item m="1" x="5703"/>
        <item x="82"/>
        <item m="1" x="5943"/>
        <item m="1" x="3858"/>
        <item m="1" x="4417"/>
        <item m="1" x="5565"/>
        <item m="1" x="5405"/>
        <item m="1" x="2790"/>
        <item m="1" x="2493"/>
        <item m="1" x="6752"/>
        <item m="1" x="1994"/>
        <item m="1" x="6084"/>
        <item m="1" x="1035"/>
        <item m="1" x="4360"/>
        <item m="1" x="2392"/>
        <item m="1" x="4803"/>
        <item m="1" x="312"/>
        <item m="1" x="3628"/>
        <item m="1" x="6078"/>
        <item m="1" x="1138"/>
        <item m="1" x="878"/>
        <item m="1" x="3427"/>
        <item m="1" x="1615"/>
        <item m="1" x="1194"/>
        <item m="1" x="5192"/>
        <item m="1" x="7555"/>
        <item m="1" x="1412"/>
        <item m="1" x="6231"/>
        <item m="1" x="2921"/>
        <item m="1" x="7738"/>
        <item m="1" x="7634"/>
        <item m="1" x="4129"/>
        <item m="1" x="6115"/>
        <item m="1" x="1661"/>
        <item m="1" x="6711"/>
        <item m="1" x="1941"/>
        <item m="1" x="2548"/>
        <item m="1" x="2814"/>
        <item m="1" x="6751"/>
        <item m="1" x="3472"/>
        <item m="1" x="4603"/>
        <item m="1" x="5821"/>
        <item m="1" x="3809"/>
        <item m="1" x="2414"/>
        <item m="1" x="5710"/>
        <item m="1" x="1093"/>
        <item m="1" x="5167"/>
        <item m="1" x="6398"/>
        <item m="1" x="956"/>
        <item m="1" x="7796"/>
        <item m="1" x="4864"/>
        <item m="1" x="7580"/>
        <item m="1" x="499"/>
        <item m="1" x="2706"/>
        <item m="1" x="5696"/>
        <item m="1" x="491"/>
        <item m="1" x="1471"/>
        <item m="1" x="7570"/>
        <item m="1" x="6095"/>
        <item m="1" x="7081"/>
        <item m="1" x="6303"/>
        <item m="1" x="3208"/>
        <item m="1" x="6414"/>
        <item m="1" x="3614"/>
        <item m="1" x="717"/>
        <item m="1" x="2891"/>
        <item m="1" x="5758"/>
        <item m="1" x="2276"/>
        <item m="1" x="875"/>
        <item m="1" x="3052"/>
        <item m="1" x="1798"/>
        <item m="1" x="2452"/>
        <item m="1" x="6655"/>
        <item m="1" x="5582"/>
        <item m="1" x="1197"/>
        <item m="1" x="1910"/>
        <item m="1" x="2236"/>
        <item m="1" x="5093"/>
        <item m="1" x="3593"/>
        <item m="1" x="2100"/>
        <item m="1" x="4612"/>
        <item m="1" x="3599"/>
        <item m="1" x="2061"/>
        <item m="1" x="6317"/>
        <item m="1" x="3083"/>
        <item m="1" x="3056"/>
        <item m="1" x="2698"/>
        <item m="1" x="6651"/>
        <item m="1" x="2676"/>
        <item m="1" x="7911"/>
        <item m="1" x="7801"/>
        <item m="1" x="6939"/>
        <item m="1" x="1635"/>
        <item m="1" x="4316"/>
        <item m="1" x="7741"/>
        <item m="1" x="2292"/>
        <item m="1" x="4317"/>
        <item m="1" x="5646"/>
        <item m="1" x="7329"/>
        <item m="1" x="7330"/>
        <item m="1" x="2701"/>
        <item m="1" x="3498"/>
        <item m="1" x="1057"/>
        <item m="1" x="7850"/>
        <item m="1" x="1100"/>
        <item m="1" x="6123"/>
        <item m="1" x="3564"/>
        <item m="1" x="2577"/>
        <item m="1" x="3972"/>
        <item m="1" x="7065"/>
        <item m="1" x="7994"/>
        <item m="1" x="3913"/>
        <item m="1" x="5286"/>
        <item m="1" x="6588"/>
        <item x="104"/>
        <item m="1" x="4169"/>
        <item m="1" x="672"/>
        <item m="1" x="2432"/>
        <item m="1" x="3497"/>
        <item m="1" x="2969"/>
        <item m="1" x="5158"/>
        <item m="1" x="4630"/>
        <item m="1" x="5020"/>
        <item m="1" x="7456"/>
        <item m="1" x="7945"/>
        <item m="1" x="5552"/>
        <item m="1" x="4236"/>
        <item m="1" x="1503"/>
        <item m="1" x="981"/>
        <item m="1" x="3526"/>
        <item m="1" x="6384"/>
        <item m="1" x="3299"/>
        <item m="1" x="4308"/>
        <item m="1" x="3696"/>
        <item m="1" x="3970"/>
        <item m="1" x="5533"/>
        <item m="1" x="5032"/>
        <item m="1" x="7152"/>
        <item m="1" x="4824"/>
        <item m="1" x="3528"/>
        <item m="1" x="5915"/>
        <item m="1" x="1995"/>
        <item m="1" x="7674"/>
        <item m="1" x="7004"/>
        <item m="1" x="1936"/>
        <item m="1" x="6127"/>
        <item m="1" x="3918"/>
        <item m="1" x="3627"/>
        <item m="1" x="6232"/>
        <item m="1" x="262"/>
        <item m="1" x="5740"/>
        <item m="1" x="5657"/>
        <item m="1" x="7257"/>
        <item m="1" x="2238"/>
        <item m="1" x="7203"/>
        <item m="1" x="6508"/>
        <item m="1" x="3041"/>
        <item m="1" x="695"/>
        <item m="1" x="6722"/>
        <item m="1" x="6337"/>
        <item m="1" x="3600"/>
        <item m="1" x="7606"/>
        <item m="1" x="740"/>
        <item m="1" x="7016"/>
        <item m="1" x="1059"/>
        <item m="1" x="603"/>
        <item m="1" x="4405"/>
        <item m="1" x="2522"/>
        <item m="1" x="5643"/>
        <item m="1" x="598"/>
        <item m="1" x="7643"/>
        <item m="1" x="4689"/>
        <item m="1" x="1025"/>
        <item m="1" x="2865"/>
        <item m="1" x="4996"/>
        <item m="1" x="844"/>
        <item m="1" x="4157"/>
        <item m="1" x="4338"/>
        <item m="1" x="6376"/>
        <item m="1" x="7892"/>
        <item x="20"/>
        <item m="1" x="6828"/>
        <item m="1" x="7770"/>
        <item m="1" x="5547"/>
        <item m="1" x="1507"/>
        <item m="1" x="5406"/>
        <item m="1" x="4789"/>
        <item m="1" x="5375"/>
        <item m="1" x="3174"/>
        <item m="1" x="7393"/>
        <item m="1" x="4896"/>
        <item m="1" x="5810"/>
        <item m="1" x="3817"/>
        <item m="1" x="4490"/>
        <item m="1" x="4812"/>
        <item m="1" x="6226"/>
        <item m="1" x="4656"/>
        <item m="1" x="2606"/>
        <item m="1" x="7882"/>
        <item m="1" x="4322"/>
        <item m="1" x="1088"/>
        <item m="1" x="5291"/>
        <item m="1" x="525"/>
        <item m="1" x="6801"/>
        <item m="1" x="4120"/>
        <item m="1" x="4772"/>
        <item m="1" x="3381"/>
        <item m="1" x="899"/>
        <item m="1" x="3129"/>
        <item m="1" x="2338"/>
        <item m="1" x="3830"/>
        <item m="1" x="5744"/>
        <item m="1" x="812"/>
        <item m="1" x="1727"/>
        <item m="1" x="2986"/>
        <item m="1" x="242"/>
        <item m="1" x="634"/>
        <item m="1" x="3807"/>
        <item m="1" x="5047"/>
        <item m="1" x="4783"/>
        <item m="1" x="4453"/>
        <item m="1" x="175"/>
        <item m="1" x="2099"/>
        <item m="1" x="4635"/>
        <item m="1" x="550"/>
        <item m="1" x="4411"/>
        <item m="1" x="3517"/>
        <item m="1" x="4284"/>
        <item m="1" x="7668"/>
        <item m="1" x="7543"/>
        <item m="1" x="1568"/>
        <item m="1" x="5407"/>
        <item m="1" x="3718"/>
        <item m="1" x="7297"/>
        <item m="1" x="5787"/>
        <item m="1" x="2977"/>
        <item m="1" x="6653"/>
        <item m="1" x="7812"/>
        <item m="1" x="2183"/>
        <item m="1" x="2184"/>
        <item m="1" x="5080"/>
        <item m="1" x="2886"/>
        <item m="1" x="4553"/>
        <item m="1" x="2002"/>
        <item m="1" x="2362"/>
        <item m="1" x="7869"/>
        <item m="1" x="6100"/>
        <item m="1" x="7720"/>
        <item m="1" x="5811"/>
        <item m="1" x="2078"/>
        <item m="1" x="7398"/>
        <item m="1" x="4671"/>
        <item m="1" x="1668"/>
        <item m="1" x="3575"/>
        <item m="1" x="1143"/>
        <item m="1" x="2405"/>
        <item m="1" x="994"/>
        <item m="1" x="7195"/>
        <item m="1" x="7675"/>
        <item m="1" x="6780"/>
        <item m="1" x="2461"/>
        <item m="1" x="5765"/>
        <item m="1" x="4003"/>
        <item m="1" x="1136"/>
        <item m="1" x="6054"/>
        <item m="1" x="4868"/>
        <item m="1" x="2139"/>
        <item m="1" x="1041"/>
        <item m="1" x="6269"/>
        <item m="1" x="5950"/>
        <item m="1" x="4554"/>
        <item m="1" x="1918"/>
        <item m="1" x="1980"/>
        <item m="1" x="3515"/>
        <item m="1" x="4127"/>
        <item m="1" x="3168"/>
        <item m="1" x="4388"/>
        <item m="1" x="7535"/>
        <item m="1" x="1183"/>
        <item m="1" x="3139"/>
        <item m="1" x="4560"/>
        <item m="1" x="366"/>
        <item m="1" x="6441"/>
        <item m="1" x="7779"/>
        <item m="1" x="7745"/>
        <item m="1" x="7017"/>
        <item m="1" x="6137"/>
        <item m="1" x="5707"/>
        <item m="1" x="4032"/>
        <item m="1" x="824"/>
        <item m="1" x="2279"/>
        <item x="67"/>
        <item m="1" x="7291"/>
        <item m="1" x="6815"/>
        <item m="1" x="5784"/>
        <item m="1" x="1820"/>
        <item m="1" x="5725"/>
        <item m="1" x="5798"/>
        <item x="63"/>
        <item m="1" x="2195"/>
        <item m="1" x="1610"/>
        <item m="1" x="6636"/>
        <item m="1" x="3985"/>
        <item m="1" x="7281"/>
        <item m="1" x="6467"/>
        <item m="1" x="3048"/>
        <item m="1" x="767"/>
        <item x="111"/>
        <item m="1" x="4346"/>
        <item m="1" x="5006"/>
        <item x="110"/>
        <item m="1" x="5605"/>
        <item m="1" x="1102"/>
        <item m="1" x="2853"/>
        <item m="1" x="4546"/>
        <item m="1" x="953"/>
        <item m="1" x="3209"/>
        <item m="1" x="601"/>
        <item m="1" x="1458"/>
        <item m="1" x="2558"/>
        <item m="1" x="1163"/>
        <item m="1" x="2791"/>
        <item m="1" x="3018"/>
        <item m="1" x="2319"/>
        <item m="1" x="2987"/>
        <item m="1" x="5463"/>
        <item m="1" x="1272"/>
        <item x="66"/>
        <item m="1" x="6630"/>
        <item m="1" x="2420"/>
        <item m="1" x="2329"/>
        <item m="1" x="4144"/>
        <item m="1" x="2017"/>
        <item m="1" x="5163"/>
        <item m="1" x="6141"/>
        <item m="1" x="3943"/>
        <item m="1" x="5041"/>
        <item m="1" x="3960"/>
        <item m="1" x="1812"/>
        <item m="1" x="2224"/>
        <item m="1" x="7727"/>
        <item m="1" x="7119"/>
        <item m="1" x="3793"/>
        <item m="1" x="4793"/>
        <item m="1" x="7181"/>
        <item m="1" x="2904"/>
        <item m="1" x="462"/>
        <item m="1" x="1393"/>
        <item m="1" x="1276"/>
        <item m="1" x="2475"/>
        <item m="1" x="5190"/>
        <item m="1" x="1904"/>
        <item m="1" x="3152"/>
        <item m="1" x="1198"/>
        <item m="1" x="1581"/>
        <item m="1" x="7873"/>
        <item m="1" x="7949"/>
        <item m="1" x="6845"/>
        <item m="1" x="3583"/>
        <item m="1" x="5242"/>
        <item m="1" x="5909"/>
        <item m="1" x="7880"/>
        <item m="1" x="6284"/>
        <item m="1" x="194"/>
        <item m="1" x="2931"/>
        <item m="1" x="3289"/>
        <item m="1" x="3455"/>
        <item m="1" x="972"/>
        <item x="161"/>
        <item m="1" x="881"/>
        <item m="1" x="7731"/>
        <item m="1" x="5870"/>
        <item m="1" x="5781"/>
        <item m="1" x="2373"/>
        <item m="1" x="5732"/>
        <item m="1" x="3519"/>
        <item m="1" x="7169"/>
        <item m="1" x="1186"/>
        <item m="1" x="7878"/>
        <item m="1" x="361"/>
        <item m="1" x="2766"/>
        <item m="1" x="4753"/>
        <item m="1" x="6976"/>
        <item m="1" x="5189"/>
        <item m="1" x="573"/>
        <item m="1" x="6864"/>
        <item m="1" x="6901"/>
        <item m="1" x="6844"/>
        <item m="1" x="7073"/>
        <item m="1" x="6513"/>
        <item m="1" x="6666"/>
        <item m="1" x="7615"/>
        <item m="1" x="6157"/>
        <item m="1" x="7097"/>
        <item m="1" x="4307"/>
        <item m="1" x="4331"/>
        <item m="1" x="5460"/>
        <item m="1" x="4192"/>
        <item m="1" x="6416"/>
        <item m="1" x="1248"/>
        <item m="1" x="3598"/>
        <item m="1" x="5359"/>
        <item m="1" x="3617"/>
        <item m="1" x="3941"/>
        <item m="1" x="7377"/>
        <item m="1" x="2197"/>
        <item m="1" x="7222"/>
        <item m="1" x="5750"/>
        <item m="1" x="7655"/>
        <item m="1" x="6366"/>
        <item m="1" x="277"/>
        <item m="1" x="4391"/>
        <item m="1" x="3345"/>
        <item m="1" x="3571"/>
        <item m="1" x="4631"/>
        <item m="1" x="3293"/>
        <item m="1" x="6923"/>
        <item m="1" x="6796"/>
        <item m="1" x="2664"/>
        <item m="1" x="4570"/>
        <item m="1" x="6242"/>
        <item x="173"/>
        <item m="1" x="1316"/>
        <item m="1" x="2331"/>
        <item m="1" x="1839"/>
        <item x="172"/>
        <item m="1" x="1280"/>
        <item m="1" x="1103"/>
        <item m="1" x="4754"/>
        <item m="1" x="1231"/>
        <item m="1" x="4977"/>
        <item m="1" x="7406"/>
        <item m="1" x="3886"/>
        <item m="1" x="3057"/>
        <item m="1" x="1898"/>
        <item m="1" x="1016"/>
        <item m="1" x="4366"/>
        <item m="1" x="731"/>
        <item m="1" x="6002"/>
        <item m="1" x="7896"/>
        <item m="1" x="2237"/>
        <item m="1" x="4594"/>
        <item m="1" x="5940"/>
        <item m="1" x="4500"/>
        <item m="1" x="886"/>
        <item m="1" x="4166"/>
        <item m="1" x="7544"/>
        <item m="1" x="7716"/>
        <item m="1" x="3805"/>
        <item x="34"/>
        <item x="35"/>
        <item m="1" x="1202"/>
        <item m="1" x="7689"/>
        <item m="1" x="7115"/>
        <item m="1" x="7883"/>
        <item m="1" x="3294"/>
        <item m="1" x="5340"/>
        <item x="96"/>
        <item m="1" x="2579"/>
        <item m="1" x="6533"/>
        <item m="1" x="3587"/>
        <item m="1" x="2634"/>
        <item m="1" x="5105"/>
        <item m="1" x="5501"/>
        <item m="1" x="7448"/>
        <item m="1" x="6251"/>
        <item m="1" x="4668"/>
        <item m="1" x="1050"/>
        <item m="1" x="6252"/>
        <item m="1" x="4691"/>
        <item m="1" x="251"/>
        <item m="1" x="334"/>
        <item m="1" x="2870"/>
        <item m="1" x="625"/>
        <item m="1" x="6069"/>
        <item m="1" x="2635"/>
        <item m="1" x="1754"/>
        <item m="1" x="6276"/>
        <item x="149"/>
        <item m="1" x="3707"/>
        <item m="1" x="4984"/>
        <item m="1" x="3140"/>
        <item m="1" x="5106"/>
        <item m="1" x="3181"/>
        <item m="1" x="6381"/>
        <item m="1" x="6464"/>
        <item m="1" x="5799"/>
        <item m="1" x="441"/>
        <item m="1" x="5531"/>
        <item m="1" x="7587"/>
        <item m="1" x="3965"/>
        <item m="1" x="2822"/>
        <item m="1" x="5447"/>
        <item m="1" x="5341"/>
        <item m="1" x="6055"/>
        <item m="1" x="2658"/>
        <item m="1" x="6259"/>
        <item m="1" x="4262"/>
        <item m="1" x="4108"/>
        <item m="1" x="1643"/>
        <item m="1" x="704"/>
        <item m="1" x="4705"/>
        <item m="1" x="6175"/>
        <item m="1" x="3415"/>
        <item m="1" x="7623"/>
        <item m="1" x="5663"/>
        <item m="1" x="7159"/>
        <item m="1" x="3800"/>
        <item m="1" x="2050"/>
        <item m="1" x="7780"/>
        <item m="1" x="1176"/>
        <item m="1" x="1298"/>
        <item m="1" x="1806"/>
        <item m="1" x="6422"/>
        <item m="1" x="7684"/>
        <item m="1" x="7685"/>
        <item m="1" x="3192"/>
        <item m="1" x="7086"/>
        <item m="1" x="4385"/>
        <item m="1" x="4550"/>
        <item m="1" x="3529"/>
        <item m="1" x="3986"/>
        <item m="1" x="6765"/>
        <item m="1" x="3615"/>
        <item m="1" x="2310"/>
        <item m="1" x="1775"/>
        <item m="1" x="7931"/>
        <item m="1" x="6836"/>
        <item m="1" x="5670"/>
        <item m="1" x="1206"/>
        <item m="1" x="3441"/>
        <item m="1" x="3704"/>
        <item m="1" x="1051"/>
        <item m="1" x="4277"/>
        <item m="1" x="1054"/>
        <item m="1" x="5572"/>
        <item m="1" x="6155"/>
        <item m="1" x="4557"/>
        <item m="1" x="4419"/>
        <item m="1" x="7461"/>
        <item m="1" x="321"/>
        <item m="1" x="4212"/>
        <item m="1" x="5682"/>
        <item m="1" x="6896"/>
        <item m="1" x="1067"/>
        <item m="1" x="1699"/>
        <item m="1" x="4966"/>
        <item m="1" x="7429"/>
        <item m="1" x="5394"/>
        <item m="1" x="2908"/>
        <item m="1" x="6561"/>
        <item m="1" x="4171"/>
        <item m="1" x="741"/>
        <item x="103"/>
        <item m="1" x="6733"/>
        <item m="1" x="5389"/>
        <item m="1" x="6512"/>
        <item m="1" x="1817"/>
        <item m="1" x="5610"/>
        <item m="1" x="2073"/>
        <item m="1" x="1167"/>
        <item m="1" x="2173"/>
        <item m="1" x="3109"/>
        <item m="1" x="3110"/>
        <item m="1" x="5225"/>
        <item m="1" x="2205"/>
        <item m="1" x="6535"/>
        <item m="1" x="2269"/>
        <item m="1" x="7721"/>
        <item m="1" x="1765"/>
        <item m="1" x="359"/>
        <item m="1" x="7214"/>
        <item m="1" x="5634"/>
        <item m="1" x="5635"/>
        <item m="1" x="7753"/>
        <item m="1" x="3697"/>
        <item m="1" x="372"/>
        <item m="1" x="7177"/>
        <item m="1" x="3977"/>
        <item m="1" x="3629"/>
        <item m="1" x="3630"/>
        <item m="1" x="3442"/>
        <item m="1" x="2733"/>
        <item m="1" x="2421"/>
        <item m="1" x="1895"/>
        <item m="1" x="1331"/>
        <item m="1" x="7875"/>
        <item m="1" x="4910"/>
        <item m="1" x="414"/>
        <item m="1" x="1132"/>
        <item m="1" x="1207"/>
        <item m="1" x="7885"/>
        <item m="1" x="4715"/>
        <item m="1" x="4418"/>
        <item m="1" x="442"/>
        <item m="1" x="7108"/>
        <item m="1" x="4608"/>
        <item m="1" x="1811"/>
        <item m="1" x="5008"/>
        <item m="1" x="6047"/>
        <item m="1" x="1216"/>
        <item m="1" x="3039"/>
        <item m="1" x="7602"/>
        <item m="1" x="3166"/>
        <item m="1" x="1924"/>
        <item m="1" x="2174"/>
        <item m="1" x="5033"/>
        <item m="1" x="6314"/>
        <item m="1" x="3296"/>
        <item m="1" x="4843"/>
        <item m="1" x="4884"/>
        <item m="1" x="7370"/>
        <item m="1" x="3676"/>
        <item m="1" x="1879"/>
        <item m="1" x="4340"/>
        <item m="1" x="7087"/>
        <item m="1" x="728"/>
        <item m="1" x="5644"/>
        <item m="1" x="3719"/>
        <item m="1" x="6654"/>
        <item m="1" x="1042"/>
        <item m="1" x="3443"/>
        <item m="1" x="3808"/>
        <item m="1" x="5430"/>
        <item m="1" x="892"/>
        <item x="3"/>
        <item m="1" x="5993"/>
        <item m="1" x="6037"/>
        <item m="1" x="5535"/>
        <item m="1" x="5465"/>
        <item m="1" x="7360"/>
        <item m="1" x="7521"/>
        <item m="1" x="6348"/>
        <item m="1" x="660"/>
        <item m="1" x="4626"/>
        <item m="1" x="7244"/>
        <item m="1" x="234"/>
        <item m="1" x="1755"/>
        <item m="1" x="6569"/>
        <item m="1" x="4403"/>
        <item m="1" x="1734"/>
        <item m="1" x="2033"/>
        <item m="1" x="1208"/>
        <item m="1" x="1060"/>
        <item m="1" x="5626"/>
        <item m="1" x="7823"/>
        <item m="1" x="5764"/>
        <item m="1" x="4404"/>
        <item m="1" x="7519"/>
        <item m="1" x="2949"/>
        <item m="1" x="360"/>
        <item x="6"/>
        <item m="1" x="1375"/>
        <item m="1" x="5338"/>
        <item m="1" x="2887"/>
        <item m="1" x="968"/>
        <item m="1" x="6138"/>
        <item m="1" x="1857"/>
        <item m="1" x="4273"/>
        <item m="1" x="7833"/>
        <item m="1" x="3520"/>
        <item m="1" x="1942"/>
        <item m="1" x="6363"/>
        <item m="1" x="3428"/>
        <item m="1" x="7191"/>
        <item m="1" x="3347"/>
        <item m="1" x="7251"/>
        <item m="1" x="804"/>
        <item m="1" x="336"/>
        <item m="1" x="1295"/>
        <item m="1" x="6852"/>
        <item m="1" x="4095"/>
        <item m="1" x="3969"/>
        <item m="1" x="7819"/>
        <item m="1" x="5729"/>
        <item m="1" x="6734"/>
        <item m="1" x="1849"/>
        <item m="1" x="2140"/>
        <item m="1" x="3416"/>
        <item m="1" x="2705"/>
        <item m="1" x="2181"/>
        <item m="1" x="2244"/>
        <item m="1" x="4673"/>
        <item m="1" x="1075"/>
        <item m="1" x="7142"/>
        <item m="1" x="3246"/>
        <item m="1" x="2723"/>
        <item m="1" x="6059"/>
        <item m="1" x="3851"/>
        <item m="1" x="6017"/>
        <item m="1" x="3053"/>
        <item m="1" x="3543"/>
        <item m="1" x="7793"/>
        <item m="1" x="7559"/>
        <item m="1" x="5240"/>
        <item m="1" x="6797"/>
        <item m="1" x="5782"/>
        <item m="1" x="5333"/>
        <item m="1" x="3352"/>
        <item m="1" x="4336"/>
        <item m="1" x="4089"/>
        <item m="1" x="664"/>
        <item m="1" x="1181"/>
        <item m="1" x="6615"/>
        <item m="1" x="5118"/>
        <item m="1" x="4503"/>
        <item m="1" x="220"/>
        <item m="1" x="3826"/>
        <item m="1" x="5675"/>
        <item m="1" x="3478"/>
        <item m="1" x="5094"/>
        <item m="1" x="3607"/>
        <item m="1" x="7574"/>
        <item m="1" x="7591"/>
        <item m="1" x="7125"/>
        <item m="1" x="2861"/>
        <item m="1" x="1490"/>
        <item m="1" x="2901"/>
        <item m="1" x="4949"/>
        <item m="1" x="2572"/>
        <item m="1" x="2694"/>
        <item m="1" x="6987"/>
        <item m="1" x="3594"/>
        <item m="1" x="7047"/>
        <item m="1" x="2378"/>
        <item m="1" x="789"/>
        <item m="1" x="4041"/>
        <item m="1" x="834"/>
        <item m="1" x="1709"/>
        <item m="1" x="2545"/>
        <item m="1" x="216"/>
        <item m="1" x="7777"/>
        <item m="1" x="3597"/>
        <item m="1" x="5313"/>
        <item m="1" x="6265"/>
        <item m="1" x="6106"/>
        <item m="1" x="654"/>
        <item m="1" x="2549"/>
        <item m="1" x="3237"/>
        <item m="1" x="6612"/>
        <item m="1" x="2444"/>
        <item m="1" x="7546"/>
        <item m="1" x="4544"/>
        <item m="1" x="644"/>
        <item m="1" x="645"/>
        <item m="1" x="337"/>
        <item m="1" x="2992"/>
        <item m="1" x="1736"/>
        <item m="1" x="927"/>
        <item m="1" x="6663"/>
        <item m="1" x="4399"/>
        <item m="1" x="5454"/>
        <item m="1" x="350"/>
        <item m="1" x="5034"/>
        <item m="1" x="271"/>
        <item m="1" x="2993"/>
        <item m="1" x="4698"/>
        <item m="1" x="4185"/>
        <item m="1" x="6491"/>
        <item m="1" x="1362"/>
        <item m="1" x="6834"/>
        <item m="1" x="5196"/>
        <item m="1" x="6246"/>
        <item m="1" x="3512"/>
        <item m="1" x="762"/>
        <item m="1" x="2525"/>
        <item m="1" x="2526"/>
        <item m="1" x="2527"/>
        <item m="1" x="7114"/>
        <item m="1" x="3653"/>
        <item m="1" x="7129"/>
        <item m="1" x="621"/>
        <item m="1" x="6365"/>
        <item m="1" x="2913"/>
        <item m="1" x="2194"/>
        <item m="1" x="6520"/>
        <item m="1" x="5483"/>
        <item m="1" x="622"/>
        <item m="1" x="1626"/>
        <item m="1" x="2531"/>
        <item m="1" x="6097"/>
        <item m="1" x="1768"/>
        <item m="1" x="7697"/>
        <item m="1" x="4164"/>
        <item m="1" x="1166"/>
        <item m="1" x="1764"/>
        <item m="1" x="6995"/>
        <item m="1" x="6538"/>
        <item m="1" x="4889"/>
        <item m="1" x="6519"/>
        <item m="1" x="4867"/>
        <item m="1" x="7332"/>
        <item m="1" x="7811"/>
        <item m="1" x="7935"/>
        <item m="1" x="365"/>
        <item m="1" x="5775"/>
        <item m="1" x="7139"/>
        <item m="1" x="2932"/>
        <item m="1" x="5673"/>
        <item m="1" x="2788"/>
        <item m="1" x="5307"/>
        <item m="1" x="4619"/>
        <item m="1" x="6595"/>
        <item m="1" x="5658"/>
        <item m="1" x="7267"/>
        <item m="1" x="4175"/>
        <item m="1" x="3251"/>
        <item m="1" x="3262"/>
        <item m="1" x="2933"/>
        <item m="1" x="3556"/>
        <item m="1" x="6563"/>
        <item m="1" x="7193"/>
        <item m="1" x="7053"/>
        <item m="1" x="2613"/>
        <item m="1" x="3987"/>
        <item m="1" x="1258"/>
        <item m="1" x="4379"/>
        <item m="1" x="4471"/>
        <item m="1" x="6007"/>
        <item m="1" x="4194"/>
        <item m="1" x="4602"/>
        <item m="1" x="7160"/>
        <item m="1" x="1853"/>
        <item m="1" x="2164"/>
        <item m="1" x="6669"/>
        <item m="1" x="335"/>
        <item m="1" x="4912"/>
        <item m="1" x="1905"/>
        <item m="1" x="1175"/>
        <item m="1" x="6217"/>
        <item m="1" x="1569"/>
        <item m="1" x="7989"/>
        <item m="1" x="871"/>
        <item m="1" x="3839"/>
        <item m="1" x="5997"/>
        <item m="1" x="6600"/>
        <item m="1" x="2141"/>
        <item m="1" x="4804"/>
        <item m="1" x="6581"/>
        <item m="1" x="4486"/>
        <item m="1" x="3249"/>
        <item m="1" x="6601"/>
        <item m="1" x="7489"/>
        <item m="1" x="1781"/>
        <item m="1" x="6731"/>
        <item m="1" x="582"/>
        <item m="1" x="2651"/>
        <item m="1" x="2251"/>
        <item m="1" x="5113"/>
        <item m="1" x="2082"/>
        <item m="1" x="548"/>
        <item m="1" x="5035"/>
        <item m="1" x="4348"/>
        <item m="1" x="1955"/>
        <item m="1" x="7221"/>
        <item m="1" x="5632"/>
        <item m="1" x="7262"/>
        <item m="1" x="5024"/>
        <item m="1" x="5121"/>
        <item m="1" x="7746"/>
        <item m="1" x="199"/>
        <item m="1" x="3444"/>
        <item m="1" x="399"/>
        <item m="1" x="7120"/>
        <item m="1" x="5143"/>
        <item m="1" x="4508"/>
        <item m="1" x="7318"/>
        <item m="1" x="446"/>
        <item m="1" x="7232"/>
        <item m="1" x="6409"/>
        <item m="1" x="1287"/>
        <item m="1" x="1036"/>
        <item m="1" x="5927"/>
        <item m="1" x="6291"/>
        <item m="1" x="2403"/>
        <item m="1" x="1644"/>
        <item m="1" x="6830"/>
        <item m="1" x="7627"/>
        <item m="1" x="1693"/>
        <item m="1" x="2168"/>
        <item m="1" x="7080"/>
        <item m="1" x="435"/>
        <item m="1" x="6838"/>
        <item m="1" x="1190"/>
        <item m="1" x="6128"/>
        <item m="1" x="6771"/>
        <item m="1" x="7959"/>
        <item m="1" x="3303"/>
        <item m="1" x="5248"/>
        <item m="1" x="7263"/>
        <item m="1" x="5274"/>
        <item m="1" x="5318"/>
        <item x="138"/>
        <item m="1" x="3870"/>
        <item m="1" x="352"/>
        <item m="1" x="5735"/>
        <item m="1" x="7133"/>
        <item m="1" x="4742"/>
        <item m="1" x="1464"/>
        <item m="1" x="6402"/>
        <item m="1" x="3002"/>
        <item m="1" x="5686"/>
        <item m="1" x="7148"/>
        <item m="1" x="6877"/>
        <item m="1" x="3907"/>
        <item m="1" x="3334"/>
        <item m="1" x="2854"/>
        <item m="1" x="4376"/>
        <item m="1" x="6611"/>
        <item m="1" x="872"/>
        <item m="1" x="5754"/>
        <item m="1" x="5213"/>
        <item m="1" x="4475"/>
        <item m="1" x="7170"/>
        <item m="1" x="7140"/>
        <item m="1" x="1297"/>
        <item m="1" x="7207"/>
        <item m="1" x="2262"/>
        <item m="1" x="1243"/>
        <item m="1" x="6439"/>
        <item m="1" x="4254"/>
        <item m="1" x="2811"/>
        <item m="1" x="4361"/>
        <item m="1" x="1203"/>
        <item m="1" x="4161"/>
        <item m="1" x="4044"/>
        <item m="1" x="1944"/>
        <item m="1" x="1271"/>
        <item m="1" x="5676"/>
        <item m="1" x="5462"/>
        <item m="1" x="3471"/>
        <item m="1" x="5078"/>
        <item m="1" x="6779"/>
        <item m="1" x="468"/>
        <item m="1" x="2573"/>
        <item m="1" x="497"/>
        <item m="1" x="1829"/>
        <item m="1" x="1304"/>
        <item m="1" x="1439"/>
        <item m="1" x="5298"/>
        <item m="1" x="425"/>
        <item m="1" x="1735"/>
        <item m="1" x="494"/>
        <item m="1" x="7827"/>
        <item m="1" x="1185"/>
        <item m="1" x="5191"/>
        <item m="1" x="2445"/>
        <item m="1" x="4394"/>
        <item m="1" x="396"/>
        <item m="1" x="7294"/>
        <item m="1" x="1920"/>
        <item m="1" x="7196"/>
        <item m="1" x="751"/>
        <item m="1" x="7611"/>
        <item m="1" x="2365"/>
        <item m="1" x="5751"/>
        <item m="1" x="1691"/>
        <item m="1" x="7132"/>
        <item m="1" x="1078"/>
        <item m="1" x="4796"/>
        <item m="1" x="5834"/>
        <item m="1" x="6802"/>
        <item m="1" x="426"/>
        <item m="1" x="3530"/>
        <item m="1" x="2707"/>
        <item m="1" x="4562"/>
        <item m="1" x="4221"/>
        <item m="1" x="5679"/>
        <item m="1" x="6109"/>
        <item m="1" x="2463"/>
        <item m="1" x="2532"/>
        <item m="1" x="1221"/>
        <item m="1" x="3997"/>
        <item m="1" x="5095"/>
        <item m="1" x="3882"/>
        <item m="1" x="4052"/>
        <item m="1" x="7773"/>
        <item m="1" x="4659"/>
        <item m="1" x="4464"/>
        <item m="1" x="2825"/>
        <item m="1" x="348"/>
        <item m="1" x="5321"/>
        <item m="1" x="5760"/>
        <item m="1" x="3132"/>
        <item m="1" x="7588"/>
        <item x="7"/>
        <item m="1" x="2657"/>
        <item m="1" x="3544"/>
        <item m="1" x="5107"/>
        <item m="1" x="3012"/>
        <item m="1" x="1528"/>
        <item m="1" x="2591"/>
        <item m="1" x="7990"/>
        <item m="1" x="6468"/>
        <item m="1" x="3047"/>
        <item m="1" x="409"/>
        <item m="1" x="7541"/>
        <item m="1" x="5960"/>
        <item m="1" x="6364"/>
        <item m="1" x="4692"/>
        <item m="1" x="5850"/>
        <item m="1" x="1405"/>
        <item m="1" x="7335"/>
        <item m="1" x="6355"/>
        <item m="1" x="1420"/>
        <item m="1" x="943"/>
        <item m="1" x="1889"/>
        <item m="1" x="7515"/>
        <item m="1" x="6683"/>
        <item m="1" x="3503"/>
        <item x="148"/>
        <item m="1" x="4596"/>
        <item m="1" x="1061"/>
        <item m="1" x="226"/>
        <item x="113"/>
        <item m="1" x="4989"/>
        <item m="1" x="4827"/>
        <item m="1" x="4332"/>
        <item m="1" x="2610"/>
        <item x="112"/>
        <item m="1" x="982"/>
        <item m="1" x="1844"/>
        <item m="1" x="322"/>
        <item x="101"/>
        <item m="1" x="1636"/>
        <item m="1" x="4816"/>
        <item m="1" x="3419"/>
        <item x="38"/>
        <item m="1" x="6854"/>
        <item x="37"/>
        <item m="1" x="4188"/>
        <item m="1" x="5385"/>
        <item m="1" x="1676"/>
        <item m="1" x="3420"/>
        <item m="1" x="7618"/>
        <item m="1" x="3165"/>
        <item m="1" x="2595"/>
        <item x="23"/>
        <item m="1" x="5629"/>
        <item x="22"/>
        <item m="1" x="583"/>
        <item m="1" x="4126"/>
        <item m="1" x="2311"/>
        <item m="1" x="3924"/>
        <item m="1" x="4377"/>
        <item m="1" x="6934"/>
        <item m="1" x="5671"/>
        <item m="1" x="2201"/>
        <item m="1" x="2555"/>
        <item m="1" x="5734"/>
        <item m="1" x="4093"/>
        <item m="1" x="5804"/>
        <item m="1" x="328"/>
        <item m="1" x="439"/>
        <item m="1" x="7946"/>
        <item m="1" x="4900"/>
        <item m="1" x="508"/>
        <item m="1" x="6536"/>
        <item m="1" x="4913"/>
        <item m="1" x="6305"/>
        <item m="1" x="2349"/>
        <item m="1" x="4237"/>
        <item m="1" x="2683"/>
        <item m="1" x="7321"/>
        <item m="1" x="1804"/>
        <item m="1" x="1080"/>
        <item m="1" x="4797"/>
        <item m="1" x="1187"/>
        <item m="1" x="6111"/>
        <item m="1" x="1392"/>
        <item m="1" x="805"/>
        <item m="1" x="1800"/>
        <item m="1" x="3872"/>
        <item m="1" x="5198"/>
        <item m="1" x="1337"/>
        <item m="1" x="3688"/>
        <item m="1" x="4167"/>
        <item m="1" x="3130"/>
        <item m="1" x="6652"/>
        <item m="1" x="5003"/>
        <item m="1" x="3903"/>
        <item m="1" x="685"/>
        <item m="1" x="1137"/>
        <item m="1" x="764"/>
        <item m="1" x="3113"/>
        <item m="1" x="3887"/>
        <item m="1" x="5049"/>
        <item m="1" x="2199"/>
        <item m="1" x="6582"/>
        <item m="1" x="184"/>
        <item m="1" x="7932"/>
        <item m="1" x="5208"/>
        <item m="1" x="5199"/>
        <item m="1" x="1498"/>
        <item m="1" x="5894"/>
        <item m="1" x="2892"/>
        <item m="1" x="5886"/>
        <item m="1" x="7874"/>
        <item m="1" x="3355"/>
        <item m="1" x="4074"/>
        <item m="1" x="3717"/>
        <item m="1" x="6356"/>
        <item m="1" x="483"/>
        <item m="1" x="278"/>
        <item m="1" x="2820"/>
        <item m="1" x="3003"/>
        <item m="1" x="574"/>
        <item m="1" x="819"/>
        <item m="1" x="3077"/>
        <item m="1" x="1869"/>
        <item m="1" x="5303"/>
        <item m="1" x="2815"/>
        <item m="1" x="7032"/>
        <item m="1" x="5921"/>
        <item m="1" x="7536"/>
        <item m="1" x="1621"/>
        <item m="1" x="4538"/>
        <item m="1" x="933"/>
        <item m="1" x="900"/>
        <item m="1" x="4761"/>
        <item m="1" x="6725"/>
        <item m="1" x="3252"/>
        <item m="1" x="7547"/>
        <item m="1" x="5596"/>
        <item m="1" x="3278"/>
        <item m="1" x="4764"/>
        <item m="1" x="3327"/>
        <item m="1" x="7167"/>
        <item m="1" x="5111"/>
        <item m="1" x="5700"/>
        <item m="1" x="2023"/>
        <item m="1" x="868"/>
        <item m="1" x="1816"/>
        <item m="1" x="3112"/>
        <item m="1" x="4961"/>
        <item m="1" x="347"/>
        <item m="1" x="4850"/>
        <item m="1" x="3814"/>
        <item m="1" x="7238"/>
        <item m="1" x="5839"/>
        <item x="59"/>
        <item m="1" x="6197"/>
        <item m="1" x="1265"/>
        <item m="1" x="1759"/>
        <item m="1" x="7561"/>
        <item m="1" x="2889"/>
        <item m="1" x="904"/>
        <item m="1" x="6840"/>
        <item m="1" x="5177"/>
        <item m="1" x="1774"/>
        <item m="1" x="4776"/>
        <item m="1" x="6929"/>
        <item m="1" x="6984"/>
        <item m="1" x="2409"/>
        <item m="1" x="4274"/>
        <item m="1" x="1226"/>
        <item m="1" x="7915"/>
        <item m="1" x="6696"/>
        <item m="1" x="2840"/>
        <item m="1" x="3087"/>
        <item m="1" x="4250"/>
        <item m="1" x="431"/>
        <item m="1" x="2312"/>
        <item m="1" x="3163"/>
        <item m="1" x="4798"/>
        <item m="1" x="1983"/>
        <item m="1" x="5788"/>
        <item m="1" x="6911"/>
        <item m="1" x="2648"/>
        <item m="1" x="6442"/>
        <item m="1" x="1217"/>
        <item m="1" x="4268"/>
        <item m="1" x="4751"/>
        <item m="1" x="5485"/>
        <item m="1" x="7826"/>
        <item m="1" x="7419"/>
        <item m="1" x="5170"/>
        <item m="1" x="2302"/>
        <item m="1" x="4392"/>
        <item m="1" x="6991"/>
        <item m="1" x="6435"/>
        <item x="45"/>
        <item m="1" x="7042"/>
        <item m="1" x="5342"/>
        <item m="1" x="2713"/>
        <item m="1" x="4024"/>
        <item m="1" x="1989"/>
        <item m="1" x="946"/>
        <item m="1" x="4960"/>
        <item m="1" x="6136"/>
        <item m="1" x="4646"/>
        <item m="1" x="7897"/>
        <item m="1" x="447"/>
        <item m="1" x="6449"/>
        <item m="1" x="200"/>
        <item m="1" x="7005"/>
        <item m="1" x="5171"/>
        <item m="1" x="5486"/>
        <item m="1" x="5736"/>
        <item m="1" x="3006"/>
        <item m="1" x="3648"/>
        <item m="1" x="430"/>
        <item m="1" x="4172"/>
        <item m="1" x="1587"/>
        <item m="1" x="1885"/>
        <item m="1" x="4732"/>
        <item m="1" x="4572"/>
        <item m="1" x="4109"/>
        <item m="1" x="1072"/>
        <item m="1" x="458"/>
        <item m="1" x="4333"/>
        <item m="1" x="689"/>
        <item m="1" x="5455"/>
        <item m="1" x="289"/>
        <item m="1" x="1729"/>
        <item m="1" x="2871"/>
        <item m="1" x="2916"/>
        <item m="1" x="604"/>
        <item m="1" x="1391"/>
        <item m="1" x="287"/>
        <item m="1" x="7690"/>
        <item m="1" x="3435"/>
        <item m="1" x="2102"/>
        <item m="1" x="6039"/>
        <item m="1" x="4682"/>
        <item m="1" x="3042"/>
        <item m="1" x="6859"/>
        <item m="1" x="7314"/>
        <item m="1" x="4908"/>
        <item m="1" x="7059"/>
        <item m="1" x="3080"/>
        <item m="1" x="5439"/>
        <item m="1" x="3361"/>
        <item m="1" x="3620"/>
        <item m="1" x="3774"/>
        <item m="1" x="4485"/>
        <item m="1" x="2872"/>
        <item m="1" x="3589"/>
        <item x="156"/>
        <item m="1" x="6021"/>
        <item m="1" x="319"/>
        <item m="1" x="1086"/>
        <item m="1" x="6101"/>
        <item m="1" x="2516"/>
        <item m="1" x="5456"/>
        <item x="146"/>
        <item m="1" x="6393"/>
        <item m="1" x="6465"/>
        <item m="1" x="6466"/>
        <item m="1" x="5036"/>
        <item m="1" x="2383"/>
        <item m="1" x="3068"/>
        <item m="1" x="252"/>
        <item m="1" x="6170"/>
        <item m="1" x="2636"/>
        <item m="1" x="5037"/>
        <item m="1" x="1267"/>
        <item m="1" x="5376"/>
        <item m="1" x="2515"/>
        <item m="1" x="6897"/>
        <item m="1" x="4660"/>
        <item m="1" x="5155"/>
        <item m="1" x="6214"/>
        <item m="1" x="3156"/>
        <item m="1" x="5647"/>
        <item m="1" x="3501"/>
        <item m="1" x="2272"/>
        <item m="1" x="2486"/>
        <item m="1" x="7404"/>
        <item m="1" x="2747"/>
        <item m="1" x="6892"/>
        <item m="1" x="7282"/>
        <item m="1" x="3790"/>
        <item m="1" x="2495"/>
        <item m="1" x="1737"/>
        <item m="1" x="3567"/>
        <item m="1" x="6102"/>
        <item m="1" x="7035"/>
        <item m="1" x="5664"/>
        <item m="1" x="6349"/>
        <item m="1" x="5431"/>
        <item m="1" x="6904"/>
        <item m="1" x="3545"/>
        <item m="1" x="1745"/>
        <item m="1" x="690"/>
        <item m="1" x="1728"/>
        <item m="1" x="2528"/>
        <item m="1" x="5767"/>
        <item m="1" x="4897"/>
        <item m="1" x="4059"/>
        <item m="1" x="1937"/>
        <item m="1" x="195"/>
        <item m="1" x="3746"/>
        <item m="1" x="7491"/>
        <item m="1" x="6966"/>
        <item m="1" x="1807"/>
        <item m="1" x="1541"/>
        <item m="1" x="2366"/>
        <item m="1" x="3775"/>
        <item m="1" x="1560"/>
        <item m="1" x="2978"/>
        <item m="1" x="7121"/>
        <item m="1" x="5650"/>
        <item m="1" x="6558"/>
        <item m="1" x="7283"/>
        <item m="1" x="7309"/>
        <item m="1" x="4199"/>
        <item m="1" x="7233"/>
        <item m="1" x="3560"/>
        <item m="1" x="2569"/>
        <item m="1" x="3335"/>
        <item m="1" x="5620"/>
        <item m="1" x="3027"/>
        <item m="1" x="4026"/>
        <item m="1" x="1850"/>
        <item m="1" x="3559"/>
        <item m="1" x="7820"/>
        <item m="1" x="465"/>
        <item m="1" x="1227"/>
        <item m="1" x="7645"/>
        <item m="1" x="6697"/>
        <item x="105"/>
        <item m="1" x="1007"/>
        <item m="1" x="822"/>
        <item m="1" x="6807"/>
        <item m="1" x="6382"/>
        <item m="1" x="3546"/>
        <item m="1" x="3175"/>
        <item m="1" x="2313"/>
        <item m="1" x="6735"/>
        <item m="1" x="2778"/>
        <item m="1" x="7507"/>
        <item m="1" x="6243"/>
        <item m="1" x="4111"/>
        <item m="1" x="1335"/>
        <item m="1" x="1584"/>
        <item m="1" x="5081"/>
        <item m="1" x="1792"/>
        <item m="1" x="2003"/>
        <item m="1" x="3507"/>
        <item m="1" x="6499"/>
        <item m="1" x="3547"/>
        <item m="1" x="725"/>
        <item m="1" x="1459"/>
        <item m="1" x="3034"/>
        <item m="1" x="217"/>
        <item m="1" x="6008"/>
        <item m="1" x="3795"/>
        <item m="1" x="2200"/>
        <item m="1" x="7498"/>
        <item m="1" x="2975"/>
        <item m="1" x="236"/>
        <item m="1" x="5243"/>
        <item m="1" x="2252"/>
        <item m="1" x="3462"/>
        <item m="1" x="3464"/>
        <item m="1" x="6454"/>
        <item m="1" x="6191"/>
        <item m="1" x="1588"/>
        <item m="1" x="5185"/>
        <item m="1" x="1499"/>
        <item m="1" x="6455"/>
        <item m="1" x="7315"/>
        <item m="1" x="1440"/>
        <item m="1" x="3066"/>
        <item m="1" x="4066"/>
        <item m="1" x="2909"/>
        <item m="1" x="2155"/>
        <item m="1" x="7596"/>
        <item m="1" x="4945"/>
        <item m="1" x="5263"/>
        <item m="1" x="3899"/>
        <item m="1" x="4644"/>
        <item m="1" x="3206"/>
        <item m="1" x="2473"/>
        <item m="1" x="6935"/>
        <item m="1" x="6280"/>
        <item m="1" x="4946"/>
        <item m="1" x="2895"/>
        <item x="162"/>
        <item m="1" x="4058"/>
        <item m="1" x="657"/>
        <item m="1" x="6572"/>
        <item m="1" x="882"/>
        <item m="1" x="2297"/>
        <item m="1" x="4604"/>
        <item m="1" x="3940"/>
        <item m="1" x="2758"/>
        <item m="1" x="7977"/>
        <item m="1" x="6851"/>
        <item x="109"/>
        <item m="1" x="7835"/>
        <item m="1" x="1376"/>
        <item m="1" x="7554"/>
        <item m="1" x="6784"/>
        <item m="1" x="5249"/>
        <item m="1" x="808"/>
        <item m="1" x="6306"/>
        <item m="1" x="7437"/>
        <item m="1" x="6287"/>
        <item m="1" x="6509"/>
        <item m="1" x="7407"/>
        <item m="1" x="3853"/>
        <item m="1" x="3333"/>
        <item m="1" x="3489"/>
        <item m="1" x="3118"/>
        <item m="1" x="4869"/>
        <item m="1" x="2607"/>
        <item m="1" x="2784"/>
        <item m="1" x="3631"/>
        <item m="1" x="7525"/>
        <item m="1" x="732"/>
        <item m="1" x="5887"/>
        <item m="1" x="2384"/>
        <item m="1" x="715"/>
        <item m="1" x="6914"/>
        <item m="1" x="3713"/>
        <item m="1" x="7033"/>
        <item m="1" x="1793"/>
        <item m="1" x="969"/>
        <item m="1" x="1407"/>
        <item m="1" x="5277"/>
        <item m="1" x="4947"/>
        <item m="1" x="4991"/>
        <item m="1" x="770"/>
        <item m="1" x="1329"/>
        <item m="1" x="407"/>
        <item m="1" x="6726"/>
        <item m="1" x="973"/>
        <item m="1" x="3979"/>
        <item m="1" x="3759"/>
        <item m="1" x="1821"/>
        <item m="1" x="3366"/>
        <item m="1" x="2169"/>
        <item m="1" x="771"/>
        <item m="1" x="3733"/>
        <item m="1" x="2502"/>
        <item m="1" x="7371"/>
        <item m="1" x="7821"/>
        <item m="1" x="785"/>
        <item m="1" x="272"/>
        <item m="1" x="772"/>
        <item m="1" x="1209"/>
        <item m="1" x="5369"/>
        <item m="1" x="3998"/>
        <item m="1" x="6247"/>
        <item m="1" x="2800"/>
        <item m="1" x="6707"/>
        <item m="1" x="6171"/>
        <item m="1" x="3861"/>
        <item m="1" x="1922"/>
        <item m="1" x="2113"/>
        <item m="1" x="6878"/>
        <item m="1" x="3490"/>
        <item m="1" x="6528"/>
        <item x="26"/>
        <item m="1" x="6985"/>
        <item m="1" x="1721"/>
        <item m="1" x="6256"/>
        <item m="1" x="4002"/>
        <item m="1" x="995"/>
        <item m="1" x="4378"/>
        <item m="1" x="6866"/>
        <item m="1" x="469"/>
        <item m="1" x="4706"/>
        <item m="1" x="6202"/>
        <item m="1" x="5103"/>
        <item m="1" x="5601"/>
        <item m="1" x="1779"/>
        <item m="1" x="2816"/>
        <item m="1" x="4027"/>
        <item m="1" x="1677"/>
        <item m="1" x="2464"/>
        <item m="1" x="3367"/>
        <item m="1" x="7537"/>
        <item m="1" x="367"/>
        <item m="1" x="4238"/>
        <item m="1" x="7578"/>
        <item m="1" x="1415"/>
        <item m="1" x="2631"/>
        <item m="1" x="6902"/>
        <item m="1" x="7048"/>
        <item m="1" x="4573"/>
        <item m="1" x="1813"/>
        <item m="1" x="4013"/>
        <item m="1" x="3772"/>
        <item m="1" x="2779"/>
        <item m="1" x="1519"/>
        <item m="1" x="3521"/>
        <item m="1" x="5082"/>
        <item m="1" x="5991"/>
        <item m="1" x="3804"/>
        <item m="1" x="7960"/>
        <item m="1" x="2320"/>
        <item m="1" x="5215"/>
        <item m="1" x="2435"/>
        <item m="1" x="3747"/>
        <item m="1" x="5159"/>
        <item m="1" x="7234"/>
        <item m="1" x="7512"/>
        <item m="1" x="4855"/>
        <item m="1" x="5244"/>
        <item m="1" x="6873"/>
        <item m="1" x="1749"/>
        <item m="1" x="4200"/>
        <item m="1" x="1150"/>
        <item m="1" x="2826"/>
        <item m="1" x="4436"/>
        <item m="1" x="5944"/>
        <item m="1" x="509"/>
        <item m="1" x="6590"/>
        <item m="1" x="2206"/>
        <item m="1" x="7039"/>
        <item m="1" x="681"/>
        <item m="1" x="4201"/>
        <item m="1" x="1151"/>
        <item m="1" x="2827"/>
        <item m="1" x="5945"/>
        <item m="1" x="705"/>
        <item m="1" x="2208"/>
        <item m="1" x="1761"/>
        <item m="1" x="3649"/>
        <item m="1" x="1052"/>
        <item m="1" x="6887"/>
        <item m="1" x="7797"/>
        <item m="1" x="2170"/>
        <item m="1" x="6698"/>
        <item m="1" x="2753"/>
        <item m="1" x="1492"/>
        <item m="1" x="5138"/>
        <item m="1" x="3318"/>
        <item m="1" x="6227"/>
        <item m="1" x="5768"/>
        <item m="1" x="3624"/>
        <item m="1" x="6118"/>
        <item m="1" x="1967"/>
        <item m="1" x="2673"/>
        <item m="1" x="6353"/>
        <item m="1" x="5076"/>
        <item m="1" x="510"/>
        <item m="1" x="3643"/>
        <item m="1" x="7963"/>
        <item m="1" x="2440"/>
        <item m="1" x="4981"/>
        <item m="1" x="6693"/>
        <item m="1" x="733"/>
        <item m="1" x="511"/>
        <item m="1" x="2718"/>
        <item m="1" x="2114"/>
        <item m="1" x="7722"/>
        <item m="1" x="2106"/>
        <item m="1" x="5873"/>
        <item m="1" x="551"/>
        <item m="1" x="5841"/>
        <item m="1" x="7043"/>
        <item m="1" x="669"/>
        <item m="1" x="7205"/>
        <item m="1" x="647"/>
        <item m="1" x="5214"/>
        <item m="1" x="3955"/>
        <item m="1" x="2436"/>
        <item m="1" x="5416"/>
        <item m="1" x="5972"/>
        <item m="1" x="4472"/>
        <item m="1" x="4539"/>
        <item m="1" x="2083"/>
        <item m="1" x="5136"/>
        <item m="1" x="5381"/>
        <item m="1" x="5442"/>
        <item m="1" x="3862"/>
        <item m="1" x="5139"/>
        <item m="1" x="4279"/>
        <item m="1" x="299"/>
        <item m="1" x="2398"/>
        <item m="1" x="3748"/>
        <item m="1" x="2207"/>
        <item m="1" x="2263"/>
        <item m="1" x="5888"/>
        <item m="1" x="5448"/>
        <item m="1" x="6619"/>
        <item m="1" x="6620"/>
        <item m="1" x="6260"/>
        <item m="1" x="1521"/>
        <item m="1" x="5976"/>
        <item m="1" x="7112"/>
        <item m="1" x="4430"/>
        <item m="1" x="3578"/>
        <item m="1" x="4230"/>
        <item m="1" x="4743"/>
        <item m="1" x="1543"/>
        <item m="1" x="4473"/>
        <item m="1" x="3730"/>
        <item m="1" x="4219"/>
        <item m="1" x="2079"/>
        <item m="1" x="7597"/>
        <item m="1" x="5334"/>
        <item m="1" x="7972"/>
        <item m="1" x="5272"/>
        <item m="1" x="3116"/>
        <item m="1" x="7599"/>
        <item m="1" x="839"/>
        <item m="1" x="3929"/>
        <item m="1" x="1601"/>
        <item m="1" x="1700"/>
        <item m="1" x="3505"/>
        <item m="1" x="4362"/>
        <item m="1" x="557"/>
        <item m="1" x="4029"/>
        <item m="1" x="4833"/>
        <item m="1" x="6211"/>
        <item m="1" x="7917"/>
        <item m="1" x="2097"/>
        <item m="1" x="6150"/>
        <item m="1" x="5173"/>
        <item m="1" x="5451"/>
        <item m="1" x="6932"/>
        <item m="1" x="6867"/>
        <item m="1" x="5101"/>
        <item m="1" x="6463"/>
        <item m="1" x="6394"/>
        <item m="1" x="6194"/>
        <item m="1" x="4597"/>
        <item m="1" x="4579"/>
        <item m="1" x="2134"/>
        <item m="1" x="1973"/>
        <item m="1" x="1317"/>
        <item m="1" x="6079"/>
        <item m="1" x="5854"/>
        <item m="1" x="6874"/>
        <item m="1" x="7979"/>
        <item m="1" x="4998"/>
        <item m="1" x="6374"/>
        <item m="1" x="6338"/>
        <item m="1" x="1622"/>
        <item m="1" x="7411"/>
        <item m="1" x="7412"/>
        <item m="1" x="4813"/>
        <item m="1" x="4434"/>
        <item x="140"/>
        <item m="1" x="5981"/>
        <item m="1" x="7698"/>
        <item m="1" x="5645"/>
        <item m="1" x="5738"/>
        <item m="1" x="2080"/>
        <item m="1" x="6427"/>
        <item m="1" x="6881"/>
        <item x="139"/>
        <item m="1" x="2090"/>
        <item m="1" x="1903"/>
        <item m="1" x="6261"/>
        <item m="1" x="7723"/>
        <item m="1" x="2347"/>
        <item m="1" x="3751"/>
        <item m="1" x="800"/>
        <item m="1" x="706"/>
        <item m="1" x="1713"/>
        <item m="1" x="3908"/>
        <item m="1" x="2693"/>
        <item m="1" x="893"/>
        <item m="1" x="6238"/>
        <item m="1" x="779"/>
        <item m="1" x="2266"/>
        <item m="1" x="7656"/>
        <item m="1" x="2868"/>
        <item m="1" x="2841"/>
        <item m="1" x="6369"/>
        <item m="1" x="2999"/>
        <item m="1" x="3263"/>
        <item m="1" x="2873"/>
        <item m="1" x="2284"/>
        <item m="1" x="876"/>
        <item m="1" x="1062"/>
        <item m="1" x="4035"/>
        <item m="1" x="5311"/>
        <item m="1" x="4766"/>
        <item m="1" x="1275"/>
        <item m="1" x="7983"/>
        <item m="1" x="5482"/>
        <item m="1" x="4022"/>
        <item m="1" x="4948"/>
        <item m="1" x="6853"/>
        <item m="1" x="6501"/>
        <item m="1" x="2344"/>
        <item m="1" x="7822"/>
        <item m="1" x="6532"/>
        <item m="1" x="2180"/>
        <item m="1" x="4752"/>
        <item m="1" x="6857"/>
        <item m="1" x="5858"/>
        <item m="1" x="4290"/>
        <item m="1" x="1135"/>
        <item m="1" x="2438"/>
        <item m="1" x="4433"/>
        <item m="1" x="5357"/>
        <item m="1" x="187"/>
        <item m="1" x="1974"/>
        <item m="1" x="692"/>
        <item m="1" x="1771"/>
        <item m="1" x="6515"/>
        <item m="1" x="3059"/>
        <item m="1" x="1632"/>
        <item m="1" x="6997"/>
        <item m="1" x="6930"/>
        <item m="1" x="6700"/>
        <item m="1" x="2623"/>
        <item m="1" x="7928"/>
        <item m="1" x="3004"/>
        <item m="1" x="3409"/>
        <item m="1" x="4042"/>
        <item m="1" x="4374"/>
        <item m="1" x="1342"/>
        <item m="1" x="5025"/>
        <item m="1" x="5364"/>
        <item m="1" x="4569"/>
        <item m="1" x="3389"/>
        <item m="1" x="5367"/>
        <item m="1" x="5388"/>
        <item m="1" x="205"/>
        <item m="1" x="7098"/>
        <item m="1" x="2700"/>
        <item m="1" x="4950"/>
        <item m="1" x="4749"/>
        <item m="1" x="4788"/>
        <item m="1" x="7239"/>
        <item m="1" x="1687"/>
        <item m="1" x="2982"/>
        <item m="1" x="2994"/>
        <item m="1" x="3742"/>
        <item m="1" x="1040"/>
        <item m="1" x="1706"/>
        <item m="1" x="3350"/>
        <item m="1" x="1047"/>
        <item m="1" x="612"/>
        <item m="1" x="7844"/>
        <item m="1" x="4481"/>
        <item m="1" x="3092"/>
        <item m="1" x="768"/>
        <item m="1" x="3277"/>
        <item m="1" x="1123"/>
        <item m="1" x="6336"/>
        <item m="1" x="5625"/>
        <item m="1" x="1708"/>
        <item m="1" x="722"/>
        <item m="1" x="5252"/>
        <item m="1" x="6749"/>
        <item m="1" x="4509"/>
        <item m="1" x="6418"/>
        <item m="1" x="4368"/>
        <item m="1" x="7327"/>
        <item m="1" x="6576"/>
        <item m="1" x="6949"/>
        <item m="1" x="2096"/>
        <item m="1" x="4462"/>
        <item m="1" x="4641"/>
        <item m="1" x="5110"/>
        <item m="1" x="2496"/>
        <item m="1" x="7563"/>
        <item m="1" x="1389"/>
        <item m="1" x="781"/>
        <item m="1" x="2843"/>
        <item m="1" x="2246"/>
        <item m="1" x="679"/>
        <item m="1" x="6020"/>
        <item m="1" x="6407"/>
        <item m="1" x="6496"/>
        <item m="1" x="5337"/>
        <item m="1" x="6703"/>
        <item m="1" x="6648"/>
        <item m="1" x="2396"/>
        <item m="1" x="4713"/>
        <item m="1" x="2740"/>
        <item m="1" x="5717"/>
        <item m="1" x="6628"/>
        <item m="1" x="3837"/>
        <item m="1" x="206"/>
        <item m="1" x="6912"/>
        <item m="1" x="4451"/>
        <item m="1" x="1625"/>
        <item m="1" x="4466"/>
        <item m="1" x="1843"/>
        <item m="1" x="4577"/>
        <item m="1" x="1443"/>
        <item m="1" x="7012"/>
        <item m="1" x="1457"/>
        <item m="1" x="2757"/>
        <item m="1" x="207"/>
        <item m="1" x="955"/>
        <item m="1" x="1565"/>
        <item m="1" x="2189"/>
        <item m="1" x="208"/>
        <item m="1" x="6105"/>
        <item m="1" x="284"/>
        <item m="1" x="4242"/>
        <item m="1" x="6918"/>
        <item m="1" x="324"/>
        <item m="1" x="1119"/>
        <item m="1" x="3860"/>
        <item m="1" x="3379"/>
        <item m="1" x="6446"/>
        <item m="1" x="1445"/>
        <item m="1" x="1564"/>
        <item m="1" x="5169"/>
        <item m="1" x="4476"/>
        <item m="1" x="254"/>
        <item m="1" x="2647"/>
        <item m="1" x="4501"/>
        <item m="1" x="7652"/>
        <item m="1" x="5145"/>
        <item m="1" x="456"/>
        <item m="1" x="3670"/>
        <item m="1" x="7752"/>
        <item m="1" x="6343"/>
        <item m="1" x="6184"/>
        <item m="1" x="516"/>
        <item m="1" x="5356"/>
        <item m="1" x="4533"/>
        <item m="1" x="7511"/>
        <item m="1" x="1460"/>
        <item m="1" x="298"/>
        <item m="1" x="4972"/>
        <item m="1" x="562"/>
        <item m="1" x="6235"/>
        <item m="1" x="2677"/>
        <item m="1" x="3148"/>
        <item m="1" x="2974"/>
        <item m="1" x="1624"/>
        <item m="1" x="6121"/>
        <item m="1" x="7565"/>
        <item m="1" x="4590"/>
        <item m="1" x="7964"/>
        <item m="1" x="6664"/>
        <item m="1" x="273"/>
        <item m="1" x="7929"/>
        <item m="1" x="3040"/>
        <item m="1" x="6736"/>
        <item m="1" x="1453"/>
        <item m="1" x="5331"/>
        <item m="1" x="2690"/>
        <item m="1" x="1489"/>
        <item m="1" x="3445"/>
        <item m="1" x="7583"/>
        <item m="1" x="5904"/>
        <item m="1" x="5250"/>
        <item m="1" x="7781"/>
        <item m="1" x="1500"/>
        <item m="1" x="1030"/>
        <item m="1" x="4400"/>
        <item m="1" x="6888"/>
        <item m="1" x="6027"/>
        <item m="1" x="919"/>
        <item m="1" x="6637"/>
        <item m="1" x="4145"/>
        <item m="1" x="2666"/>
        <item m="1" x="6808"/>
        <item m="1" x="7408"/>
        <item m="1" x="7249"/>
        <item m="1" x="4941"/>
        <item m="1" x="6772"/>
        <item m="1" x="2211"/>
        <item m="1" x="3010"/>
        <item m="1" x="388"/>
        <item m="1" x="7361"/>
        <item m="1" x="3724"/>
        <item m="1" x="3382"/>
        <item m="1" x="6120"/>
        <item m="1" x="7607"/>
        <item m="1" x="470"/>
        <item m="1" x="471"/>
        <item m="1" x="6909"/>
        <item m="1" x="1890"/>
        <item m="1" x="2556"/>
        <item m="1" x="2256"/>
        <item m="1" x="3088"/>
        <item m="1" x="5009"/>
        <item m="1" x="1223"/>
        <item m="1" x="6143"/>
        <item m="1" x="7449"/>
        <item m="1" x="5293"/>
        <item m="1" x="3683"/>
        <item m="1" x="3535"/>
        <item m="1" x="3608"/>
        <item m="1" x="6910"/>
        <item m="1" x="1826"/>
        <item m="1" x="6048"/>
        <item m="1" x="6712"/>
        <item m="1" x="4189"/>
        <item m="1" x="1739"/>
        <item m="1" x="2817"/>
        <item m="1" x="5681"/>
        <item m="1" x="7864"/>
        <item m="1" x="2979"/>
        <item m="1" x="1814"/>
        <item m="1" x="6301"/>
        <item m="1" x="6371"/>
        <item m="1" x="5206"/>
        <item m="1" x="7189"/>
        <item m="1" x="2734"/>
        <item m="1" x="2158"/>
        <item m="1" x="2225"/>
        <item m="1" x="4285"/>
        <item m="1" x="7715"/>
        <item m="1" x="3936"/>
        <item m="1" x="5200"/>
        <item m="1" x="6745"/>
        <item m="1" x="4844"/>
        <item m="1" x="3818"/>
        <item m="1" x="6730"/>
        <item m="1" x="2934"/>
        <item m="1" x="3590"/>
        <item m="1" x="4694"/>
        <item m="1" x="3890"/>
        <item m="1" x="4190"/>
        <item m="1" x="2209"/>
        <item m="1" x="4005"/>
        <item m="1" x="7235"/>
        <item m="1" x="835"/>
        <item m="1" x="4765"/>
        <item m="1" x="3125"/>
        <item m="1" x="6746"/>
        <item m="1" x="3089"/>
        <item m="1" x="7274"/>
        <item m="1" x="6009"/>
        <item m="1" x="5922"/>
        <item m="1" x="2917"/>
        <item m="1" x="3402"/>
        <item m="1" x="2332"/>
        <item m="1" x="3094"/>
        <item m="1" x="7440"/>
        <item m="1" x="7252"/>
        <item m="1" x="4563"/>
        <item m="1" x="3650"/>
        <item m="1" x="3867"/>
        <item m="1" x="7626"/>
        <item m="1" x="6107"/>
        <item x="141"/>
        <item m="1" x="7581"/>
        <item m="1" x="4885"/>
        <item m="1" x="2066"/>
        <item m="1" x="5140"/>
        <item m="1" x="7363"/>
        <item m="1" x="7001"/>
        <item m="1" x="1254"/>
        <item m="1" x="260"/>
        <item m="1" x="3086"/>
        <item m="1" x="7006"/>
        <item m="1" x="3058"/>
        <item m="1" x="181"/>
        <item m="1" x="1999"/>
        <item m="1" x="2771"/>
        <item m="1" x="7209"/>
        <item m="1" x="7747"/>
        <item m="1" x="2228"/>
        <item m="1" x="4935"/>
        <item m="1" x="2159"/>
        <item m="1" x="7430"/>
        <item m="1" x="4615"/>
        <item m="1" x="2126"/>
        <item m="1" x="2719"/>
        <item m="1" x="4422"/>
        <item m="1" x="4746"/>
        <item m="1" x="4423"/>
        <item m="1" x="1463"/>
        <item m="1" x="7980"/>
        <item m="1" x="5421"/>
        <item m="1" x="2025"/>
        <item m="1" x="6960"/>
        <item m="1" x="6469"/>
        <item m="1" x="1678"/>
        <item m="1" x="3937"/>
        <item m="1" x="7018"/>
        <item m="1" x="829"/>
        <item m="1" x="1115"/>
        <item m="1" x="3248"/>
        <item m="1" x="2888"/>
        <item m="1" x="6639"/>
        <item m="1" x="4674"/>
        <item m="1" x="6860"/>
        <item m="1" x="5160"/>
        <item m="1" x="7635"/>
        <item m="1" x="7636"/>
        <item m="1" x="7339"/>
        <item m="1" x="228"/>
        <item m="1" x="1237"/>
        <item m="1" x="3078"/>
        <item m="1" x="1891"/>
        <item m="1" x="3832"/>
        <item m="1" x="1008"/>
        <item m="1" x="567"/>
        <item m="1" x="1526"/>
        <item m="1" x="5651"/>
        <item m="1" x="1873"/>
        <item m="1" x="3073"/>
        <item m="1" x="2510"/>
        <item m="1" x="427"/>
        <item m="1" x="2422"/>
        <item m="1" x="5642"/>
        <item m="1" x="1899"/>
        <item m="1" x="742"/>
        <item m="1" x="5896"/>
        <item m="1" x="4424"/>
        <item m="1" x="7902"/>
        <item m="1" x="7782"/>
        <item m="1" x="7712"/>
        <item m="1" x="2282"/>
        <item m="1" x="1870"/>
        <item m="1" x="1707"/>
        <item m="1" x="1785"/>
        <item m="1" x="2720"/>
        <item m="1" x="1094"/>
        <item m="1" x="7259"/>
        <item m="1" x="3944"/>
        <item m="1" x="1109"/>
        <item m="1" x="7851"/>
        <item m="1" x="2456"/>
        <item m="1" x="7066"/>
        <item m="1" x="2048"/>
        <item m="1" x="449"/>
        <item m="1" x="5172"/>
        <item m="1" x="6592"/>
        <item m="1" x="7789"/>
        <item m="1" x="6777"/>
        <item m="1" x="6423"/>
        <item m="1" x="711"/>
        <item m="1" x="4020"/>
        <item m="1" x="707"/>
        <item m="1" x="4484"/>
        <item m="1" x="4911"/>
        <item m="1" x="629"/>
        <item m="1" x="5315"/>
        <item m="1" x="7425"/>
        <item m="1" x="7783"/>
        <item m="1" x="2026"/>
        <item m="1" x="1447"/>
        <item m="1" x="2135"/>
        <item m="1" x="6537"/>
        <item m="1" x="4914"/>
        <item m="1" x="3331"/>
        <item m="1" x="338"/>
        <item m="1" x="1377"/>
        <item m="1" x="609"/>
        <item m="1" x="5233"/>
        <item m="1" x="7836"/>
        <item m="1" x="1663"/>
        <item m="1" x="3781"/>
        <item m="1" x="7040"/>
        <item m="1" x="5801"/>
        <item m="1" x="6179"/>
        <item m="1" x="384"/>
        <item m="1" x="1794"/>
        <item m="1" x="1795"/>
        <item m="1" x="2296"/>
        <item m="1" x="1055"/>
        <item m="1" x="4999"/>
        <item m="1" x="4456"/>
        <item m="1" x="5511"/>
        <item m="1" x="3007"/>
        <item m="1" x="2950"/>
        <item m="1" x="3062"/>
        <item m="1" x="2229"/>
        <item m="1" x="4243"/>
        <item m="1" x="4425"/>
        <item m="1" x="3491"/>
        <item m="1" x="1501"/>
        <item m="1" x="488"/>
        <item m="1" x="7705"/>
        <item m="1" x="6704"/>
        <item m="1" x="5021"/>
        <item m="1" x="4873"/>
        <item m="1" x="4251"/>
        <item m="1" x="386"/>
        <item m="1" x="505"/>
        <item m="1" x="6602"/>
        <item m="1" x="2608"/>
        <item m="1" x="5370"/>
        <item m="1" x="7162"/>
        <item m="1" x="1095"/>
        <item m="1" x="4828"/>
        <item m="1" x="5573"/>
        <item m="1" x="6822"/>
        <item m="1" x="6640"/>
        <item m="1" x="4075"/>
        <item m="1" x="4777"/>
        <item m="1" x="4695"/>
        <item m="1" x="6470"/>
        <item m="1" x="3000"/>
        <item m="1" x="7701"/>
        <item m="1" x="7966"/>
        <item m="1" x="7356"/>
        <item m="1" x="6050"/>
        <item m="1" x="6377"/>
        <item m="1" x="7342"/>
        <item m="1" x="2122"/>
        <item m="1" x="1346"/>
        <item m="1" x="2290"/>
        <item m="1" x="415"/>
        <item m="1" x="6603"/>
        <item m="1" x="6220"/>
        <item m="1" x="4218"/>
        <item m="1" x="6205"/>
        <item m="1" x="1740"/>
        <item m="1" x="2792"/>
        <item m="1" x="5345"/>
        <item m="1" x="6898"/>
        <item m="1" x="313"/>
        <item m="1" x="5757"/>
        <item m="1" x="4076"/>
        <item m="1" x="1133"/>
        <item m="1" x="4773"/>
        <item m="1" x="2851"/>
        <item m="1" x="1641"/>
        <item m="1" x="3716"/>
        <item m="1" x="2280"/>
        <item m="1" x="1733"/>
        <item m="1" x="7090"/>
        <item m="1" x="3833"/>
        <item m="1" x="752"/>
        <item m="1" x="3368"/>
        <item m="1" x="815"/>
        <item m="1" x="1522"/>
        <item m="1" x="7075"/>
        <item m="1" x="4672"/>
        <item m="1" x="761"/>
        <item m="1" x="6643"/>
        <item m="1" x="4135"/>
        <item m="1" x="869"/>
        <item x="120"/>
        <item m="1" x="4902"/>
        <item m="1" x="4582"/>
        <item m="1" x="2389"/>
        <item m="1" x="5292"/>
        <item m="1" x="3803"/>
        <item m="1" x="3971"/>
        <item m="1" x="4992"/>
        <item m="1" x="7347"/>
        <item m="1" x="6766"/>
        <item m="1" x="3321"/>
        <item m="1" x="222"/>
        <item m="1" x="7903"/>
        <item m="1" x="6277"/>
        <item m="1" x="4622"/>
        <item m="1" x="5044"/>
        <item m="1" x="5131"/>
        <item m="1" x="3391"/>
        <item m="1" x="5824"/>
        <item m="1" x="2894"/>
        <item x="97"/>
        <item m="1" x="4787"/>
        <item m="1" x="3999"/>
        <item m="1" x="3663"/>
        <item m="1" x="920"/>
        <item m="1" x="3119"/>
        <item m="1" x="5946"/>
        <item m="1" x="7898"/>
        <item m="1" x="2091"/>
        <item m="1" x="6216"/>
        <item m="1" x="3836"/>
        <item m="1" x="2307"/>
        <item m="1" x="6506"/>
        <item x="43"/>
        <item m="1" x="1252"/>
        <item m="1" x="7984"/>
        <item m="1" x="831"/>
        <item m="1" x="5278"/>
        <item m="1" x="6164"/>
        <item m="1" x="5127"/>
        <item m="1" x="5410"/>
        <item m="1" x="2400"/>
        <item m="1" x="2596"/>
        <item x="152"/>
        <item m="1" x="4907"/>
        <item m="1" x="3846"/>
        <item m="1" x="6253"/>
        <item m="1" x="3527"/>
        <item m="1" x="4616"/>
        <item m="1" x="2489"/>
        <item m="1" x="7471"/>
        <item m="1" x="5294"/>
        <item m="1" x="1667"/>
        <item m="1" x="1822"/>
        <item m="1" x="7474"/>
        <item m="1" x="6823"/>
        <item m="1" x="6546"/>
        <item m="1" x="3922"/>
        <item m="1" x="2427"/>
        <item m="1" x="4729"/>
        <item m="1" x="2729"/>
        <item m="1" x="6750"/>
        <item m="1" x="7322"/>
        <item x="46"/>
        <item m="1" x="2024"/>
        <item m="1" x="4389"/>
        <item m="1" x="675"/>
        <item m="1" x="1113"/>
        <item m="1" x="2702"/>
        <item m="1" x="3701"/>
        <item m="1" x="3906"/>
        <item m="1" x="7670"/>
        <item m="1" x="4627"/>
        <item m="1" x="2303"/>
        <item m="1" x="2744"/>
        <item m="1" x="580"/>
        <item m="1" x="5831"/>
        <item m="1" x="5391"/>
        <item m="1" x="6339"/>
        <item m="1" x="2943"/>
        <item m="1" x="4903"/>
        <item m="1" x="2186"/>
        <item m="1" x="6869"/>
        <item x="102"/>
        <item m="1" x="1886"/>
        <item m="1" x="4398"/>
        <item m="1" x="5060"/>
        <item m="1" x="1225"/>
        <item m="1" x="2625"/>
        <item m="1" x="1573"/>
        <item m="1" x="1695"/>
        <item m="1" x="3149"/>
        <item m="1" x="5611"/>
        <item m="1" x="4636"/>
        <item m="1" x="3939"/>
        <item m="1" x="5100"/>
        <item m="1" x="7750"/>
        <item m="1" x="2746"/>
        <item m="1" x="2563"/>
        <item m="1" x="4323"/>
        <item m="1" x="3611"/>
        <item m="1" x="656"/>
        <item m="1" x="2107"/>
        <item m="1" x="6732"/>
        <item m="1" x="5536"/>
        <item m="1" x="6952"/>
        <item m="1" x="7740"/>
        <item m="1" x="1264"/>
        <item m="1" x="1288"/>
        <item m="1" x="7603"/>
        <item m="1" x="1263"/>
        <item m="1" x="4359"/>
        <item m="1" x="6764"/>
        <item m="1" x="984"/>
        <item m="1" x="650"/>
        <item m="1" x="7197"/>
        <item m="1" x="7292"/>
        <item m="1" x="7516"/>
        <item m="1" x="4685"/>
        <item m="1" x="302"/>
        <item m="1" x="4521"/>
        <item m="1" x="7492"/>
        <item m="1" x="5079"/>
        <item m="1" x="2637"/>
        <item m="1" x="7624"/>
        <item m="1" x="5402"/>
        <item m="1" x="7122"/>
        <item m="1" x="2897"/>
        <item m="1" x="6096"/>
        <item m="1" x="1664"/>
        <item m="1" x="2127"/>
        <item m="1" x="2447"/>
        <item m="1" x="2828"/>
        <item m="1" x="7702"/>
        <item m="1" x="4021"/>
        <item m="1" x="5977"/>
        <item m="1" x="1026"/>
        <item m="1" x="5697"/>
        <item m="1" x="6510"/>
        <item m="1" x="4045"/>
        <item m="1" x="5386"/>
        <item m="1" x="6714"/>
        <item m="1" x="5514"/>
        <item m="1" x="858"/>
        <item m="1" x="7168"/>
        <item m="1" x="4067"/>
        <item m="1" x="3705"/>
        <item m="1" x="4239"/>
        <item m="1" x="3967"/>
        <item m="1" x="6091"/>
        <item m="1" x="2234"/>
        <item m="1" x="6738"/>
        <item m="1" x="6649"/>
        <item m="1" x="552"/>
        <item m="1" x="6186"/>
        <item m="1" x="4515"/>
        <item m="1" x="7923"/>
        <item m="1" x="4699"/>
        <item m="1" x="5466"/>
        <item m="1" x="3356"/>
        <item m="1" x="5938"/>
        <item m="1" x="6559"/>
        <item m="1" x="1152"/>
        <item m="1" x="6350"/>
        <item m="1" x="2890"/>
        <item m="1" x="7410"/>
        <item m="1" x="4015"/>
        <item m="1" x="691"/>
        <item m="1" x="333"/>
        <item m="1" x="5423"/>
        <item m="1" x="4832"/>
        <item m="1" x="7161"/>
        <item m="1" x="369"/>
        <item m="1" x="3431"/>
        <item m="1" x="2749"/>
        <item m="1" x="4304"/>
        <item m="1" x="901"/>
        <item m="1" x="5621"/>
        <item m="1" x="7416"/>
        <item m="1" x="2130"/>
        <item m="1" x="3655"/>
        <item m="1" x="5443"/>
        <item m="1" x="450"/>
        <item m="1" x="3732"/>
        <item m="1" x="738"/>
        <item m="1" x="702"/>
        <item m="1" x="7156"/>
        <item m="1" x="3994"/>
        <item m="1" x="5819"/>
        <item m="1" x="3413"/>
        <item m="1" x="3680"/>
        <item m="1" x="2157"/>
        <item m="1" x="3734"/>
        <item m="1" x="1314"/>
        <item m="1" x="7852"/>
        <item m="1" x="4244"/>
        <item m="1" x="1328"/>
        <item m="1" x="5135"/>
        <item m="1" x="7724"/>
        <item m="1" x="1096"/>
        <item m="1" x="614"/>
        <item m="1" x="3210"/>
        <item m="1" x="3621"/>
        <item m="1" x="4924"/>
        <item m="1" x="1741"/>
        <item m="1" x="7493"/>
        <item m="1" x="1874"/>
        <item m="1" x="7228"/>
        <item m="1" x="521"/>
        <item m="1" x="4817"/>
        <item m="1" x="6003"/>
        <item m="1" x="2951"/>
        <item m="1" x="4162"/>
        <item m="1" x="4086"/>
        <item m="1" x="3492"/>
        <item m="1" x="1210"/>
        <item m="1" x="2893"/>
        <item m="1" x="6551"/>
        <item m="1" x="6015"/>
        <item m="1" x="3480"/>
        <item m="1" x="362"/>
        <item m="1" x="718"/>
        <item m="1" x="2520"/>
        <item m="1" x="2128"/>
        <item m="1" x="2123"/>
        <item m="1" x="472"/>
        <item m="1" x="5720"/>
        <item m="1" x="983"/>
        <item m="1" x="1378"/>
        <item m="1" x="3656"/>
        <item m="1" x="185"/>
        <item m="1" x="7056"/>
        <item m="1" x="5838"/>
        <item x="108"/>
        <item m="1" x="2997"/>
        <item m="1" x="6705"/>
        <item m="1" x="1550"/>
        <item m="1" x="6662"/>
        <item m="1" x="7298"/>
        <item m="1" x="3359"/>
        <item m="1" x="2772"/>
        <item m="1" x="3170"/>
        <item m="1" x="5404"/>
        <item m="1" x="2196"/>
        <item m="1" x="4722"/>
        <item x="14"/>
        <item m="1" x="6203"/>
        <item m="1" x="568"/>
        <item m="1" x="4311"/>
        <item m="1" x="1156"/>
        <item m="1" x="6824"/>
        <item m="1" x="1081"/>
        <item m="1" x="962"/>
        <item m="1" x="1756"/>
        <item m="1" x="5806"/>
        <item m="1" x="5807"/>
        <item m="1" x="3801"/>
        <item m="1" x="6180"/>
        <item m="1" x="942"/>
        <item m="1" x="2340"/>
        <item m="1" x="4452"/>
        <item m="1" x="6430"/>
        <item m="1" x="1832"/>
        <item m="1" x="5730"/>
        <item x="41"/>
        <item m="1" x="6986"/>
        <item m="1" x="4675"/>
        <item m="1" x="4168"/>
        <item m="1" x="3735"/>
        <item m="1" x="7858"/>
        <item m="1" x="5996"/>
        <item m="1" x="6524"/>
        <item m="1" x="7663"/>
        <item m="1" x="1259"/>
        <item m="1" x="329"/>
        <item m="1" x="6401"/>
        <item m="1" x="3285"/>
        <item m="1" x="2253"/>
        <item m="1" x="4363"/>
        <item m="1" x="6839"/>
        <item m="1" x="6978"/>
        <item m="1" x="4985"/>
        <item m="1" x="3831"/>
        <item m="1" x="5674"/>
        <item m="1" x="6564"/>
        <item m="1" x="2850"/>
        <item m="1" x="7916"/>
        <item m="1" x="1299"/>
        <item m="1" x="373"/>
        <item m="1" x="5010"/>
        <item m="1" x="2175"/>
        <item m="1" x="3028"/>
        <item m="1" x="5502"/>
        <item m="1" x="7654"/>
        <item m="1" x="2684"/>
        <item m="1" x="7942"/>
        <item m="1" x="7378"/>
        <item m="1" x="478"/>
        <item m="1" x="6244"/>
        <item m="1" x="6278"/>
        <item m="1" x="2691"/>
        <item m="1" x="3638"/>
        <item m="1" x="4349"/>
        <item m="1" x="241"/>
        <item m="1" x="6181"/>
        <item m="1" x="6056"/>
        <item m="1" x="4119"/>
        <item m="1" x="7372"/>
        <item m="1" x="3019"/>
        <item m="1" x="5226"/>
        <item m="1" x="777"/>
        <item m="1" x="765"/>
        <item m="1" x="5234"/>
        <item m="1" x="4227"/>
        <item m="1" x="2836"/>
        <item m="1" x="7099"/>
        <item m="1" x="2754"/>
        <item m="1" x="3642"/>
        <item m="1" x="6077"/>
        <item m="1" x="6169"/>
        <item m="1" x="7865"/>
        <item m="1" x="6673"/>
        <item m="1" x="7804"/>
        <item m="1" x="4367"/>
        <item m="1" x="6145"/>
        <item m="1" x="7409"/>
        <item m="1" x="4206"/>
        <item m="1" x="3297"/>
        <item m="1" x="5835"/>
        <item m="1" x="4350"/>
        <item m="1" x="3632"/>
        <item m="1" x="1361"/>
        <item m="1" x="2039"/>
        <item m="1" x="2855"/>
        <item m="1" x="4124"/>
        <item m="1" x="6816"/>
        <item m="1" x="945"/>
        <item m="1" x="5114"/>
        <item m="1" x="6254"/>
        <item m="1" x="5597"/>
        <item m="1" x="229"/>
        <item m="1" x="2257"/>
        <item m="1" x="5836"/>
        <item m="1" x="1996"/>
        <item m="1" x="4551"/>
        <item m="1" x="5045"/>
        <item m="1" x="4647"/>
        <item m="1" x="564"/>
        <item m="1" x="6676"/>
        <item m="1" x="1703"/>
        <item m="1" x="5438"/>
        <item m="1" x="854"/>
        <item m="1" x="3633"/>
        <item m="1" x="5837"/>
        <item m="1" x="5285"/>
        <item m="1" x="4962"/>
        <item m="1" x="2333"/>
        <item m="1" x="6817"/>
        <item m="1" x="3634"/>
        <item m="1" x="1598"/>
        <item m="1" x="4413"/>
        <item m="1" x="1842"/>
        <item m="1" x="5479"/>
        <item m="1" x="5193"/>
        <item m="1" x="5933"/>
        <item x="15"/>
        <item m="1" x="1159"/>
        <item m="1" x="6841"/>
        <item m="1" x="1182"/>
        <item m="1" x="593"/>
        <item m="1" x="5057"/>
        <item m="1" x="2680"/>
        <item m="1" x="2968"/>
        <item m="1" x="4012"/>
        <item m="1" x="585"/>
        <item m="1" x="5058"/>
        <item m="1" x="1619"/>
        <item m="1" x="6490"/>
        <item m="1" x="4710"/>
        <item m="1" x="5537"/>
        <item m="1" x="641"/>
        <item m="1" x="2153"/>
        <item m="1" x="349"/>
        <item m="1" x="667"/>
        <item m="1" x="3336"/>
        <item x="83"/>
        <item m="1" x="4006"/>
        <item m="1" x="5268"/>
        <item m="1" x="1512"/>
        <item m="1" x="2806"/>
        <item m="1" x="5264"/>
        <item x="75"/>
        <item m="1" x="3171"/>
        <item m="1" x="1063"/>
        <item m="1" x="3305"/>
        <item m="1" x="605"/>
        <item m="1" x="6424"/>
        <item m="1" x="1645"/>
        <item m="1" x="5265"/>
        <item m="1" x="2586"/>
        <item x="71"/>
        <item m="1" x="5869"/>
        <item m="1" x="1928"/>
        <item m="1" x="5480"/>
        <item m="1" x="1607"/>
        <item m="1" x="7995"/>
        <item m="1" x="859"/>
        <item m="1" x="5267"/>
        <item m="1" x="1929"/>
        <item m="1" x="1930"/>
        <item m="1" x="1053"/>
        <item m="1" x="1776"/>
        <item m="1" x="894"/>
        <item m="1" x="5550"/>
        <item m="1" x="5335"/>
        <item m="1" x="3253"/>
        <item m="1" x="5538"/>
        <item m="1" x="4963"/>
        <item m="1" x="3905"/>
        <item m="1" x="5336"/>
        <item m="1" x="4341"/>
        <item m="1" x="3651"/>
        <item m="1" x="7592"/>
        <item m="1" x="7442"/>
        <item x="84"/>
        <item m="1" x="7494"/>
        <item m="1" x="3914"/>
        <item m="1" x="1027"/>
        <item m="1" x="7754"/>
        <item m="1" x="6028"/>
        <item m="1" x="5464"/>
        <item m="1" x="2469"/>
        <item m="1" x="7761"/>
        <item m="1" x="3071"/>
        <item m="1" x="3337"/>
        <item m="1" x="4540"/>
        <item m="1" x="1408"/>
        <item m="1" x="1268"/>
        <item m="1" x="5520"/>
        <item m="1" x="5554"/>
        <item m="1" x="7482"/>
        <item m="1" x="5266"/>
        <item m="1" x="5028"/>
        <item m="1" x="678"/>
        <item m="1" x="3874"/>
        <item m="1" x="7790"/>
        <item m="1" x="3369"/>
        <item m="1" x="1919"/>
        <item m="1" x="501"/>
        <item m="1" x="389"/>
        <item m="1" x="6318"/>
        <item m="1" x="584"/>
        <item m="1" x="2088"/>
        <item m="1" x="2920"/>
        <item m="1" x="5690"/>
        <item m="1" x="6319"/>
        <item m="1" x="755"/>
        <item m="1" x="1628"/>
        <item m="1" x="5270"/>
        <item m="1" x="3339"/>
        <item m="1" x="5141"/>
        <item m="1" x="5539"/>
        <item m="1" x="451"/>
        <item m="1" x="860"/>
        <item m="1" x="2837"/>
        <item m="1" x="5916"/>
        <item m="1" x="587"/>
        <item m="1" x="586"/>
        <item m="1" x="588"/>
        <item m="1" x="3054"/>
        <item m="1" x="2918"/>
        <item m="1" x="1422"/>
        <item m="1" x="1423"/>
        <item m="1" x="4432"/>
        <item x="87"/>
        <item m="1" x="7019"/>
        <item m="1" x="7022"/>
        <item m="1" x="6302"/>
        <item m="1" x="2215"/>
        <item m="1" x="5661"/>
        <item m="1" x="3096"/>
        <item m="1" x="7021"/>
        <item m="1" x="2216"/>
        <item m="1" x="7664"/>
        <item m="1" x="7020"/>
        <item m="1" x="4053"/>
        <item m="1" x="515"/>
        <item m="1" x="2273"/>
        <item m="1" x="2035"/>
        <item m="1" x="4426"/>
        <item m="1" x="589"/>
        <item m="1" x="912"/>
        <item m="1" x="7229"/>
        <item m="1" x="5665"/>
        <item m="1" x="2029"/>
        <item m="1" x="2739"/>
        <item m="1" x="7637"/>
        <item m="1" x="4708"/>
        <item m="1" x="3698"/>
        <item m="1" x="1188"/>
        <item m="1" x="1232"/>
        <item m="1" x="4497"/>
        <item m="1" x="1746"/>
        <item m="1" x="7357"/>
        <item m="1" x="642"/>
        <item m="1" x="6825"/>
        <item m="1" x="748"/>
        <item m="1" x="7755"/>
        <item m="1" x="6826"/>
        <item m="1" x="726"/>
        <item m="1" x="4881"/>
        <item m="1" x="1125"/>
        <item m="1" x="5235"/>
        <item m="1" x="2725"/>
        <item m="1" x="7246"/>
        <item m="1" x="4104"/>
        <item x="80"/>
        <item m="1" x="1665"/>
        <item m="1" x="1563"/>
        <item m="1" x="5271"/>
        <item m="1" x="2254"/>
        <item m="1" x="6715"/>
        <item m="1" x="7518"/>
        <item m="1" x="2847"/>
        <item m="1" x="6392"/>
        <item m="1" x="7399"/>
        <item m="1" x="292"/>
        <item m="1" x="296"/>
        <item m="1" x="231"/>
        <item m="1" x="7219"/>
        <item m="1" x="6161"/>
        <item m="1" x="3938"/>
        <item m="1" x="1168"/>
        <item m="1" x="2963"/>
        <item m="1" x="5194"/>
        <item m="1" x="3157"/>
        <item m="1" x="7082"/>
        <item m="1" x="7612"/>
        <item m="1" x="7613"/>
        <item m="1" x="3897"/>
        <item m="1" x="3069"/>
        <item m="1" x="1351"/>
        <item m="1" x="2147"/>
        <item m="1" x="5269"/>
        <item m="1" x="4103"/>
        <item m="1" x="1646"/>
        <item m="1" x="3338"/>
        <item m="1" x="3378"/>
        <item m="1" x="5794"/>
        <item x="72"/>
        <item m="1" x="5432"/>
        <item m="1" x="2945"/>
        <item m="1" x="643"/>
        <item m="1" x="5521"/>
        <item m="1" x="4678"/>
        <item m="1" x="3810"/>
        <item m="1" x="7517"/>
        <item m="1" x="801"/>
        <item m="1" x="592"/>
        <item m="1" x="5059"/>
        <item m="1" x="591"/>
        <item m="1" x="590"/>
        <item m="1" x="2453"/>
        <item m="1" x="4130"/>
        <item m="1" x="5965"/>
        <item m="1" x="4068"/>
        <item m="1" x="867"/>
        <item m="1" x="3423"/>
        <item m="1" x="1876"/>
        <item m="1" x="248"/>
        <item m="1" x="249"/>
        <item m="1" x="2748"/>
        <item m="1" x="3126"/>
        <item m="1" x="3657"/>
        <item m="1" x="4930"/>
        <item m="1" x="4956"/>
        <item m="1" x="5702"/>
        <item m="1" x="1366"/>
        <item m="1" x="526"/>
        <item m="1" x="6320"/>
        <item m="1" x="913"/>
        <item m="1" x="342"/>
        <item m="1" x="343"/>
        <item m="1" x="4882"/>
        <item m="1" x="527"/>
        <item m="1" x="532"/>
        <item m="1" x="6323"/>
        <item m="1" x="6471"/>
        <item m="1" x="3264"/>
        <item m="1" x="179"/>
        <item m="1" x="533"/>
        <item m="1" x="7961"/>
        <item m="1" x="5691"/>
        <item m="1" x="5957"/>
        <item m="1" x="1068"/>
        <item m="1" x="400"/>
        <item m="1" x="7996"/>
        <item m="1" x="7997"/>
        <item m="1" x="1370"/>
        <item m="1" x="528"/>
        <item m="1" x="537"/>
        <item m="1" x="6322"/>
        <item m="1" x="1963"/>
        <item m="1" x="3715"/>
        <item x="85"/>
        <item m="1" x="6321"/>
        <item m="1" x="6327"/>
        <item m="1" x="6472"/>
        <item m="1" x="6476"/>
        <item m="1" x="2793"/>
        <item m="1" x="3340"/>
        <item m="1" x="3186"/>
        <item m="1" x="914"/>
        <item x="89"/>
        <item m="1" x="3265"/>
        <item m="1" x="7999"/>
        <item m="1" x="6326"/>
        <item m="1" x="531"/>
        <item m="1" x="1369"/>
        <item m="1" x="6474"/>
        <item m="1" x="3266"/>
        <item m="1" x="5692"/>
        <item m="1" x="5437"/>
        <item m="1" x="7275"/>
        <item m="1" x="1368"/>
        <item m="1" x="1742"/>
        <item m="1" x="7998"/>
        <item m="1" x="1367"/>
        <item m="1" x="530"/>
        <item m="1" x="534"/>
        <item m="1" x="6325"/>
        <item m="1" x="6475"/>
        <item m="1" x="2620"/>
        <item m="1" x="2621"/>
        <item m="1" x="1599"/>
        <item m="1" x="6574"/>
        <item m="1" x="3446"/>
        <item m="1" x="529"/>
        <item m="1" x="6324"/>
        <item m="1" x="6328"/>
        <item m="1" x="6473"/>
        <item m="1" x="6477"/>
        <item m="1" x="1858"/>
        <item m="1" x="4240"/>
        <item m="1" x="4711"/>
        <item m="1" x="756"/>
        <item m="1" x="6182"/>
        <item m="1" x="4146"/>
        <item x="78"/>
        <item m="1" x="7134"/>
        <item m="1" x="5973"/>
        <item m="1" x="4477"/>
        <item m="1" x="2553"/>
        <item m="1" x="7336"/>
        <item x="93"/>
        <item m="1" x="758"/>
        <item m="1" x="1371"/>
        <item m="1" x="2187"/>
        <item m="1" x="6331"/>
        <item m="1" x="6479"/>
        <item m="1" x="1372"/>
        <item m="1" x="536"/>
        <item m="1" x="3267"/>
        <item m="1" x="4270"/>
        <item m="1" x="1629"/>
        <item m="1" x="7198"/>
        <item m="1" x="5731"/>
        <item m="1" x="401"/>
        <item m="1" x="344"/>
        <item m="1" x="2328"/>
        <item m="1" x="7904"/>
        <item m="1" x="535"/>
        <item m="1" x="6330"/>
        <item m="1" x="4241"/>
        <item m="1" x="3268"/>
        <item m="1" x="4358"/>
        <item m="1" x="6507"/>
        <item m="1" x="5374"/>
        <item m="1" x="3401"/>
        <item m="1" x="6329"/>
        <item m="1" x="6478"/>
        <item m="1" x="757"/>
        <item m="1" x="4623"/>
        <item m="1" x="662"/>
        <item m="1" x="3351"/>
        <item m="1" x="7485"/>
        <item m="1" x="915"/>
        <item m="1" x="6480"/>
        <item m="1" x="7625"/>
        <item m="1" x="6332"/>
        <item m="1" x="6122"/>
        <item m="1" x="5569"/>
        <item m="1" x="5693"/>
        <item m="1" x="6481"/>
        <item m="1" x="3269"/>
        <item m="1" x="5346"/>
        <item m="1" x="5958"/>
        <item m="1" x="6333"/>
        <item m="1" x="538"/>
        <item m="1" x="6334"/>
        <item m="1" x="3270"/>
        <item m="1" x="1373"/>
        <item m="1" x="1374"/>
        <item m="1" x="539"/>
        <item m="1" x="6482"/>
        <item m="1" x="759"/>
        <item m="1" x="6335"/>
        <item m="1" x="6483"/>
        <item m="1" x="3271"/>
        <item m="1" x="3370"/>
        <item m="1" x="3090"/>
        <item m="1" x="2611"/>
        <item m="1" x="7277"/>
        <item m="1" x="7278"/>
        <item m="1" x="594"/>
        <item m="1" x="4335"/>
        <item m="1" x="6969"/>
        <item m="1" x="5540"/>
        <item m="1" x="3394"/>
        <item m="1" x="1305"/>
        <item m="1" x="6484"/>
        <item m="1" x="4661"/>
        <item m="1" x="1306"/>
        <item m="1" x="630"/>
        <item m="1" x="3868"/>
        <item m="1" x="5541"/>
        <item m="1" x="4105"/>
        <item m="1" x="1650"/>
        <item m="1" x="7860"/>
        <item m="1" x="1651"/>
        <item m="1" x="1648"/>
        <item m="1" x="861"/>
        <item m="1" x="1357"/>
        <item m="1" x="5542"/>
        <item m="1" x="4106"/>
        <item m="1" x="4624"/>
        <item m="1" x="1144"/>
        <item m="1" x="7695"/>
        <item m="1" x="1649"/>
        <item m="1" x="6380"/>
        <item m="1" x="1647"/>
        <item m="1" x="1652"/>
        <item m="1" x="1931"/>
        <item m="1" x="936"/>
        <item m="1" x="5503"/>
        <item m="1" x="3820"/>
        <item m="1" x="2233"/>
        <item m="1" x="697"/>
        <item m="1" x="3254"/>
        <item m="1" x="4870"/>
        <item m="1" x="2695"/>
        <item m="1" x="6023"/>
        <item m="1" x="3341"/>
        <item m="1" x="1654"/>
        <item m="1" x="1932"/>
        <item m="1" x="7023"/>
        <item m="1" x="3205"/>
        <item m="1" x="795"/>
        <item m="1" x="3671"/>
        <item m="1" x="5403"/>
        <item m="1" x="3342"/>
        <item m="1" x="4541"/>
        <item m="1" x="6351"/>
        <item m="1" x="830"/>
        <item m="1" x="2570"/>
        <item m="1" x="6549"/>
        <item m="1" x="6974"/>
        <item m="1" x="7706"/>
        <item m="1" x="5522"/>
        <item m="1" x="1653"/>
        <item m="1" x="5029"/>
        <item m="1" x="4555"/>
        <item m="1" x="6307"/>
        <item m="1" x="6747"/>
        <item m="1" x="7051"/>
        <item m="1" x="5805"/>
        <item m="1" x="5115"/>
        <item m="1" x="7936"/>
        <item m="1" x="6485"/>
        <item m="1" x="6040"/>
        <item m="1" x="5962"/>
        <item m="1" x="6876"/>
        <item m="1" x="1056"/>
        <item m="1" x="4107"/>
        <item m="1" x="5227"/>
        <item m="1" x="6584"/>
        <item m="1" x="1493"/>
        <item m="1" x="727"/>
        <item m="1" x="1269"/>
        <item m="1" x="4207"/>
        <item m="1" x="2781"/>
        <item m="1" x="2137"/>
        <item m="1" x="1609"/>
        <item x="94"/>
        <item m="1" x="7007"/>
        <item m="1" x="5146"/>
        <item m="1" x="6993"/>
        <item m="1" x="3133"/>
        <item m="1" x="5515"/>
        <item m="1" x="2314"/>
        <item m="1" x="7798"/>
        <item m="1" x="6678"/>
        <item m="1" x="4529"/>
        <item m="1" x="5219"/>
        <item m="1" x="232"/>
        <item m="1" x="5975"/>
        <item m="1" x="5157"/>
        <item m="1" x="632"/>
        <item m="1" x="5351"/>
        <item m="1" x="3009"/>
        <item m="1" x="7682"/>
        <item m="1" x="1394"/>
        <item m="1" x="5417"/>
        <item m="1" x="1169"/>
        <item m="1" x="7725"/>
        <item m="1" x="2590"/>
        <item m="1" x="6587"/>
        <item m="1" x="5906"/>
        <item m="1" x="813"/>
        <item m="1" x="5427"/>
        <item m="1" x="6360"/>
        <item m="1" x="1260"/>
        <item m="1" x="5070"/>
        <item m="1" x="2775"/>
        <item m="1" x="4319"/>
        <item m="1" x="6757"/>
        <item m="1" x="6043"/>
        <item m="1" x="2958"/>
        <item m="1" x="1261"/>
        <item m="1" x="4653"/>
        <item m="1" x="4442"/>
        <item m="1" x="7837"/>
        <item m="1" x="791"/>
        <item m="1" x="5262"/>
        <item m="1" x="4429"/>
        <item m="1" x="4142"/>
        <item m="1" x="3364"/>
        <item m="1" x="1845"/>
        <item m="1" x="3343"/>
        <item m="1" x="4183"/>
        <item m="1" x="1666"/>
        <item m="1" x="4202"/>
        <item m="1" x="1605"/>
        <item m="1" x="274"/>
        <item m="1" x="5304"/>
        <item m="1" x="6080"/>
        <item m="1" x="5636"/>
        <item m="1" x="2661"/>
        <item m="1" x="2633"/>
        <item m="1" x="974"/>
        <item m="1" x="2339"/>
        <item m="1" x="5595"/>
        <item m="1" x="668"/>
        <item m="1" x="219"/>
        <item m="1" x="3201"/>
        <item m="1" x="5727"/>
        <item m="1" x="351"/>
        <item m="1" x="3314"/>
        <item m="1" x="5599"/>
        <item m="1" x="2426"/>
        <item m="1" x="4099"/>
        <item m="1" x="1602"/>
        <item m="1" x="2117"/>
        <item m="1" x="4609"/>
        <item m="1" x="7264"/>
        <item m="1" x="5745"/>
        <item m="1" x="3892"/>
        <item m="1" x="4000"/>
        <item m="1" x="4001"/>
        <item m="1" x="979"/>
        <item m="1" x="7557"/>
        <item m="1" x="5201"/>
        <item m="1" x="2926"/>
        <item m="1" x="7295"/>
        <item m="1" x="6679"/>
        <item x="124"/>
        <item m="1" x="1245"/>
        <item m="1" x="4414"/>
        <item m="1" x="5123"/>
        <item m="1" x="832"/>
        <item m="1" x="3609"/>
        <item m="1" x="4195"/>
        <item m="1" x="6103"/>
        <item m="1" x="2755"/>
        <item m="1" x="7151"/>
        <item m="1" x="3635"/>
        <item m="1" x="353"/>
        <item m="1" x="1538"/>
        <item m="1" x="1655"/>
        <item m="1" x="4904"/>
        <item m="1" x="7288"/>
        <item m="1" x="2578"/>
        <item m="1" x="463"/>
        <item m="1" x="6813"/>
        <item m="1" x="5780"/>
        <item m="1" x="4747"/>
        <item m="1" x="1797"/>
        <item m="1" x="4548"/>
        <item m="1" x="223"/>
        <item m="1" x="6385"/>
        <item m="1" x="4351"/>
        <item m="1" x="5630"/>
        <item m="1" x="2084"/>
        <item m="1" x="6228"/>
        <item m="1" x="1570"/>
        <item m="1" x="2176"/>
        <item m="1" x="3785"/>
        <item m="1" x="7476"/>
        <item m="1" x="6403"/>
        <item m="1" x="773"/>
        <item m="1" x="3791"/>
        <item m="1" x="1529"/>
        <item m="1" x="1145"/>
        <item m="1" x="3099"/>
        <item m="1" x="5310"/>
        <item m="1" x="3346"/>
        <item m="1" x="3097"/>
        <item m="1" x="1382"/>
        <item m="1" x="1981"/>
        <item m="1" x="7879"/>
        <item m="1" x="737"/>
        <item m="1" x="957"/>
        <item m="1" x="5415"/>
        <item m="1" x="4118"/>
        <item m="1" x="7338"/>
        <item m="1" x="1339"/>
        <item m="1" x="4337"/>
        <item m="1" x="5148"/>
        <item m="1" x="4510"/>
        <item m="1" x="5287"/>
        <item m="1" x="7271"/>
        <item m="1" x="4871"/>
        <item m="1" x="5184"/>
        <item m="1" x="6547"/>
        <item m="1" x="4632"/>
        <item m="1" x="6458"/>
        <item m="1" x="708"/>
        <item m="1" x="2622"/>
        <item m="1" x="569"/>
        <item m="1" x="6529"/>
        <item m="1" x="4077"/>
        <item m="1" x="4516"/>
        <item m="1" x="6961"/>
        <item m="1" x="3280"/>
        <item m="1" x="4825"/>
        <item m="1" x="7862"/>
        <item m="1" x="3281"/>
        <item m="1" x="6148"/>
        <item m="1" x="7217"/>
        <item m="1" x="7487"/>
        <item m="1" x="3845"/>
        <item m="1" x="2884"/>
        <item x="119"/>
        <item m="1" x="923"/>
        <item m="1" x="6011"/>
        <item m="1" x="7185"/>
        <item m="1" x="1523"/>
        <item m="1" x="694"/>
        <item m="1" x="809"/>
        <item m="1" x="512"/>
        <item m="1" x="3852"/>
        <item m="1" x="2507"/>
        <item m="1" x="1199"/>
        <item m="1" x="7027"/>
        <item m="1" x="6758"/>
        <item m="1" x="5452"/>
        <item m="1" x="2101"/>
        <item m="1" x="2600"/>
        <item m="1" x="5820"/>
        <item m="1" x="5347"/>
        <item m="1" x="2730"/>
        <item m="1" x="5786"/>
        <item m="1" x="1744"/>
        <item m="1" x="4733"/>
        <item m="1" x="940"/>
        <item m="1" x="1808"/>
        <item m="1" x="2064"/>
        <item m="1" x="1097"/>
        <item m="1" x="3666"/>
        <item m="1" x="5925"/>
        <item m="1" x="4420"/>
        <item m="1" x="2095"/>
        <item m="1" x="5802"/>
        <item m="1" x="4669"/>
        <item m="1" x="1170"/>
        <item m="1" x="686"/>
        <item m="1" x="1786"/>
        <item m="1" x="6617"/>
        <item m="1" x="5074"/>
        <item x="49"/>
        <item m="1" x="1504"/>
        <item m="1" x="1960"/>
        <item m="1" x="3915"/>
        <item m="1" x="4312"/>
        <item m="1" x="6644"/>
        <item m="1" x="5245"/>
        <item m="1" x="2470"/>
        <item x="48"/>
        <item m="1" x="1911"/>
        <item m="1" x="7044"/>
        <item m="1" x="7893"/>
        <item m="1" x="7477"/>
        <item m="1" x="4334"/>
        <item m="1" x="2898"/>
        <item m="1" x="3796"/>
        <item m="1" x="1171"/>
        <item m="1" x="1554"/>
        <item m="1" x="3749"/>
        <item m="1" x="6699"/>
        <item m="1" x="6527"/>
        <item m="1" x="6229"/>
        <item m="1" x="1823"/>
        <item m="1" x="4184"/>
        <item m="1" x="3854"/>
        <item m="1" x="4437"/>
        <item m="1" x="2217"/>
        <item m="1" x="577"/>
        <item m="1" x="7420"/>
        <item m="1" x="183"/>
        <item m="1" x="3095"/>
        <item m="1" x="5046"/>
        <item m="1" x="7118"/>
        <item m="1" x="3319"/>
        <item m="1" x="5116"/>
        <item m="1" x="7289"/>
        <item m="1" x="5662"/>
        <item m="1" x="3466"/>
        <item m="1" x="7566"/>
        <item m="1" x="3956"/>
        <item m="1" x="1172"/>
        <item m="1" x="4648"/>
        <item m="1" x="6088"/>
        <item m="1" x="7272"/>
        <item m="1" x="6404"/>
        <item m="1" x="5395"/>
        <item m="1" x="5316"/>
        <item m="1" x="4845"/>
        <item m="1" x="1864"/>
        <item x="61"/>
        <item m="1" x="4393"/>
        <item m="1" x="2503"/>
        <item m="1" x="6975"/>
        <item m="1" x="2045"/>
        <item m="1" x="4224"/>
        <item m="1" x="5508"/>
        <item m="1" x="6012"/>
        <item m="1" x="3037"/>
        <item m="1" x="5929"/>
        <item m="1" x="4150"/>
        <item m="1" x="2630"/>
        <item m="1" x="1796"/>
        <item m="1" x="1985"/>
        <item m="1" x="7775"/>
        <item m="1" x="4808"/>
        <item m="1" x="898"/>
        <item m="1" x="1388"/>
        <item m="1" x="6748"/>
        <item m="1" x="5408"/>
        <item m="1" x="4545"/>
        <item m="1" x="6945"/>
        <item m="1" x="2376"/>
        <item m="1" x="615"/>
        <item m="1" x="7127"/>
        <item m="1" x="4225"/>
        <item m="1" x="5694"/>
        <item m="1" x="6658"/>
        <item m="1" x="3788"/>
        <item m="1" x="7575"/>
        <item m="1" x="1024"/>
        <item m="1" x="7939"/>
        <item m="1" x="3204"/>
        <item m="1" x="2797"/>
        <item m="1" x="6016"/>
        <item m="1" x="6281"/>
        <item m="1" x="7816"/>
        <item m="1" x="4468"/>
        <item m="1" x="5771"/>
        <item m="1" x="2318"/>
        <item m="1" x="7373"/>
        <item m="1" x="1592"/>
        <item m="1" x="280"/>
        <item m="1" x="4046"/>
        <item m="1" x="7163"/>
        <item m="1" x="7526"/>
        <item m="1" x="3728"/>
        <item m="1" x="1009"/>
        <item m="1" x="2478"/>
        <item m="1" x="2115"/>
        <item m="1" x="6967"/>
        <item m="1" x="2258"/>
        <item m="1" x="3548"/>
        <item m="1" x="4829"/>
        <item m="1" x="6290"/>
        <item m="1" x="1686"/>
        <item m="1" x="1340"/>
        <item m="1" x="5847"/>
        <item m="1" x="7975"/>
        <item m="1" x="7225"/>
        <item m="1" x="2406"/>
        <item m="1" x="7776"/>
        <item m="1" x="5152"/>
        <item m="1" x="4205"/>
        <item m="1" x="1731"/>
        <item m="1" x="1012"/>
        <item m="1" x="4586"/>
        <item m="1" x="7619"/>
        <item m="1" x="4927"/>
        <item m="1" x="712"/>
        <item m="1" x="4530"/>
        <item m="1" x="2955"/>
        <item m="1" x="3020"/>
        <item m="1" x="6899"/>
        <item m="1" x="2776"/>
        <item x="147"/>
        <item m="1" x="7709"/>
        <item m="1" x="4574"/>
        <item m="1" x="5687"/>
        <item x="151"/>
        <item m="1" x="7072"/>
        <item m="1" x="3957"/>
        <item m="1" x="2697"/>
        <item m="1" x="5089"/>
        <item x="153"/>
        <item m="1" x="2504"/>
        <item m="1" x="243"/>
        <item m="1" x="2441"/>
        <item m="1" x="6570"/>
        <item m="1" x="5097"/>
        <item m="1" x="2834"/>
        <item m="1" x="3167"/>
        <item m="1" x="616"/>
        <item m="1" x="7135"/>
        <item m="1" x="611"/>
        <item x="150"/>
        <item m="1" x="1714"/>
        <item m="1" x="6152"/>
        <item m="1" x="2374"/>
        <item m="1" x="7832"/>
        <item m="1" x="618"/>
        <item m="1" x="3024"/>
        <item m="1" x="7200"/>
        <item m="1" x="7679"/>
        <item m="1" x="1070"/>
        <item m="1" x="3750"/>
        <item m="1" x="5064"/>
        <item m="1" x="5220"/>
        <item m="1" x="7751"/>
        <item m="1" x="6074"/>
        <item m="1" x="7343"/>
        <item m="1" x="673"/>
        <item m="1" x="7657"/>
        <item m="1" x="5509"/>
        <item m="1" x="5716"/>
        <item m="1" x="7571"/>
        <item m="1" x="7210"/>
        <item m="1" x="7211"/>
        <item m="1" x="7212"/>
        <item m="1" x="1179"/>
        <item m="1" x="5377"/>
        <item m="1" x="3240"/>
        <item m="1" x="3847"/>
        <item m="1" x="3848"/>
        <item m="1" x="3672"/>
        <item m="1" x="4967"/>
        <item m="1" x="1561"/>
        <item m="1" x="1073"/>
        <item m="1" x="1074"/>
        <item m="1" x="2856"/>
        <item m="1" x="1925"/>
        <item m="1" x="1483"/>
        <item m="1" x="6760"/>
        <item m="1" x="4599"/>
        <item m="1" x="836"/>
        <item m="1" x="6761"/>
        <item m="1" x="3673"/>
        <item m="1" x="6762"/>
        <item m="1" x="3674"/>
        <item m="1" x="1525"/>
        <item m="1" x="6399"/>
        <item m="1" x="6957"/>
        <item m="1" x="1515"/>
        <item m="1" x="698"/>
        <item m="1" x="561"/>
        <item m="1" x="3644"/>
        <item m="1" x="4069"/>
        <item m="1" x="2643"/>
        <item m="1" x="631"/>
        <item m="1" x="3508"/>
        <item m="1" x="473"/>
        <item m="1" x="4851"/>
        <item m="1" x="6740"/>
        <item m="1" x="976"/>
        <item m="1" x="6275"/>
        <item m="1" x="3477"/>
        <item m="1" x="1336"/>
        <item m="1" x="3481"/>
        <item m="1" x="7192"/>
        <item m="1" x="7621"/>
        <item m="1" x="5551"/>
        <item m="1" x="7785"/>
        <item m="1" x="6541"/>
        <item m="1" x="1825"/>
        <item m="1" x="4683"/>
        <item m="1" x="5579"/>
        <item m="1" x="1933"/>
        <item m="1" x="390"/>
        <item m="1" x="1968"/>
        <item m="1" x="4097"/>
        <item m="1" x="1748"/>
        <item m="1" x="6906"/>
        <item m="1" x="1089"/>
        <item m="1" x="5966"/>
        <item m="1" x="5197"/>
        <item m="1" x="452"/>
        <item m="1" x="7223"/>
        <item m="1" x="6134"/>
        <item m="1" x="5843"/>
        <item m="1" x="5683"/>
        <item m="1" x="1892"/>
        <item m="1" x="5324"/>
        <item m="1" x="6129"/>
        <item m="1" x="7921"/>
        <item m="1" x="2927"/>
        <item m="1" x="218"/>
        <item m="1" x="2653"/>
        <item m="1" x="3516"/>
        <item m="1" x="3134"/>
        <item m="1" x="4098"/>
        <item m="1" x="3456"/>
        <item m="1" x="4564"/>
        <item m="1" x="5296"/>
        <item m="1" x="1238"/>
        <item m="1" x="4565"/>
        <item m="1" x="4556"/>
        <item m="1" x="6996"/>
        <item m="1" x="7421"/>
        <item m="1" x="1516"/>
        <item m="1" x="309"/>
        <item m="1" x="291"/>
        <item m="1" x="2874"/>
        <item m="1" x="3279"/>
        <item x="127"/>
        <item m="1" x="7513"/>
        <item m="1" x="3714"/>
        <item m="1" x="4447"/>
        <item m="1" x="3561"/>
        <item m="1" x="1164"/>
        <item m="1" x="4083"/>
        <item m="1" x="4531"/>
        <item m="1" x="6674"/>
        <item m="1" x="2924"/>
        <item m="1" x="2482"/>
        <item m="1" x="354"/>
        <item m="1" x="729"/>
        <item m="1" x="7527"/>
        <item m="1" x="3726"/>
        <item m="1" x="6378"/>
        <item m="1" x="5530"/>
        <item m="1" x="6920"/>
        <item m="1" x="5444"/>
        <item m="1" x="3722"/>
        <item m="1" x="4775"/>
        <item m="1" x="6694"/>
        <item m="1" x="4986"/>
        <item m="1" x="6677"/>
        <item m="1" x="7380"/>
        <item m="1" x="6283"/>
        <item m="1" x="1965"/>
        <item m="1" x="3764"/>
        <item m="1" x="2583"/>
        <item m="1" x="3888"/>
        <item m="1" x="4657"/>
        <item m="1" x="5878"/>
        <item m="1" x="7174"/>
        <item m="1" x="2988"/>
        <item m="1" x="730"/>
        <item m="1" x="7954"/>
        <item m="1" x="4846"/>
        <item m="1" x="3193"/>
        <item m="1" x="6370"/>
        <item m="1" x="2013"/>
        <item m="1" x="4461"/>
        <item m="1" x="4186"/>
        <item m="1" x="3574"/>
        <item m="1" x="6827"/>
        <item m="1" x="3244"/>
        <item m="1" x="3744"/>
        <item m="1" x="5363"/>
        <item m="1" x="6989"/>
        <item m="1" x="3395"/>
        <item m="1" x="2928"/>
        <item m="1" x="5963"/>
        <item m="1" x="3098"/>
        <item m="1" x="6255"/>
        <item m="1" x="966"/>
        <item m="1" x="6916"/>
        <item m="1" x="1341"/>
        <item m="1" x="6149"/>
        <item m="1" x="2418"/>
        <item m="1" x="4936"/>
        <item m="1" x="7060"/>
        <item m="1" x="6237"/>
        <item m="1" x="7350"/>
        <item m="1" x="1575"/>
        <item m="1" x="2388"/>
        <item m="1" x="357"/>
        <item m="1" x="2058"/>
        <item m="1" x="6428"/>
        <item m="1" x="719"/>
        <item m="1" x="2074"/>
        <item m="1" x="2801"/>
        <item m="1" x="6502"/>
        <item m="1" x="7653"/>
        <item m="1" x="3695"/>
        <item m="1" x="5379"/>
        <item m="1" x="5851"/>
        <item m="1" x="227"/>
        <item m="1" x="990"/>
        <item m="1" x="4382"/>
        <item m="1" x="4720"/>
        <item m="1" x="506"/>
        <item m="1" x="4318"/>
        <item m="1" x="4054"/>
        <item m="1" x="3740"/>
        <item m="1" x="1249"/>
        <item m="1" x="4369"/>
        <item m="1" x="5053"/>
        <item m="1" x="4785"/>
        <item m="1" x="5436"/>
        <item m="1" x="3536"/>
        <item m="1" x="6233"/>
        <item m="1" x="4203"/>
        <item m="1" x="6460"/>
        <item m="1" x="2722"/>
        <item m="1" x="3669"/>
        <item m="1" x="3855"/>
        <item m="1" x="6447"/>
        <item m="1" x="1129"/>
        <item m="1" x="7707"/>
        <item m="1" x="3261"/>
        <item m="1" x="6013"/>
        <item m="1" x="5358"/>
        <item m="1" x="4919"/>
        <item m="1" x="2359"/>
        <item m="1" x="4737"/>
        <item m="1" x="1780"/>
        <item m="1" x="903"/>
        <item m="1" x="4499"/>
        <item m="1" x="3871"/>
        <item m="1" x="6979"/>
        <item m="1" x="7241"/>
        <item m="1" x="5069"/>
        <item m="1" x="3121"/>
        <item m="1" x="4459"/>
        <item m="1" x="3738"/>
        <item m="1" x="5371"/>
        <item m="1" x="4460"/>
        <item m="1" x="4197"/>
        <item m="1" x="3893"/>
        <item m="1" x="2972"/>
        <item m="1" x="921"/>
        <item m="1" x="5098"/>
        <item m="1" x="2301"/>
        <item m="1" x="4037"/>
        <item m="1" x="7104"/>
        <item m="1" x="6514"/>
        <item m="1" x="3945"/>
        <item m="1" x="2848"/>
        <item m="1" x="3288"/>
        <item m="1" x="7164"/>
        <item m="1" x="5523"/>
        <item m="1" x="3691"/>
        <item m="1" x="1343"/>
        <item m="1" x="7316"/>
        <item m="1" x="3250"/>
        <item m="1" x="6783"/>
        <item m="1" x="7166"/>
        <item m="1" x="6980"/>
        <item m="1" x="6495"/>
        <item m="1" x="563"/>
        <item m="1" x="3755"/>
        <item m="1" x="2156"/>
        <item m="1" x="6812"/>
        <item m="1" x="7270"/>
        <item m="1" x="3438"/>
        <item m="1" x="6981"/>
        <item m="1" x="1901"/>
        <item m="1" x="3406"/>
        <item m="1" x="5602"/>
        <item m="1" x="7279"/>
        <item m="1" x="6982"/>
        <item m="1" x="6922"/>
        <item m="1" x="4049"/>
        <item m="1" x="2419"/>
        <item m="1" x="3760"/>
        <item m="1" x="7922"/>
        <item m="1" x="4014"/>
        <item m="1" x="6684"/>
        <item m="1" x="1379"/>
        <item m="1" x="2040"/>
        <item m="1" x="7791"/>
        <item m="1" x="7186"/>
        <item m="1" x="6659"/>
        <item m="1" x="2054"/>
        <item m="1" x="5913"/>
        <item m="1" x="3229"/>
        <item m="1" x="7028"/>
        <item m="1" x="5532"/>
        <item m="1" x="1274"/>
        <item m="1" x="2670"/>
        <item m="1" x="3667"/>
        <item m="1" x="1988"/>
        <item m="1" x="7934"/>
        <item m="1" x="6682"/>
        <item m="1" x="6083"/>
        <item m="1" x="617"/>
        <item m="1" x="2659"/>
        <item m="1" x="3475"/>
        <item m="1" x="6005"/>
        <item m="1" x="3380"/>
        <item m="1" x="4584"/>
        <item m="1" x="3585"/>
        <item m="1" x="6176"/>
        <item m="1" x="3496"/>
        <item m="1" x="790"/>
        <item m="1" x="2260"/>
        <item m="1" x="5446"/>
        <item m="1" x="4642"/>
        <item m="1" x="4458"/>
        <item m="1" x="3646"/>
        <item m="1" x="233"/>
        <item m="1" x="2741"/>
        <item m="1" x="6177"/>
        <item m="1" x="4994"/>
        <item m="1" x="4918"/>
        <item m="1" x="4132"/>
        <item m="1" x="2136"/>
        <item m="1" x="4728"/>
        <item m="1" x="5063"/>
        <item m="1" x="4899"/>
        <item m="1" x="4151"/>
        <item m="1" x="1310"/>
        <item m="1" x="6272"/>
        <item m="1" x="4613"/>
        <item m="1" x="1861"/>
        <item m="1" x="6089"/>
        <item m="1" x="4023"/>
        <item m="1" x="2599"/>
        <item m="1" x="4926"/>
        <item m="1" x="6257"/>
        <item m="1" x="1085"/>
        <item m="1" x="1158"/>
        <item m="1" x="986"/>
        <item m="1" x="1991"/>
        <item m="1" x="4519"/>
        <item m="1" x="987"/>
        <item m="1" x="7268"/>
        <item m="1" x="7269"/>
        <item m="1" x="3926"/>
        <item m="1" x="2243"/>
        <item m="1" x="4643"/>
        <item m="1" x="2640"/>
        <item m="1" x="5560"/>
        <item m="1" x="7665"/>
        <item m="1" x="4158"/>
        <item m="1" x="910"/>
        <item m="1" x="2056"/>
        <item m="1" x="4289"/>
        <item m="1" x="5706"/>
        <item m="1" x="3927"/>
        <item m="1" x="3928"/>
        <item m="1" x="988"/>
        <item m="1" x="325"/>
        <item m="1" x="2833"/>
        <item m="1" x="5205"/>
        <item m="1" x="989"/>
        <item m="1" x="7469"/>
        <item m="1" x="1997"/>
        <item m="1" x="1998"/>
        <item m="1" x="4944"/>
        <item m="1" x="879"/>
        <item m="1" x="2145"/>
        <item m="1" x="3230"/>
        <item m="1" x="244"/>
        <item m="1" x="2457"/>
        <item m="1" x="6189"/>
        <item m="1" x="1669"/>
        <item m="1" x="2821"/>
        <item m="1" x="5102"/>
        <item m="1" x="1656"/>
        <item x="125"/>
        <item m="1" x="7802"/>
        <item m="1" x="4070"/>
        <item m="1" x="1953"/>
        <item m="1" x="2794"/>
        <item m="1" x="2845"/>
        <item m="1" x="6357"/>
        <item m="1" x="4958"/>
        <item m="1" x="576"/>
        <item m="1" x="4637"/>
        <item m="1" x="3514"/>
        <item m="1" x="3828"/>
        <item m="1" x="6556"/>
        <item m="1" x="4487"/>
        <item m="1" x="7388"/>
        <item m="1" x="3371"/>
        <item m="1" x="895"/>
        <item m="1" x="3843"/>
        <item m="1" x="4137"/>
        <item m="1" x="3013"/>
        <item m="1" x="5930"/>
        <item m="1" x="1596"/>
        <item m="1" x="5180"/>
        <item m="1" x="7658"/>
        <item m="1" x="443"/>
        <item m="1" x="2875"/>
        <item m="1" x="780"/>
        <item m="1" x="7182"/>
        <item m="1" x="4213"/>
        <item m="1" x="5043"/>
        <item m="1" x="1827"/>
        <item m="1" x="1877"/>
        <item m="1" x="3754"/>
        <item m="1" x="3104"/>
        <item m="1" x="1476"/>
        <item m="1" x="7590"/>
        <item m="1" x="2092"/>
        <item m="1" x="6264"/>
        <item m="1" x="4396"/>
        <item m="1" x="4397"/>
        <item m="1" x="4253"/>
        <item m="1" x="2726"/>
        <item m="1" x="6893"/>
        <item m="1" x="2517"/>
        <item m="1" x="6310"/>
        <item m="1" x="556"/>
        <item m="1" x="2006"/>
        <item m="1" x="1484"/>
        <item m="1" x="1787"/>
        <item m="1" x="2830"/>
        <item m="1" x="2802"/>
        <item m="1" x="2085"/>
        <item m="1" x="6671"/>
        <item m="1" x="7666"/>
        <item m="1" x="3085"/>
        <item m="1" x="6882"/>
        <item m="1" x="7918"/>
        <item m="1" x="1302"/>
        <item m="1" x="1107"/>
        <item m="1" x="3122"/>
        <item m="1" x="6786"/>
        <item m="1" x="2191"/>
        <item m="1" x="7457"/>
        <item m="1" x="911"/>
        <item m="1" x="670"/>
        <item m="1" x="1071"/>
        <item m="1" x="6162"/>
        <item m="1" x="7794"/>
        <item m="1" x="6791"/>
        <item m="1" x="2309"/>
        <item m="1" x="4390"/>
        <item m="1" x="6125"/>
        <item m="1" x="1442"/>
        <item m="1" x="2411"/>
        <item m="1" x="2842"/>
        <item m="1" x="6681"/>
        <item m="1" x="4730"/>
        <item m="1" x="926"/>
        <item m="1" x="4892"/>
        <item m="1" x="5414"/>
        <item m="1" x="2353"/>
        <item m="1" x="4050"/>
        <item m="1" x="1506"/>
        <item m="1" x="6692"/>
        <item m="1" x="3065"/>
        <item m="1" x="1191"/>
        <item m="1" x="1477"/>
        <item m="1" x="5614"/>
        <item m="1" x="7026"/>
        <item m="1" x="7947"/>
        <item m="1" x="6668"/>
        <item m="1" x="2385"/>
        <item m="1" x="5935"/>
        <item m="1" x="4123"/>
        <item m="1" x="6518"/>
        <item m="1" x="3033"/>
        <item m="1" x="1101"/>
        <item m="1" x="5956"/>
        <item m="1" x="2829"/>
        <item m="1" x="7693"/>
        <item m="1" x="3824"/>
        <item m="1" x="934"/>
        <item m="1" x="6781"/>
        <item m="1" x="2512"/>
        <item m="1" x="6842"/>
        <item m="1" x="2866"/>
        <item m="1" x="7383"/>
        <item m="1" x="2731"/>
        <item m="1" x="3743"/>
        <item m="1" x="944"/>
        <item m="1" x="2239"/>
        <item m="1" x="4147"/>
        <item m="1" x="7341"/>
        <item m="1" x="5546"/>
        <item m="1" x="6367"/>
        <item x="8"/>
        <item x="11"/>
        <item m="1" x="1017"/>
        <item m="1" x="6110"/>
        <item m="1" x="4165"/>
        <item m="1" x="4210"/>
        <item m="1" x="4467"/>
        <item m="1" x="5680"/>
        <item m="1" x="784"/>
        <item x="165"/>
        <item m="1" x="2424"/>
        <item m="1" x="4438"/>
        <item m="1" x="1912"/>
        <item m="1" x="5990"/>
        <item m="1" x="619"/>
        <item x="137"/>
        <item m="1" x="902"/>
        <item m="1" x="1218"/>
        <item m="1" x="6434"/>
        <item m="1" x="2005"/>
        <item m="1" x="6585"/>
        <item m="1" x="7937"/>
        <item m="1" x="1270"/>
        <item m="1" x="1283"/>
        <item m="1" x="7863"/>
        <item m="1" x="5773"/>
        <item m="1" x="460"/>
        <item m="1" x="1750"/>
        <item m="1" x="3284"/>
        <item m="1" x="3500"/>
        <item m="1" x="4383"/>
        <item m="1" x="7908"/>
        <item m="1" x="6685"/>
        <item m="1" x="3021"/>
        <item m="1" x="6417"/>
        <item m="1" x="5309"/>
        <item m="1" x="4017"/>
        <item m="1" x="1865"/>
        <item m="1" x="3045"/>
        <item x="164"/>
        <item m="1" x="1039"/>
        <item m="1" x="4321"/>
        <item m="1" x="1116"/>
        <item m="1" x="5017"/>
        <item m="1" x="3055"/>
        <item m="1" x="4352"/>
        <item m="1" x="5923"/>
        <item m="1" x="3863"/>
        <item x="131"/>
        <item m="1" x="960"/>
        <item m="1" x="2119"/>
        <item m="1" x="4670"/>
        <item m="1" x="1444"/>
        <item m="1" x="6001"/>
        <item m="1" x="1266"/>
        <item m="1" x="7137"/>
        <item m="1" x="3690"/>
        <item x="132"/>
        <item m="1" x="5433"/>
        <item m="1" x="1000"/>
        <item m="1" x="7859"/>
        <item m="1" x="6578"/>
        <item m="1" x="7302"/>
        <item m="1" x="7084"/>
        <item m="1" x="5500"/>
        <item m="1" x="265"/>
        <item m="1" x="4263"/>
        <item m="1" x="314"/>
        <item m="1" x="821"/>
        <item m="1" x="5048"/>
        <item m="1" x="7600"/>
        <item m="1" x="7632"/>
        <item m="1" x="4649"/>
        <item m="1" x="4939"/>
        <item m="1" x="4416"/>
        <item m="1" x="3509"/>
        <item m="1" x="4264"/>
        <item m="1" x="963"/>
        <item m="1" x="3326"/>
        <item m="1" x="2559"/>
        <item m="1" x="6092"/>
        <item m="1" x="7582"/>
        <item m="1" x="2402"/>
        <item m="1" x="6497"/>
        <item m="1" x="5174"/>
        <item m="1" x="6701"/>
        <item m="1" x="5678"/>
        <item m="1" x="4716"/>
        <item m="1" x="5652"/>
        <item m="1" x="180"/>
        <item m="1" x="7153"/>
        <item m="1" x="2576"/>
        <item m="1" x="2479"/>
        <item m="1" x="2594"/>
        <item m="1" x="7054"/>
        <item m="1" x="1732"/>
        <item m="1" x="2905"/>
        <item m="1" x="5558"/>
        <item m="1" x="3736"/>
        <item m="1" x="481"/>
        <item m="1" x="7242"/>
        <item m="1" x="210"/>
        <item m="1" x="3610"/>
        <item m="1" x="810"/>
        <item m="1" x="4214"/>
        <item m="1" x="5871"/>
        <item m="1" x="3308"/>
        <item m="1" x="6146"/>
        <item m="1" x="4007"/>
        <item m="1" x="2371"/>
        <item m="1" x="4217"/>
        <item m="1" x="267"/>
        <item m="1" x="2166"/>
        <item m="1" x="204"/>
        <item m="1" x="3182"/>
        <item m="1" x="5584"/>
        <item m="1" x="2910"/>
        <item m="1" x="6064"/>
        <item m="1" x="7439"/>
        <item m="1" x="5352"/>
        <item m="1" x="7067"/>
        <item m="1" x="7894"/>
        <item m="1" x="5594"/>
        <item m="1" x="3562"/>
        <item m="1" x="6038"/>
        <item m="1" x="4454"/>
        <item m="1" x="3577"/>
        <item m="1" x="7175"/>
        <item m="1" x="2255"/>
        <item m="1" x="1589"/>
        <item m="1" x="7786"/>
        <item m="1" x="5790"/>
        <item m="1" x="2488"/>
        <item m="1" x="3396"/>
        <item m="1" x="4920"/>
        <item m="1" x="6943"/>
        <item m="1" x="7766"/>
        <item m="1" x="3533"/>
        <item m="1" x="500"/>
        <item m="1" x="1214"/>
        <item m="1" x="6049"/>
        <item m="1" x="1434"/>
        <item m="1" x="2626"/>
        <item m="1" x="2407"/>
        <item m="1" x="3392"/>
        <item m="1" x="6270"/>
        <item m="1" x="2983"/>
        <item m="1" x="4457"/>
        <item m="1" x="4073"/>
        <item m="1" x="3457"/>
        <item m="1" x="4101"/>
        <item m="1" x="3242"/>
        <item m="1" x="3418"/>
        <item m="1" x="5279"/>
        <item m="1" x="6298"/>
        <item m="1" x="7560"/>
        <item m="1" x="1518"/>
        <item m="1" x="602"/>
        <item m="1" x="5062"/>
        <item m="1" x="6770"/>
        <item m="1" x="633"/>
        <item m="1" x="6792"/>
        <item m="1" x="7376"/>
        <item m="1" x="2069"/>
        <item m="1" x="2714"/>
        <item m="1" x="7337"/>
        <item m="1" x="1426"/>
        <item m="1" x="2075"/>
        <item m="1" x="3309"/>
        <item m="1" x="5428"/>
        <item m="1" x="7919"/>
        <item m="1" x="1616"/>
        <item m="1" x="2859"/>
        <item m="1" x="6405"/>
        <item m="1" x="2052"/>
        <item m="1" x="2885"/>
        <item m="1" x="3767"/>
        <item m="1" x="489"/>
        <item m="1" x="2641"/>
        <item m="1" x="4439"/>
        <item m="1" x="3363"/>
        <item m="1" x="7523"/>
        <item m="1" x="4837"/>
        <item m="1" x="1211"/>
        <item m="1" x="3753"/>
        <item m="1" x="311"/>
        <item m="1" x="392"/>
        <item m="1" x="6627"/>
        <item x="163"/>
        <item m="1" x="542"/>
        <item m="1" x="2335"/>
        <item m="1" x="6061"/>
        <item m="1" x="3187"/>
        <item m="1" x="3531"/>
        <item m="1" x="4878"/>
        <item m="1" x="5746"/>
        <item m="1" x="4700"/>
        <item m="1" x="3349"/>
        <item m="1" x="6342"/>
        <item m="1" x="3787"/>
        <item m="1" x="5791"/>
        <item m="1" x="938"/>
        <item m="1" x="905"/>
        <item m="1" x="2162"/>
        <item m="1" x="7718"/>
        <item m="1" x="4835"/>
        <item m="1" x="2966"/>
        <item m="1" x="5792"/>
        <item m="1" x="5061"/>
        <item m="1" x="2852"/>
        <item m="1" x="3555"/>
        <item m="1" x="1319"/>
        <item m="1" x="1854"/>
        <item m="1" x="2219"/>
        <item m="1" x="7405"/>
        <item m="1" x="2844"/>
        <item m="1" x="3093"/>
        <item m="1" x="6744"/>
        <item m="1" x="7358"/>
        <item m="1" x="5627"/>
        <item m="1" x="1180"/>
        <item m="1" x="6075"/>
        <item m="1" x="3158"/>
        <item m="1" x="1758"/>
        <item m="1" x="4894"/>
        <item m="1" x="2902"/>
        <item m="1" x="1639"/>
        <item m="1" x="3436"/>
        <item m="1" x="1204"/>
        <item m="1" x="7468"/>
        <item x="115"/>
        <item x="116"/>
        <item m="1" x="4617"/>
        <item m="1" x="4511"/>
        <item m="1" x="5457"/>
        <item m="1" x="6112"/>
        <item m="1" x="4512"/>
        <item m="1" x="760"/>
        <item m="1" x="4112"/>
        <item m="1" x="2315"/>
        <item m="1" x="2638"/>
        <item x="114"/>
        <item m="1" x="3461"/>
        <item m="1" x="7926"/>
        <item m="1" x="393"/>
        <item m="1" x="4886"/>
        <item m="1" x="1893"/>
        <item m="1" x="6113"/>
        <item m="1" x="1738"/>
        <item m="1" x="1926"/>
        <item m="1" x="7799"/>
        <item m="1" x="5458"/>
        <item m="1" x="1384"/>
        <item m="1" x="1534"/>
        <item m="1" x="3904"/>
        <item m="1" x="5459"/>
        <item m="1" x="3159"/>
        <item m="1" x="4513"/>
        <item m="1" x="374"/>
        <item m="1" x="2566"/>
        <item m="1" x="4291"/>
        <item m="1" x="6999"/>
        <item x="169"/>
        <item m="1" x="3393"/>
        <item m="1" x="1250"/>
        <item m="1" x="3756"/>
        <item m="1" x="2789"/>
        <item m="1" x="2899"/>
        <item m="1" x="1410"/>
        <item m="1" x="1530"/>
        <item m="1" x="377"/>
        <item m="1" x="178"/>
        <item m="1" x="5908"/>
        <item m="1" x="6408"/>
        <item m="1" x="2446"/>
        <item m="1" x="1291"/>
        <item m="1" x="444"/>
        <item m="1" x="4114"/>
        <item m="1" x="864"/>
        <item m="1" x="1671"/>
        <item m="1" x="5165"/>
        <item m="1" x="1975"/>
        <item m="1" x="2618"/>
        <item m="1" x="6241"/>
        <item m="1" x="4822"/>
        <item m="1" x="6819"/>
        <item m="1" x="4755"/>
        <item m="1" x="2111"/>
        <item m="1" x="3725"/>
        <item m="1" x="2535"/>
        <item m="1" x="5852"/>
        <item m="1" x="6293"/>
        <item x="44"/>
        <item m="1" x="7085"/>
        <item m="1" x="7993"/>
        <item m="1" x="7562"/>
        <item m="1" x="6443"/>
        <item m="1" x="2957"/>
        <item m="1" x="3397"/>
        <item m="1" x="870"/>
        <item m="1" x="6285"/>
        <item m="1" x="1292"/>
        <item m="1" x="950"/>
        <item m="1" x="2364"/>
        <item m="1" x="1583"/>
        <item m="1" x="1224"/>
        <item m="1" x="4759"/>
        <item m="1" x="5830"/>
        <item m="1" x="1986"/>
        <item m="1" x="6359"/>
        <item m="1" x="6956"/>
        <item m="1" x="5362"/>
        <item m="1" x="7305"/>
        <item m="1" x="5941"/>
        <item m="1" x="5570"/>
        <item m="1" x="5795"/>
        <item m="1" x="2148"/>
        <item m="1" x="5880"/>
        <item m="1" x="5096"/>
        <item m="1" x="4177"/>
        <item m="1" x="4474"/>
        <item m="1" x="4087"/>
        <item m="1" x="5660"/>
        <item m="1" x="4478"/>
        <item m="1" x="1427"/>
        <item m="1" x="6926"/>
        <item m="1" x="3677"/>
        <item m="1" x="7143"/>
        <item m="1" x="2221"/>
        <item m="1" x="2300"/>
        <item m="1" x="3429"/>
        <item m="1" x="3450"/>
        <item m="1" x="4862"/>
        <item m="1" x="4031"/>
        <item m="1" x="7061"/>
        <item m="1" x="802"/>
        <item m="1" x="3485"/>
        <item m="1" x="385"/>
        <item m="1" x="5612"/>
        <item x="70"/>
        <item m="1" x="3850"/>
        <item m="1" x="965"/>
        <item x="68"/>
        <item x="69"/>
        <item m="1" x="2696"/>
        <item m="1" x="6634"/>
        <item m="1" x="5473"/>
        <item m="1" x="6577"/>
        <item m="1" x="1923"/>
        <item m="1" x="6315"/>
        <item m="1" x="3968"/>
        <item m="1" x="5355"/>
        <item m="1" x="7293"/>
        <item m="1" x="4887"/>
        <item m="1" x="2059"/>
        <item m="1" x="2060"/>
        <item m="1" x="428"/>
        <item m="1" x="4488"/>
        <item m="1" x="1233"/>
        <item m="1" x="6553"/>
        <item m="1" x="1969"/>
        <item m="1" x="3532"/>
        <item m="1" x="7604"/>
        <item m="1" x="7558"/>
        <item m="1" x="7981"/>
        <item m="1" x="2076"/>
        <item m="1" x="2724"/>
        <item m="1" x="4079"/>
        <item m="1" x="3310"/>
        <item m="1" x="2089"/>
        <item m="1" x="1219"/>
        <item m="1" x="6126"/>
        <item m="1" x="3198"/>
        <item m="1" x="2930"/>
        <item m="1" x="7331"/>
        <item m="1" x="7520"/>
        <item m="1" x="5393"/>
        <item m="1" x="4925"/>
        <item m="1" x="7323"/>
        <item m="1" x="3375"/>
        <item m="1" x="3214"/>
        <item m="1" x="5928"/>
        <item m="1" x="5934"/>
        <item m="1" x="2738"/>
        <item m="1" x="5399"/>
        <item m="1" x="7969"/>
        <item m="1" x="2240"/>
        <item m="1" x="7736"/>
        <item m="1" x="2065"/>
        <item m="1" x="2177"/>
        <item m="1" x="7455"/>
        <item m="1" x="1828"/>
        <item m="1" x="2104"/>
        <item m="1" x="6375"/>
        <item m="1" x="203"/>
        <item m="1" x="5748"/>
        <item m="1" x="4056"/>
        <item m="1" x="7037"/>
        <item m="1" x="2118"/>
        <item m="1" x="977"/>
        <item m="1" x="3476"/>
        <item m="1" x="7063"/>
        <item m="1" x="6352"/>
        <item m="1" x="1313"/>
        <item m="1" x="3799"/>
        <item m="1" x="7974"/>
        <item m="1" x="4191"/>
        <item m="1" x="2247"/>
        <item m="1" x="3255"/>
        <item m="1" x="2212"/>
        <item m="1" x="7531"/>
        <item m="1" x="7829"/>
        <item m="1" x="7617"/>
        <item m="1" x="3376"/>
        <item m="1" x="4469"/>
        <item m="1" x="1571"/>
        <item m="1" x="3029"/>
        <item m="1" x="1403"/>
        <item m="1" x="257"/>
        <item m="1" x="1395"/>
        <item x="64"/>
        <item m="1" x="2368"/>
        <item m="1" x="3883"/>
        <item m="1" x="5672"/>
        <item m="1" x="1157"/>
        <item m="1" x="2471"/>
        <item m="1" x="455"/>
        <item m="1" x="2946"/>
        <item m="1" x="1146"/>
        <item m="1" x="2210"/>
        <item m="1" x="1927"/>
        <item m="1" x="3570"/>
        <item m="1" x="778"/>
        <item m="1" x="6073"/>
        <item m="1" x="5796"/>
        <item m="1" x="7062"/>
        <item m="1" x="237"/>
        <item m="1" x="2369"/>
        <item m="1" x="2857"/>
        <item m="1" x="6433"/>
        <item m="1" x="2919"/>
        <item m="1" x="6142"/>
        <item m="1" x="676"/>
        <item m="1" x="5302"/>
        <item m="1" x="5178"/>
        <item m="1" x="1110"/>
        <item m="1" x="1424"/>
        <item m="1" x="4371"/>
        <item m="1" x="3424"/>
        <item m="1" x="2654"/>
        <item m="1" x="6565"/>
        <item m="1" x="663"/>
        <item m="1" x="6239"/>
        <item m="1" x="5038"/>
        <item m="1" x="3752"/>
        <item m="1" x="7206"/>
        <item m="1" x="6809"/>
        <item m="1" x="1409"/>
        <item m="1" x="3194"/>
        <item m="1" x="5774"/>
        <item m="1" x="5117"/>
        <item m="1" x="7344"/>
        <item m="1" x="6070"/>
        <item m="1" x="4750"/>
        <item m="1" x="1715"/>
        <item x="53"/>
        <item m="1" x="2536"/>
        <item m="1" x="5711"/>
        <item m="1" x="3447"/>
        <item m="1" x="1139"/>
        <item m="1" x="317"/>
        <item m="1" x="5721"/>
        <item m="1" x="6625"/>
        <item m="1" x="5348"/>
        <item m="1" x="7733"/>
        <item m="1" x="3014"/>
        <item m="1" x="5849"/>
        <item m="1" x="575"/>
        <item m="1" x="5874"/>
        <item m="1" x="5314"/>
        <item m="1" x="5856"/>
        <item m="1" x="5897"/>
        <item m="1" x="1921"/>
        <item m="1" x="2413"/>
        <item m="1" x="3552"/>
        <item m="1" x="996"/>
        <item m="1" x="6445"/>
        <item m="1" x="2584"/>
        <item m="1" x="6521"/>
        <item x="47"/>
        <item m="1" x="1551"/>
        <item m="1" x="6116"/>
        <item m="1" x="3114"/>
        <item m="1" x="5559"/>
        <item m="1" x="7011"/>
        <item m="1" x="4769"/>
        <item m="1" x="4313"/>
        <item m="1" x="5181"/>
        <item m="1" x="6562"/>
        <item m="1" x="6052"/>
        <item m="1" x="6798"/>
        <item m="1" x="2160"/>
        <item m="1" x="1079"/>
        <item m="1" x="5305"/>
        <item m="1" x="7431"/>
        <item m="1" x="1111"/>
        <item m="1" x="3180"/>
        <item m="1" x="5576"/>
        <item m="1" x="3869"/>
        <item m="1" x="3001"/>
        <item m="1" x="3616"/>
        <item m="1" x="5585"/>
        <item m="1" x="3974"/>
        <item m="1" x="1281"/>
        <item m="1" x="3141"/>
        <item m="1" x="7549"/>
        <item m="1" x="1913"/>
        <item m="1" x="2614"/>
        <item m="1" x="3300"/>
        <item m="1" x="7744"/>
        <item m="1" x="3709"/>
        <item m="1" x="5039"/>
        <item m="1" x="6058"/>
        <item m="1" x="1184"/>
        <item m="1" x="2642"/>
        <item m="1" x="2433"/>
        <item m="1" x="2434"/>
        <item m="1" x="1229"/>
        <item m="1" x="3422"/>
        <item m="1" x="570"/>
        <item m="1" x="1032"/>
        <item m="1" x="5586"/>
        <item m="1" x="7036"/>
        <item m="1" x="190"/>
        <item m="1" x="305"/>
        <item m="1" x="7815"/>
        <item m="1" x="1716"/>
        <item m="1" x="2165"/>
        <item m="1" x="4714"/>
        <item x="33"/>
        <item m="1" x="6031"/>
        <item m="1" x="5424"/>
        <item m="1" x="3708"/>
        <item m="1" x="1657"/>
        <item m="1" x="7540"/>
        <item m="1" x="3909"/>
        <item m="1" x="7985"/>
        <item m="1" x="5980"/>
        <item m="1" x="2849"/>
        <item x="106"/>
        <item m="1" x="2363"/>
        <item m="1" x="2442"/>
        <item m="1" x="2542"/>
        <item m="1" x="6522"/>
        <item m="1" x="7475"/>
        <item m="1" x="1603"/>
        <item m="1" x="7906"/>
        <item m="1" x="3761"/>
        <item m="1" x="3050"/>
        <item m="1" x="6880"/>
        <item m="1" x="4016"/>
        <item m="1" x="3247"/>
        <item m="1" x="1940"/>
        <item m="1" x="1200"/>
        <item m="1" x="480"/>
        <item m="1" x="6215"/>
        <item m="1" x="6192"/>
        <item m="1" x="3307"/>
        <item m="1" x="2370"/>
        <item m="1" x="1380"/>
        <item m="1" x="5289"/>
        <item m="1" x="6660"/>
        <item m="1" x="4763"/>
        <item m="1" x="2745"/>
        <item m="1" x="3434"/>
        <item m="1" x="1033"/>
        <item m="1" x="4703"/>
        <item m="1" x="1916"/>
        <item m="1" x="3640"/>
        <item m="1" x="7366"/>
        <item m="1" x="5128"/>
        <item m="1" x="2846"/>
        <item m="1" x="5701"/>
        <item m="1" x="6067"/>
        <item m="1" x="7711"/>
        <item m="1" x="5947"/>
        <item m="1" x="6294"/>
        <item m="1" x="7660"/>
        <item m="1" x="4818"/>
        <item m="1" x="3811"/>
        <item m="1" x="7778"/>
        <item m="1" x="1160"/>
        <item m="1" x="2381"/>
        <item m="1" x="1611"/>
        <item m="1" x="6035"/>
        <item m="1" x="3022"/>
        <item m="1" x="1524"/>
        <item m="1" x="2878"/>
        <item m="1" x="2961"/>
        <item m="1" x="5949"/>
        <item m="1" x="416"/>
        <item m="1" x="1020"/>
        <item m="1" x="6511"/>
        <item m="1" x="2980"/>
        <item m="1" x="7364"/>
        <item m="1" x="7886"/>
        <item m="1" x="7748"/>
        <item m="1" x="7304"/>
        <item m="1" x="3737"/>
        <item m="1" x="3762"/>
        <item m="1" x="4645"/>
        <item m="1" x="3243"/>
        <item m="1" x="4686"/>
        <item m="1" x="5202"/>
        <item m="1" x="5251"/>
        <item m="1" x="2518"/>
        <item m="1" x="6130"/>
        <item m="1" x="4139"/>
        <item m="1" x="571"/>
        <item m="1" x="5051"/>
        <item m="1" x="5641"/>
        <item m="1" x="6041"/>
        <item m="1" x="1818"/>
        <item m="1" x="2386"/>
        <item m="1" x="6172"/>
        <item m="1" x="1679"/>
        <item m="1" x="2150"/>
        <item m="1" x="7579"/>
        <item m="1" x="6297"/>
        <item m="1" x="7762"/>
        <item m="1" x="1450"/>
        <item m="1" x="3819"/>
        <item m="1" x="4278"/>
        <item m="1" x="7000"/>
        <item m="1" x="7901"/>
        <item m="1" x="6124"/>
        <item m="1" x="1441"/>
        <item m="1" x="1945"/>
        <item m="1" x="4704"/>
        <item m="1" x="517"/>
        <item m="1" x="7303"/>
        <item m="1" x="3178"/>
        <item m="1" x="2952"/>
        <item m="1" x="4196"/>
        <item m="1" x="2655"/>
        <item m="1" x="5891"/>
        <item m="1" x="7737"/>
        <item m="1" x="5898"/>
        <item m="1" x="479"/>
        <item m="1" x="5817"/>
        <item m="1" x="7648"/>
        <item m="1" x="2144"/>
        <item m="1" x="3412"/>
        <item m="1" x="6605"/>
        <item x="65"/>
        <item x="62"/>
        <item m="1" x="1990"/>
        <item m="1" x="4532"/>
        <item m="1" x="6856"/>
        <item m="1" x="1906"/>
        <item m="1" x="7368"/>
        <item m="1" x="5409"/>
        <item m="1" x="1358"/>
        <item m="1" x="7598"/>
        <item m="1" x="7842"/>
        <item m="1" x="306"/>
        <item m="1" x="4514"/>
        <item m="1" x="4071"/>
        <item m="1" x="7453"/>
        <item m="1" x="1866"/>
        <item m="1" x="7650"/>
        <item m="1" x="6018"/>
        <item m="1" x="6965"/>
        <item m="1" x="467"/>
        <item m="1" x="2962"/>
        <item m="1" x="7991"/>
        <item m="1" x="4993"/>
        <item m="1" x="543"/>
        <item m="1" x="5574"/>
        <item m="1" x="3403"/>
        <item m="1" x="5825"/>
        <item m="1" x="1510"/>
        <item m="1" x="2151"/>
        <item m="1" x="4048"/>
        <item m="1" x="3463"/>
        <item m="1" x="5936"/>
        <item m="1" x="6051"/>
        <item m="1" x="7354"/>
        <item m="1" x="5695"/>
        <item m="1" x="364"/>
        <item m="1" x="7967"/>
        <item m="1" x="4677"/>
        <item m="1" x="7968"/>
        <item m="1" x="5001"/>
        <item m="1" x="3934"/>
        <item m="1" x="5239"/>
        <item x="99"/>
        <item m="1" x="7486"/>
        <item m="1" x="2759"/>
        <item m="1" x="2609"/>
        <item m="1" x="2270"/>
        <item m="1" x="3802"/>
        <item m="1" x="1318"/>
        <item m="1" x="5366"/>
        <item m="1" x="2956"/>
        <item m="1" x="5319"/>
        <item m="1" x="1590"/>
        <item m="1" x="6970"/>
        <item m="1" x="5209"/>
        <item m="1" x="3849"/>
        <item m="1" x="6024"/>
        <item m="1" x="4853"/>
        <item m="1" x="1704"/>
        <item m="1" x="553"/>
        <item m="1" x="4325"/>
        <item m="1" x="1428"/>
        <item m="1" x="1566"/>
        <item m="1" x="6616"/>
        <item m="1" x="7391"/>
        <item m="1" x="7215"/>
        <item m="1" x="7328"/>
        <item m="1" x="4629"/>
        <item m="1" x="1487"/>
        <item m="1" x="4055"/>
        <item m="1" x="2462"/>
        <item m="1" x="1880"/>
        <item m="1" x="2425"/>
        <item m="1" x="1142"/>
        <item m="1" x="1383"/>
        <item m="1" x="2605"/>
        <item m="1" x="3684"/>
        <item m="1" x="3606"/>
        <item m="1" x="3117"/>
        <item m="1" x="1878"/>
        <item m="1" x="6593"/>
        <item m="1" x="4879"/>
        <item m="1" x="4384"/>
        <item m="1" x="5084"/>
        <item m="1" x="6814"/>
        <item m="1" x="5317"/>
        <item m="1" x="4078"/>
        <item m="1" x="5282"/>
        <item x="130"/>
        <item m="1" x="5640"/>
        <item m="1" x="2497"/>
        <item m="1" x="4136"/>
        <item m="1" x="7201"/>
        <item m="1" x="1244"/>
        <item m="1" x="1576"/>
        <item m="1" x="6387"/>
        <item m="1" x="7847"/>
        <item x="166"/>
        <item m="1" x="2036"/>
        <item m="1" x="6921"/>
        <item m="1" x="2498"/>
        <item m="1" x="6108"/>
        <item m="1" x="3188"/>
        <item m="1" x="1572"/>
        <item m="1" x="1104"/>
        <item m="1" x="6788"/>
        <item m="1" x="796"/>
        <item m="1" x="1140"/>
        <item m="1" x="1322"/>
        <item m="1" x="1751"/>
        <item m="1" x="3625"/>
        <item m="1" x="3978"/>
        <item m="1" x="803"/>
        <item m="1" x="1475"/>
        <item m="1" x="2991"/>
        <item m="1" x="7817"/>
        <item m="1" x="4954"/>
        <item m="1" x="5808"/>
        <item m="1" x="5566"/>
        <item m="1" x="215"/>
        <item m="1" x="1956"/>
        <item m="1" x="7276"/>
        <item m="1" x="7909"/>
        <item m="1" x="2574"/>
        <item m="1" x="856"/>
        <item m="1" x="6457"/>
        <item m="1" x="7508"/>
        <item m="1" x="1069"/>
        <item m="1" x="4734"/>
        <item m="1" x="1004"/>
        <item m="1" x="6057"/>
        <item m="1" x="4931"/>
        <item m="1" x="2428"/>
        <item x="126"/>
        <item m="1" x="3286"/>
        <item m="1" x="4598"/>
        <item m="1" x="1173"/>
        <item m="1" x="7550"/>
        <item m="1" x="2316"/>
        <item m="1" x="2317"/>
        <item m="1" x="2587"/>
        <item m="1" x="7838"/>
        <item m="1" x="2377"/>
        <item m="1" x="4872"/>
        <item m="1" x="1552"/>
        <item m="1" x="2785"/>
        <item x="107"/>
        <item x="171"/>
        <item m="1" x="6076"/>
        <item m="1" x="1642"/>
        <item m="1" x="3146"/>
        <item m="1" x="2094"/>
        <item m="1" x="2537"/>
        <item m="1" x="3815"/>
        <item m="1" x="1307"/>
        <item m="1" x="3241"/>
        <item m="1" x="3432"/>
        <item m="1" x="5075"/>
        <item m="1" x="3433"/>
        <item m="1" x="5396"/>
        <item m="1" x="4971"/>
        <item m="1" x="2735"/>
        <item m="1" x="4080"/>
        <item m="1" x="3880"/>
        <item m="1" x="5942"/>
        <item m="1" x="1396"/>
        <item m="1" x="4063"/>
        <item m="1" x="5052"/>
        <item m="1" x="1782"/>
        <item m="1" x="2550"/>
        <item m="1" x="7255"/>
        <item m="1" x="5221"/>
        <item m="1" x="4859"/>
        <item m="1" x="5998"/>
        <item m="1" x="5365"/>
        <item m="1" x="7646"/>
        <item m="1" x="840"/>
        <item m="1" x="6709"/>
        <item m="1" x="2041"/>
        <item m="1" x="5917"/>
        <item m="1" x="2704"/>
        <item m="1" x="4193"/>
        <item m="1" x="3301"/>
        <item m="1" x="2627"/>
        <item m="1" x="7045"/>
        <item m="1" x="307"/>
        <item m="1" x="6795"/>
        <item m="1" x="2867"/>
        <item m="1" x="1141"/>
        <item m="1" x="5445"/>
        <item m="1" x="2906"/>
        <item m="1" x="1011"/>
        <item m="1" x="2571"/>
        <item m="1" x="7788"/>
        <item m="1" x="3522"/>
        <item m="1" x="6635"/>
        <item m="1" x="5023"/>
        <item m="1" x="2959"/>
        <item m="1" x="6206"/>
        <item m="1" x="6931"/>
        <item m="1" x="4226"/>
        <item m="1" x="2277"/>
        <item m="1" x="554"/>
        <item m="1" x="6567"/>
        <item m="1" x="606"/>
        <item m="1" x="7569"/>
        <item m="1" x="3207"/>
        <item m="1" x="3835"/>
        <item m="1" x="6045"/>
        <item m="1" x="5384"/>
        <item m="1" x="6938"/>
        <item m="1" x="5429"/>
        <item m="1" x="7759"/>
        <item m="1" x="3234"/>
        <item m="1" x="7454"/>
        <item m="1" x="2736"/>
        <item m="1" x="1028"/>
        <item m="1" x="6173"/>
        <item m="1" x="3763"/>
        <item m="1" x="5090"/>
        <item m="1" x="948"/>
        <item m="1" x="7861"/>
        <item m="1" x="5543"/>
        <item m="1" x="6769"/>
        <item m="1" x="5246"/>
        <item m="1" x="5487"/>
        <item x="9"/>
        <item m="1" x="4326"/>
        <item m="1" x="4504"/>
        <item m="1" x="4614"/>
        <item m="1" x="2922"/>
        <item m="1" x="5229"/>
        <item m="1" x="1532"/>
        <item m="1" x="1548"/>
        <item m="1" x="7876"/>
        <item m="1" x="3274"/>
        <item m="1" x="7400"/>
        <item m="1" x="1082"/>
        <item m="1" x="7732"/>
        <item m="1" x="3231"/>
        <item m="1" x="5449"/>
        <item m="1" x="4905"/>
        <item m="1" x="6450"/>
        <item m="1" x="3947"/>
        <item m="1" x="4906"/>
        <item m="1" x="323"/>
        <item m="1" x="6894"/>
        <item m="1" x="4038"/>
        <item m="1" x="3773"/>
        <item m="1" x="1255"/>
        <item m="1" x="5322"/>
        <item m="1" x="3108"/>
        <item m="1" x="7710"/>
        <item m="1" x="2996"/>
        <item m="1" x="1934"/>
        <item m="1" x="4791"/>
        <item m="1" x="888"/>
        <item m="1" x="5899"/>
        <item m="1" x="7528"/>
        <item m="1" x="5557"/>
        <item x="144"/>
        <item m="1" x="423"/>
        <item m="1" x="7866"/>
        <item m="1" x="4696"/>
        <item m="1" x="4591"/>
        <item m="1" x="5067"/>
        <item m="1" x="4401"/>
        <item m="1" x="3291"/>
        <item m="1" x="3292"/>
        <item m="1" x="6861"/>
        <item m="1" x="6286"/>
        <item m="1" x="2681"/>
        <item m="1" x="6946"/>
        <item m="1" x="4792"/>
        <item m="1" x="368"/>
        <item m="1" x="3063"/>
        <item m="1" x="2274"/>
        <item m="1" x="3127"/>
        <item m="1" x="2662"/>
        <item m="1" x="7676"/>
        <item m="1" x="235"/>
        <item m="1" x="6962"/>
        <item m="1" x="3320"/>
        <item m="1" x="6262"/>
        <item m="1" x="3910"/>
        <item m="1" x="572"/>
        <item m="1" x="1938"/>
        <item m="1" x="5747"/>
        <item m="1" x="2283"/>
        <item m="1" x="7943"/>
        <item m="1" x="7538"/>
        <item m="1" x="2970"/>
        <item m="1" x="5900"/>
        <item m="1" x="2678"/>
        <item m="1" x="7478"/>
        <item m="1" x="5179"/>
        <item m="1" x="7301"/>
        <item m="1" x="3712"/>
        <item m="1" x="3430"/>
        <item m="1" x="230"/>
        <item m="1" x="3120"/>
        <item m="1" x="7254"/>
        <item m="1" x="5134"/>
        <item m="1" x="7910"/>
        <item m="1" x="6579"/>
        <item m="1" x="4587"/>
        <item m="1" x="7401"/>
        <item m="1" x="7848"/>
        <item m="1" x="1478"/>
        <item m="1" x="3135"/>
        <item m="1" x="4953"/>
        <item m="1" x="318"/>
        <item m="1" x="5591"/>
        <item m="1" x="5698"/>
        <item m="1" x="4259"/>
        <item m="1" x="7462"/>
        <item m="1" x="1390"/>
        <item m="1" x="1680"/>
        <item m="1" x="5785"/>
        <item m="1" x="5777"/>
        <item m="1" x="5130"/>
        <item m="1" x="3980"/>
        <item m="1" x="6135"/>
        <item m="1" x="1692"/>
        <item m="1" x="5868"/>
        <item m="1" x="5489"/>
        <item m="1" x="7213"/>
        <item m="1" x="6230"/>
        <item m="1" x="5077"/>
        <item m="1" x="6598"/>
        <item m="1" x="3584"/>
        <item m="1" x="6741"/>
        <item m="1" x="6026"/>
        <item m="1" x="2299"/>
        <item m="1" x="6951"/>
        <item m="1" x="5461"/>
        <item m="1" x="308"/>
        <item m="1" x="5525"/>
        <item m="1" x="6647"/>
        <item m="1" x="4265"/>
        <item m="1" x="3612"/>
        <item m="1" x="3493"/>
        <item m="1" x="1284"/>
        <item m="1" x="5488"/>
        <item m="1" x="4482"/>
        <item x="170"/>
        <item x="31"/>
        <item m="1" x="7385"/>
        <item m="1" x="7299"/>
        <item m="1" x="417"/>
        <item m="1" x="6983"/>
        <item m="1" x="7895"/>
        <item m="1" x="683"/>
        <item m="1" x="6774"/>
        <item m="1" x="484"/>
        <item m="1" x="2876"/>
        <item m="1" x="1949"/>
        <item m="1" x="2685"/>
        <item m="1" x="6379"/>
        <item m="1" x="1416"/>
        <item m="1" x="3639"/>
        <item m="1" x="3856"/>
        <item m="1" x="7488"/>
        <item m="1" x="7950"/>
        <item m="1" x="749"/>
        <item m="1" x="4547"/>
        <item m="1" x="2226"/>
        <item m="1" x="1970"/>
        <item m="1" x="1398"/>
        <item m="1" x="6199"/>
        <item m="1" x="6530"/>
        <item m="1" x="7610"/>
        <item m="1" x="3797"/>
        <item m="1" x="2773"/>
        <item m="1" x="3534"/>
        <item m="1" x="2907"/>
        <item m="1" x="6271"/>
        <item m="1" x="4801"/>
        <item m="1" x="566"/>
        <item m="1" x="3044"/>
        <item m="1" x="6723"/>
        <item m="1" x="1326"/>
        <item m="1" x="6846"/>
        <item m="1" x="3523"/>
        <item x="27"/>
        <item m="1" x="7422"/>
        <item x="28"/>
        <item m="1" x="3622"/>
        <item m="1" x="7458"/>
        <item m="1" x="5982"/>
        <item m="1" x="2345"/>
        <item m="1" x="7459"/>
        <item m="1" x="188"/>
        <item m="1" x="684"/>
        <item m="1" x="4970"/>
        <item m="1" x="5440"/>
        <item m="1" x="4492"/>
        <item m="1" x="6153"/>
        <item m="1" x="3283"/>
        <item m="1" x="2007"/>
        <item m="1" x="4819"/>
        <item m="1" x="3699"/>
        <item m="1" x="453"/>
        <item m="1" x="4932"/>
        <item m="1" x="2767"/>
        <item m="1" x="555"/>
        <item m="1" x="5932"/>
        <item m="1" x="2472"/>
        <item m="1" x="2306"/>
        <item m="1" x="6200"/>
        <item m="1" x="5312"/>
        <item m="1" x="1574"/>
        <item m="1" x="6082"/>
        <item m="1" x="6940"/>
        <item m="1" x="4942"/>
        <item m="1" x="1435"/>
        <item m="1" x="5349"/>
        <item m="1" x="4856"/>
        <item m="1" x="1623"/>
        <item m="1" x="7856"/>
        <item m="1" x="6868"/>
        <item m="1" x="3311"/>
        <item m="1" x="4662"/>
        <item m="1" x="7735"/>
        <item m="1" x="5156"/>
        <item m="1" x="1658"/>
        <item m="1" x="5889"/>
        <item m="1" x="3881"/>
        <item m="1" x="1608"/>
        <item m="1" x="716"/>
        <item m="1" x="4526"/>
        <item m="1" x="4800"/>
        <item m="1" x="5861"/>
        <item m="1" x="382"/>
        <item m="1" x="6756"/>
        <item m="1" x="4987"/>
        <item m="1" x="5325"/>
        <item m="1" x="1296"/>
        <item m="1" x="4748"/>
        <item m="1" x="454"/>
        <item m="1" x="438"/>
        <item m="1" x="4585"/>
        <item m="1" x="7441"/>
        <item m="1" x="2533"/>
        <item m="1" x="2171"/>
        <item m="1" x="4973"/>
        <item m="1" x="3494"/>
        <item m="1" x="1205"/>
        <item m="1" x="4625"/>
        <item m="1" x="4600"/>
        <item m="1" x="6950"/>
        <item m="1" x="1323"/>
        <item m="1" x="7057"/>
        <item m="1" x="3081"/>
        <item m="1" x="720"/>
        <item m="1" x="2443"/>
        <item m="1" x="3372"/>
        <item m="1" x="7659"/>
        <item m="1" x="7952"/>
        <item m="1" x="7976"/>
        <item m="1" x="5910"/>
        <item x="36"/>
        <item x="95"/>
        <item m="1" x="1915"/>
        <item m="1" x="3495"/>
        <item m="1" x="2960"/>
        <item m="1" x="6462"/>
        <item m="1" x="6397"/>
        <item m="1" x="4606"/>
        <item m="1" x="5281"/>
        <item m="1" x="5380"/>
        <item m="1" x="4443"/>
        <item m="1" x="3115"/>
        <item m="1" x="1948"/>
        <item m="1" x="6208"/>
        <item m="1" x="2818"/>
        <item m="1" x="1385"/>
        <item m="1" x="4025"/>
        <item m="1" x="6545"/>
        <item m="1" x="5749"/>
        <item m="1" x="1725"/>
        <item m="1" x="4057"/>
        <item m="1" x="7216"/>
        <item m="1" x="7470"/>
        <item m="1" x="1018"/>
        <item m="1" x="7505"/>
        <item m="1" x="2110"/>
        <item m="1" x="7443"/>
        <item m="1" x="433"/>
        <item m="1" x="1887"/>
        <item m="1" x="2505"/>
        <item m="1" x="4178"/>
        <item m="1" x="7413"/>
        <item m="1" x="7533"/>
        <item m="1" x="3553"/>
        <item m="1" x="7236"/>
        <item m="1" x="5813"/>
        <item m="1" x="4601"/>
        <item m="1" x="7128"/>
        <item m="1" x="3827"/>
        <item m="1" x="7726"/>
        <item m="1" x="2450"/>
        <item m="1" x="7155"/>
        <item m="1" x="7572"/>
        <item x="12"/>
        <item m="1" x="3661"/>
        <item m="1" x="7553"/>
        <item m="1" x="513"/>
        <item m="1" x="3173"/>
        <item m="1" x="5822"/>
        <item m="1" x="1354"/>
        <item m="1" x="2774"/>
        <item m="1" x="6621"/>
        <item m="1" x="958"/>
        <item m="1" x="4033"/>
        <item m="1" x="1631"/>
        <item m="1" x="4314"/>
        <item m="1" x="5631"/>
        <item m="1" x="1293"/>
        <item m="1" x="2786"/>
        <item m="1" x="4402"/>
        <item m="1" x="599"/>
        <item m="1" x="5256"/>
        <item m="1" x="1189"/>
        <item m="1" x="3202"/>
        <item m="1" x="3988"/>
        <item m="1" x="6848"/>
        <item m="1" x="2367"/>
        <item m="1" x="2321"/>
        <item m="1" x="6833"/>
        <item m="1" x="5769"/>
        <item m="1" x="2416"/>
        <item m="1" x="2862"/>
        <item m="1" x="6218"/>
        <item m="1" x="7187"/>
        <item m="1" x="7800"/>
        <item m="1" x="3258"/>
        <item x="16"/>
        <item m="1" x="7940"/>
        <item m="1" x="2129"/>
        <item m="1" x="5326"/>
        <item m="1" x="1790"/>
        <item m="1" x="7392"/>
        <item m="1" x="5948"/>
        <item m="1" x="7055"/>
        <item m="1" x="2511"/>
        <item m="1" x="4258"/>
        <item m="1" x="6919"/>
        <item m="1" x="5472"/>
        <item m="1" x="1555"/>
        <item m="1" x="5842"/>
        <item m="1" x="4559"/>
        <item m="1" x="3213"/>
        <item m="1" x="4535"/>
        <item m="1" x="713"/>
        <item m="1" x="5969"/>
        <item m="1" x="2108"/>
        <item m="1" x="4148"/>
        <item m="1" x="655"/>
        <item m="1" x="221"/>
        <item m="1" x="2567"/>
        <item m="1" x="7639"/>
        <item m="1" x="1760"/>
        <item m="1" x="2953"/>
        <item m="1" x="906"/>
        <item m="1" x="7924"/>
        <item m="1" x="1003"/>
        <item m="1" x="2663"/>
        <item m="1" x="4712"/>
        <item m="1" x="1486"/>
        <item m="1" x="3312"/>
        <item m="1" x="7362"/>
        <item m="1" x="3049"/>
        <item m="1" x="5350"/>
        <item m="1" x="3074"/>
        <item m="1" x="281"/>
        <item m="1" x="975"/>
        <item m="1" x="2743"/>
        <item m="1" x="1867"/>
        <item m="1" x="4115"/>
        <item m="1" x="383"/>
        <item m="1" x="5112"/>
        <item m="1" x="418"/>
        <item m="1" x="1612"/>
        <item m="1" x="5000"/>
        <item m="1" x="4286"/>
        <item m="1" x="2948"/>
        <item m="1" x="7691"/>
        <item m="1" x="6793"/>
        <item m="1" x="7248"/>
        <item m="1" x="560"/>
        <item m="1" x="7479"/>
        <item m="1" x="1613"/>
        <item m="1" x="5833"/>
        <item m="1" x="6437"/>
        <item m="1" x="2971"/>
        <item m="1" x="7130"/>
        <item m="1" x="4040"/>
        <item m="1" x="4179"/>
        <item m="1" x="4327"/>
        <item m="1" x="4328"/>
        <item m="1" x="3834"/>
        <item m="1" x="2554"/>
        <item m="1" x="5931"/>
        <item m="1" x="5108"/>
        <item m="1" x="838"/>
        <item m="1" x="3765"/>
        <item m="1" x="5778"/>
        <item m="1" x="5306"/>
        <item m="1" x="4345"/>
        <item m="1" x="5418"/>
        <item m="1" x="3554"/>
        <item m="1" x="5218"/>
        <item m="1" x="5015"/>
        <item m="1" x="5297"/>
        <item m="1" x="7884"/>
        <item m="1" x="1723"/>
        <item m="1" x="7049"/>
        <item m="1" x="4809"/>
        <item m="1" x="6716"/>
        <item m="1" x="4010"/>
        <item m="1" x="7686"/>
        <item m="1" x="402"/>
        <item m="1" x="7792"/>
        <item m="1" x="5592"/>
        <item m="1" x="520"/>
        <item m="1" x="7029"/>
        <item m="1" x="5195"/>
        <item m="1" x="4595"/>
        <item m="1" x="6451"/>
        <item m="1" x="4726"/>
        <item m="1" x="3452"/>
        <item m="1" x="2449"/>
        <item m="1" x="6586"/>
        <item m="1" x="1770"/>
        <item m="1" x="2995"/>
        <item m="1" x="5879"/>
        <item m="1" x="1614"/>
        <item m="1" x="6971"/>
        <item m="1" x="3195"/>
        <item m="1" x="3768"/>
        <item m="1" x="4943"/>
        <item m="1" x="3287"/>
        <item m="1" x="5137"/>
        <item m="1" x="4081"/>
        <item m="1" x="5216"/>
        <item m="1" x="5518"/>
        <item m="1" x="6042"/>
        <item m="1" x="5068"/>
        <item m="1" x="2404"/>
        <item m="1" x="3822"/>
        <item m="1" x="883"/>
        <item m="1" x="5054"/>
        <item m="1" x="4463"/>
        <item m="1" x="5961"/>
        <item m="1" x="5283"/>
        <item m="1" x="4100"/>
        <item m="1" x="3329"/>
        <item m="1" x="3572"/>
        <item m="1" x="378"/>
        <item m="1" x="1591"/>
        <item m="1" x="6829"/>
        <item m="1" x="4102"/>
        <item m="1" x="3857"/>
        <item m="1" x="2628"/>
        <item m="1" x="7810"/>
        <item m="1" x="1037"/>
        <item m="1" x="379"/>
        <item m="1" x="1239"/>
        <item m="1" x="327"/>
        <item m="1" x="3154"/>
        <item m="1" x="6346"/>
        <item m="1" x="1178"/>
        <item m="1" x="6550"/>
        <item m="1" x="4008"/>
        <item m="1" x="7567"/>
        <item m="1" x="7843"/>
        <item m="1" x="5257"/>
        <item m="1" x="492"/>
        <item m="1" x="5722"/>
        <item m="1" x="4329"/>
        <item m="1" x="3675"/>
        <item m="1" x="6034"/>
        <item m="1" x="5383"/>
        <item m="1" x="4386"/>
        <item m="1" x="6347"/>
        <item m="1" x="4964"/>
        <item m="1" x="3360"/>
        <item m="1" x="2629"/>
        <item m="1" x="7899"/>
        <item m="1" x="7173"/>
        <item m="1" x="4741"/>
        <item m="1" x="7628"/>
        <item m="1" x="3075"/>
        <item m="1" x="7426"/>
        <item m="1" x="2286"/>
        <item m="1" x="5011"/>
        <item m="1" x="5659"/>
        <item m="1" x="1228"/>
        <item m="1" x="3176"/>
        <item m="1" x="884"/>
        <item m="1" x="4610"/>
        <item m="1" x="3678"/>
        <item m="1" x="6452"/>
        <item m="1" x="3895"/>
        <item m="1" x="6794"/>
        <item m="1" x="3164"/>
        <item m="1" x="7927"/>
        <item m="1" x="4757"/>
        <item m="1" x="6891"/>
        <item m="1" x="1851"/>
        <item m="1" x="5797"/>
        <item m="1" x="6843"/>
        <item m="1" x="6763"/>
        <item m="1" x="4898"/>
        <item m="1" x="6936"/>
        <item m="1" x="7614"/>
        <item m="1" x="2330"/>
        <item m="1" x="2465"/>
        <item m="1" x="4522"/>
        <item m="1" x="2939"/>
        <item m="1" x="3966"/>
        <item m="1" x="403"/>
        <item m="1" x="4888"/>
        <item m="1" x="7787"/>
        <item m="1" x="1580"/>
        <item m="1" x="3474"/>
        <item m="1" x="5911"/>
        <item m="1" x="5964"/>
        <item m="1" x="7100"/>
        <item m="1" x="3911"/>
        <item m="1" x="245"/>
        <item m="1" x="7642"/>
        <item m="1" x="7608"/>
        <item m="1" x="845"/>
        <item m="1" x="2271"/>
        <item m="1" x="7784"/>
        <item m="1" x="1859"/>
        <item m="1" x="1201"/>
        <item m="1" x="1717"/>
        <item m="1" x="3658"/>
        <item m="1" x="2109"/>
        <item m="1" x="980"/>
        <item x="117"/>
        <item m="1" x="6425"/>
        <item m="1" x="3689"/>
        <item m="1" x="2336"/>
        <item m="1" x="7237"/>
        <item m="1" x="540"/>
        <item m="1" x="2756"/>
        <item m="1" x="7687"/>
        <item m="1" x="5042"/>
        <item m="1" x="7123"/>
        <item m="1" x="826"/>
        <item m="1" x="7953"/>
        <item m="1" x="2780"/>
        <item m="1" x="6486"/>
        <item m="1" x="908"/>
        <item m="1" x="5761"/>
        <item m="1" x="261"/>
        <item m="1" x="1320"/>
        <item m="1" x="7696"/>
        <item m="1" x="4122"/>
        <item m="1" x="3933"/>
        <item x="60"/>
        <item m="1" x="4370"/>
        <item m="1" x="2458"/>
        <item m="1" x="5905"/>
        <item m="1" x="6811"/>
        <item m="1" x="6900"/>
        <item m="1" x="7352"/>
        <item m="1" x="3727"/>
        <item m="1" x="5187"/>
        <item m="1" x="3324"/>
        <item m="1" x="7386"/>
        <item m="1" x="4220"/>
        <item m="1" x="6775"/>
        <item m="1" x="1902"/>
        <item m="1" x="1064"/>
        <item m="1" x="1946"/>
        <item m="1" x="1868"/>
        <item m="1" x="2667"/>
        <item m="1" x="7024"/>
        <item m="1" x="4830"/>
        <item m="1" x="4523"/>
        <item m="1" x="5924"/>
        <item m="1" x="5387"/>
        <item m="1" x="2352"/>
        <item m="1" x="1537"/>
        <item m="1" x="5638"/>
        <item m="1" x="5099"/>
        <item m="1" x="6742"/>
        <item m="1" x="6607"/>
        <item m="1" x="4084"/>
        <item m="1" x="3951"/>
        <item m="1" x="5890"/>
        <item m="1" x="5814"/>
        <item m="1" x="7030"/>
        <item m="1" x="4758"/>
        <item m="1" x="2016"/>
        <item m="1" x="1468"/>
        <item m="1" x="1479"/>
        <item x="135"/>
        <item m="1" x="5273"/>
        <item m="1" x="6066"/>
        <item m="1" x="4968"/>
        <item m="1" x="3840"/>
        <item m="1" x="3123"/>
        <item m="1" x="7423"/>
        <item m="1" x="5516"/>
        <item m="1" x="6667"/>
        <item m="1" x="3106"/>
        <item m="1" x="2020"/>
        <item m="1" x="4271"/>
        <item m="1" x="3015"/>
        <item m="1" x="2027"/>
        <item m="1" x="4820"/>
        <item m="1" x="2391"/>
        <item m="1" x="5411"/>
        <item m="1" x="4266"/>
        <item m="1" x="7631"/>
        <item x="134"/>
        <item m="1" x="3482"/>
        <item m="1" x="4702"/>
        <item m="1" x="7095"/>
        <item m="1" x="1494"/>
        <item m="1" x="2819"/>
        <item m="1" x="2337"/>
        <item m="1" x="2466"/>
        <item m="1" x="5994"/>
        <item m="1" x="3700"/>
        <item m="1" x="1769"/>
        <item x="2"/>
        <item m="1" x="5166"/>
        <item m="1" x="658"/>
        <item m="1" x="2543"/>
        <item m="1" x="7805"/>
        <item m="1" x="5012"/>
        <item m="1" x="3664"/>
        <item m="1" x="1454"/>
        <item m="1" x="6025"/>
        <item m="1" x="5510"/>
        <item m="1" x="6631"/>
        <item m="1" x="7877"/>
        <item m="1" x="5217"/>
        <item m="1" x="4638"/>
        <item m="1" x="3665"/>
        <item m="1" x="4406"/>
        <item m="1" x="5222"/>
        <item m="1" x="3745"/>
        <item m="1" x="544"/>
        <item m="1" x="851"/>
        <item m="1" x="4247"/>
        <item m="1" x="2973"/>
        <item m="1" x="266"/>
        <item m="1" x="952"/>
        <item m="1" x="7742"/>
        <item m="1" x="1987"/>
        <item m="1" x="404"/>
        <item m="1" x="7180"/>
        <item m="1" x="1456"/>
        <item m="1" x="1833"/>
        <item m="1" x="3925"/>
        <item m="1" x="7088"/>
        <item m="1" x="6438"/>
        <item m="1" x="7669"/>
        <item m="1" x="2760"/>
        <item m="1" x="1285"/>
        <item m="1" x="4865"/>
        <item m="1" x="2935"/>
        <item m="1" x="5236"/>
        <item m="1" x="7092"/>
        <item m="1" x="5666"/>
        <item m="1" x="6990"/>
        <item m="1" x="3975"/>
        <item x="55"/>
        <item m="1" x="3035"/>
        <item m="1" x="5328"/>
        <item m="1" x="6444"/>
        <item m="1" x="5087"/>
        <item m="1" x="2278"/>
        <item m="1" x="7502"/>
        <item m="1" x="1542"/>
        <item m="1" x="5468"/>
        <item m="1" x="1824"/>
        <item m="1" x="545"/>
        <item m="1" x="1881"/>
        <item m="1" x="3603"/>
        <item m="1" x="4874"/>
        <item m="1" x="1961"/>
        <item m="1" x="1253"/>
        <item x="18"/>
        <item m="1" x="1282"/>
        <item m="1" x="7113"/>
        <item m="1" x="2863"/>
        <item m="1" x="3679"/>
        <item m="1" x="6188"/>
        <item m="1" x="4140"/>
        <item m="1" x="5031"/>
        <item x="25"/>
        <item m="1" x="4542"/>
        <item m="1" x="3550"/>
        <item m="1" x="4215"/>
        <item m="1" x="1356"/>
        <item m="1" x="4771"/>
        <item m="1" x="721"/>
        <item m="1" x="5815"/>
        <item m="1" x="2807"/>
        <item m="1" x="1220"/>
        <item m="1" x="3565"/>
        <item m="1" x="2341"/>
        <item m="1" x="7499"/>
        <item m="1" x="6849"/>
        <item m="1" x="7050"/>
        <item m="1" x="5228"/>
        <item m="1" x="3769"/>
        <item m="1" x="4639"/>
        <item m="1" x="2067"/>
        <item m="1" x="797"/>
        <item m="1" x="7382"/>
        <item m="1" x="7144"/>
        <item m="1" x="2034"/>
        <item m="1" x="3948"/>
        <item m="1" x="7640"/>
        <item m="1" x="3729"/>
        <item m="1" x="4256"/>
        <item m="1" x="6905"/>
        <item m="1" x="4909"/>
        <item m="1" x="4117"/>
        <item m="1" x="2838"/>
        <item m="1" x="4863"/>
        <item m="1" x="6151"/>
        <item m="1" x="613"/>
        <item m="1" x="2354"/>
        <item m="1" x="1535"/>
        <item m="1" x="4823"/>
        <item m="1" x="2944"/>
        <item m="1" x="7340"/>
        <item m="1" x="4267"/>
        <item m="1" x="701"/>
        <item m="1" x="3282"/>
        <item m="1" x="2046"/>
        <item m="1" x="1662"/>
        <item m="1" x="3930"/>
        <item m="1" x="3259"/>
        <item m="1" x="924"/>
        <item m="1" x="1126"/>
        <item m="1" x="5668"/>
        <item m="1" x="2768"/>
        <item m="1" x="7145"/>
        <item m="1" x="4997"/>
        <item m="1" x="3499"/>
        <item m="1" x="5622"/>
        <item m="1" x="7828"/>
        <item m="1" x="2401"/>
        <item m="1" x="4228"/>
        <item m="1" x="5238"/>
        <item m="1" x="7131"/>
        <item m="1" x="6884"/>
        <item m="1" x="806"/>
        <item m="1" x="2093"/>
        <item m="1" x="5453"/>
        <item m="1" x="459"/>
        <item m="1" x="3541"/>
        <item m="1" x="6675"/>
        <item m="1" x="7105"/>
        <item m="1" x="7415"/>
        <item m="1" x="4838"/>
        <item m="1" x="925"/>
        <item m="1" x="7988"/>
        <item m="1" x="7077"/>
        <item m="1" x="7078"/>
        <item m="1" x="3894"/>
        <item m="1" x="4834"/>
        <item m="1" x="2674"/>
        <item m="1" x="4449"/>
        <item m="1" x="6717"/>
        <item m="1" x="2925"/>
        <item m="1" x="6803"/>
        <item m="1" x="2342"/>
        <item m="1" x="2343"/>
        <item m="1" x="4149"/>
        <item m="1" x="626"/>
        <item m="1" x="2268"/>
        <item m="1" x="1777"/>
        <item m="1" x="2709"/>
        <item m="1" x="6889"/>
        <item m="1" x="7465"/>
        <item m="1" x="7466"/>
        <item m="1" x="310"/>
        <item m="1" x="7176"/>
        <item m="1" x="3453"/>
        <item m="1" x="3060"/>
        <item m="1" x="6419"/>
        <item m="1" x="5182"/>
        <item m="1" x="4440"/>
        <item m="1" x="1659"/>
        <item m="1" x="1836"/>
        <item m="1" x="1352"/>
        <item m="1" x="405"/>
        <item m="1" x="693"/>
        <item m="1" x="3510"/>
        <item m="1" x="2499"/>
        <item m="1" x="3025"/>
        <item m="1" x="3864"/>
        <item m="1" x="7764"/>
        <item m="1" x="5983"/>
        <item m="1" x="7672"/>
        <item m="1" x="2288"/>
        <item m="1" x="3160"/>
        <item m="1" x="3172"/>
        <item m="1" x="4525"/>
        <item m="1" x="1705"/>
        <item m="1" x="4395"/>
        <item m="1" x="4831"/>
        <item m="1" x="7069"/>
        <item m="1" x="2547"/>
        <item m="1" x="2018"/>
        <item m="1" x="2521"/>
        <item m="1" x="5723"/>
        <item m="1" x="3404"/>
        <item m="1" x="375"/>
        <item m="1" x="6386"/>
        <item m="1" x="6883"/>
        <item m="1" x="5071"/>
        <item m="1" x="5553"/>
        <item m="1" x="4524"/>
        <item m="1" x="651"/>
        <item m="1" x="3348"/>
        <item m="1" x="5816"/>
        <item m="1" x="3383"/>
        <item m="1" x="1312"/>
        <item m="1" x="6862"/>
        <item m="1" x="408"/>
        <item m="1" x="4760"/>
        <item m="1" x="3706"/>
        <item x="32"/>
        <item m="1" x="5978"/>
        <item m="1" x="3332"/>
        <item m="1" x="502"/>
        <item m="1" x="6029"/>
        <item m="1" x="5555"/>
        <item m="1" x="3384"/>
        <item m="1" x="445"/>
        <item m="1" x="4957"/>
        <item m="1" x="7481"/>
        <item m="1" x="5526"/>
        <item m="1" x="4701"/>
        <item m="1" x="5151"/>
        <item m="1" x="6114"/>
        <item m="1" x="1852"/>
        <item m="1" x="3710"/>
        <item m="1" x="1327"/>
        <item m="1" x="3685"/>
        <item m="1" x="1513"/>
        <item m="1" x="3374"/>
        <item m="1" x="1495"/>
        <item m="1" x="855"/>
        <item m="1" x="7083"/>
        <item m="1" x="1240"/>
        <item m="1" x="6782"/>
        <item m="1" x="3557"/>
        <item m="1" x="7671"/>
        <item m="1" x="3757"/>
        <item m="1" x="7641"/>
        <item m="1" x="5361"/>
        <item m="1" x="6641"/>
        <item m="1" x="3362"/>
        <item x="19"/>
        <item m="1" x="4208"/>
        <item m="1" x="7551"/>
        <item m="1" x="5014"/>
        <item m="1" x="6753"/>
        <item m="1" x="546"/>
        <item m="1" x="7767"/>
        <item m="1" x="3313"/>
        <item m="1" x="6358"/>
        <item m="1" x="7568"/>
        <item m="1" x="4491"/>
        <item m="1" x="6279"/>
        <item m="1" x="295"/>
        <item m="1" x="4663"/>
        <item m="1" x="7473"/>
        <item m="1" x="7605"/>
        <item m="1" x="1888"/>
        <item m="1" x="3829"/>
        <item m="1" x="3325"/>
        <item m="1" x="2021"/>
        <item m="1" x="959"/>
        <item x="98"/>
        <item m="1" x="2858"/>
        <item m="1" x="2103"/>
        <item m="1" x="3898"/>
        <item m="1" x="7509"/>
        <item m="1" x="916"/>
        <item m="1" x="7522"/>
        <item m="1" x="6689"/>
        <item m="1" x="907"/>
        <item m="1" x="255"/>
        <item m="1" x="1134"/>
        <item m="1" x="6552"/>
        <item m="1" x="7046"/>
        <item m="1" x="6426"/>
        <item m="1" x="4995"/>
        <item m="1" x="1353"/>
        <item m="1" x="4141"/>
        <item m="1" x="862"/>
        <item m="1" x="3798"/>
        <item m="1" x="3919"/>
        <item m="1" x="1212"/>
        <item m="1" x="7355"/>
        <item m="1" x="3162"/>
        <item m="1" x="2198"/>
        <item m="1" x="7845"/>
        <item m="1" x="3408"/>
        <item m="1" x="7345"/>
        <item m="1" x="5183"/>
        <item x="167"/>
        <item m="1" x="1130"/>
        <item m="1" x="2037"/>
        <item m="1" x="5583"/>
        <item m="1" x="5186"/>
        <item m="1" x="2468"/>
        <item m="1" x="4990"/>
        <item m="1" x="1882"/>
        <item m="1" x="424"/>
        <item m="1" x="5161"/>
        <item m="1" x="5144"/>
        <item m="1" x="5002"/>
        <item m="1" x="3100"/>
        <item m="1" x="4805"/>
        <item m="1" x="1747"/>
        <item x="142"/>
        <item m="1" x="498"/>
        <item m="1" x="6947"/>
        <item m="1" x="7463"/>
        <item m="1" x="2394"/>
        <item m="1" x="2038"/>
        <item m="1" x="6820"/>
        <item m="1" x="6942"/>
        <item m="1" x="5527"/>
        <item m="1" x="1511"/>
        <item m="1" x="7825"/>
        <item m="1" x="873"/>
        <item m="1" x="2062"/>
        <item m="1" x="3486"/>
        <item m="1" x="2808"/>
        <item m="1" x="5104"/>
        <item m="1" x="522"/>
        <item m="1" x="381"/>
        <item m="1" x="7374"/>
        <item m="1" x="5420"/>
        <item m="1" x="792"/>
        <item m="1" x="4890"/>
        <item m="1" x="4756"/>
        <item m="1" x="7110"/>
        <item m="1" x="1730"/>
        <item m="1" x="5254"/>
        <item m="1" x="2154"/>
        <item m="1" x="6680"/>
        <item m="1" x="714"/>
        <item m="1" x="1719"/>
        <item m="1" x="3179"/>
        <item m="1" x="3084"/>
        <item m="1" x="1222"/>
        <item m="1" x="1309"/>
        <item m="1" x="7888"/>
        <item m="1" x="7218"/>
        <item m="1" x="4465"/>
        <item m="1" x="3449"/>
        <item x="145"/>
        <item m="1" x="935"/>
        <item m="1" x="3841"/>
        <item m="1" x="7002"/>
        <item m="1" x="1013"/>
        <item m="1" x="6907"/>
        <item m="1" x="4681"/>
        <item m="1" x="3373"/>
        <item m="1" x="303"/>
        <item m="1" x="5705"/>
        <item x="5"/>
        <item x="4"/>
        <item x="10"/>
        <item m="1" x="753"/>
        <item m="1" x="3330"/>
        <item m="1" x="2615"/>
        <item m="1" x="7982"/>
        <item m="1" x="6610"/>
        <item m="1" x="3030"/>
        <item m="1" x="474"/>
        <item m="1" x="7853"/>
        <item m="1" x="2008"/>
        <item m="1" x="1553"/>
        <item m="1" x="1801"/>
        <item m="1" x="7769"/>
        <item m="1" x="7111"/>
        <item m="1" x="177"/>
        <item m="1" x="6410"/>
        <item m="1" x="3143"/>
        <item m="1" x="6258"/>
        <item m="1" x="2358"/>
        <item m="1" x="1347"/>
        <item m="1" x="1429"/>
        <item m="1" x="2014"/>
        <item m="1" x="2015"/>
        <item m="1" x="6583"/>
        <item m="1" x="5603"/>
        <item x="40"/>
        <item m="1" x="5618"/>
        <item m="1" x="1907"/>
        <item m="1" x="2877"/>
        <item m="1" x="246"/>
        <item m="1" x="1947"/>
        <item m="1" x="4246"/>
        <item m="1" x="1862"/>
        <item m="1" x="2190"/>
        <item m="1" x="7681"/>
        <item m="1" x="5241"/>
        <item m="1" x="5893"/>
        <item m="1" x="2529"/>
        <item m="1" x="4209"/>
        <item m="1" x="2692"/>
        <item m="1" x="3877"/>
        <item m="1" x="247"/>
        <item m="1" x="7978"/>
        <item m="1" x="1992"/>
        <item m="1" x="1321"/>
        <item m="1" x="6789"/>
        <item m="1" x="7101"/>
        <item m="1" x="4727"/>
        <item m="1" x="6810"/>
        <item m="1" x="7774"/>
        <item m="1" x="466"/>
        <item m="1" x="3770"/>
        <item m="1" x="4305"/>
        <item m="1" x="6461"/>
        <item m="1" x="4412"/>
        <item m="1" x="3128"/>
        <item m="1" x="6022"/>
        <item m="1" x="2675"/>
        <item m="1" x="4723"/>
        <item m="1" x="411"/>
        <item m="1" x="6500"/>
        <item m="1" x="6821"/>
        <item m="1" x="1752"/>
        <item m="1" x="2030"/>
        <item m="1" x="5562"/>
        <item m="1" x="3786"/>
        <item m="1" x="7500"/>
        <item m="1" x="2703"/>
        <item m="1" x="419"/>
        <item m="1" x="5832"/>
        <item m="1" x="2334"/>
        <item m="1" x="5260"/>
        <item m="1" x="2803"/>
        <item m="1" x="2915"/>
        <item m="1" x="951"/>
        <item m="1" x="4287"/>
        <item m="1" x="288"/>
        <item m="1" x="947"/>
        <item m="1" x="1772"/>
        <item m="1" x="3161"/>
        <item m="1" x="3111"/>
        <item m="1" x="2812"/>
        <item m="1" x="6724"/>
        <item m="1" x="3504"/>
        <item m="1" x="1815"/>
        <item m="1" x="355"/>
        <item m="1" x="4937"/>
        <item m="1" x="5712"/>
        <item m="1" x="3357"/>
        <item m="1" x="5753"/>
        <item m="1" x="3177"/>
        <item m="1" x="5083"/>
        <item m="1" x="1083"/>
        <item m="1" x="4976"/>
        <item m="1" x="5065"/>
        <item m="1" x="7973"/>
        <item m="1" x="5613"/>
        <item m="1" x="6955"/>
        <item m="1" x="5606"/>
        <item m="1" x="4134"/>
        <item m="1" x="636"/>
        <item m="1" x="2716"/>
        <item m="1" x="4592"/>
        <item m="1" x="2538"/>
        <item m="1" x="2879"/>
        <item m="1" x="3217"/>
        <item m="1" x="4156"/>
        <item m="1" x="4778"/>
        <item m="1" x="4779"/>
        <item m="1" x="4780"/>
        <item m="1" x="4781"/>
        <item m="1" x="2539"/>
        <item m="1" x="2880"/>
        <item m="1" x="2881"/>
        <item m="1" x="1681"/>
        <item m="1" x="2882"/>
        <item m="1" x="2883"/>
        <item m="1" x="3218"/>
        <item m="1" x="3219"/>
        <item m="1" x="3220"/>
        <item m="1" x="3221"/>
        <item m="1" x="3222"/>
        <item m="1" x="3223"/>
        <item m="1" x="3224"/>
        <item m="1" x="3225"/>
        <item x="77"/>
        <item m="1" x="3226"/>
        <item x="74"/>
        <item x="81"/>
        <item m="1" x="5450"/>
        <item m="1" x="3212"/>
        <item m="1" x="7079"/>
        <item m="1" x="5829"/>
        <item m="1" x="3072"/>
        <item m="1" x="7428"/>
        <item m="1" x="5545"/>
        <item m="1" x="5343"/>
        <item m="1" x="5862"/>
        <item m="1" x="1363"/>
        <item m="1" x="4735"/>
        <item m="1" x="238"/>
        <item m="1" x="1177"/>
        <item m="1" x="1595"/>
        <item m="1" x="2235"/>
        <item m="1" x="1448"/>
        <item m="1" x="2051"/>
        <item m="1" x="7290"/>
        <item m="1" x="490"/>
        <item m="1" x="1606"/>
        <item m="1" x="2397"/>
        <item m="1" x="1856"/>
        <item m="1" x="1697"/>
        <item m="1" x="1838"/>
        <item m="1" x="1122"/>
        <item m="1" x="1153"/>
        <item m="1" x="5261"/>
        <item m="1" x="6236"/>
        <item m="1" x="3549"/>
        <item m="1" x="6915"/>
        <item m="1" x="7445"/>
        <item m="1" x="4982"/>
        <item m="1" x="6296"/>
        <item m="1" x="6289"/>
        <item m="1" x="7649"/>
        <item m="1" x="1540"/>
        <item m="1" x="1556"/>
        <item m="1" x="326"/>
        <item m="1" x="2028"/>
        <item m="1" x="2998"/>
        <item m="1" x="5600"/>
        <item m="1" x="4620"/>
        <item m="1" x="6195"/>
        <item m="1" x="7584"/>
        <item m="1" x="6632"/>
        <item m="1" x="5212"/>
        <item m="1" x="2218"/>
        <item m="1" x="1451"/>
        <item m="1" x="3976"/>
        <item m="1" x="6977"/>
        <item m="1" x="4520"/>
        <item m="1" x="6596"/>
        <item m="1" x="5828"/>
        <item m="1" x="6566"/>
        <item m="1" x="5713"/>
        <item m="1" x="7365"/>
        <item m="1" x="2031"/>
        <item m="1" x="5803"/>
        <item m="1" x="7768"/>
        <item m="1" x="3147"/>
        <item m="1" x="1436"/>
        <item m="1" x="674"/>
        <item m="1" x="2500"/>
        <item m="1" x="6210"/>
        <item m="1" x="991"/>
        <item m="1" x="5133"/>
        <item m="1" x="2431"/>
        <item m="1" x="1536"/>
        <item m="1" x="2044"/>
        <item m="1" x="6670"/>
        <item m="1" x="1660"/>
        <item x="21"/>
        <item m="1" x="7058"/>
        <item m="1" x="1098"/>
        <item m="1" x="3591"/>
        <item m="1" x="1472"/>
        <item m="1" x="7240"/>
        <item m="1" x="4444"/>
        <item m="1" x="1883"/>
        <item m="1" x="997"/>
        <item m="1" x="7367"/>
        <item m="1" x="213"/>
        <item m="1" x="2308"/>
        <item m="1" x="7739"/>
        <item m="1" x="4826"/>
        <item m="1" x="6818"/>
        <item m="1" x="2534"/>
        <item m="1" x="6400"/>
        <item m="1" x="4959"/>
        <item m="1" x="7319"/>
        <item m="1" x="5859"/>
        <item m="1" x="3306"/>
        <item m="1" x="5490"/>
        <item m="1" x="7093"/>
        <item m="1" x="1399"/>
        <item m="1" x="1043"/>
        <item m="1" x="3354"/>
        <item m="1" x="939"/>
        <item m="1" x="3931"/>
        <item m="1" x="2261"/>
        <item m="1" x="5295"/>
        <item m="1" x="1241"/>
        <item m="1" x="5203"/>
        <item m="1" x="1038"/>
        <item m="1" x="7074"/>
        <item m="1" x="4687"/>
        <item m="1" x="7855"/>
        <item m="1" x="885"/>
        <item m="1" x="4180"/>
        <item m="1" x="1604"/>
        <item m="1" x="4534"/>
        <item m="1" x="6295"/>
        <item m="1" x="3659"/>
        <item m="1" x="7390"/>
        <item m="1" x="7154"/>
        <item m="1" x="1330"/>
        <item m="1" x="1896"/>
        <item m="1" x="7495"/>
        <item m="1" x="541"/>
        <item m="1" x="2644"/>
        <item m="1" x="214"/>
        <item m="1" x="1762"/>
        <item m="1" x="6941"/>
        <item m="1" x="1977"/>
        <item m="1" x="4133"/>
        <item m="1" x="2964"/>
        <item m="1" x="4450"/>
        <item m="1" x="3417"/>
        <item m="1" x="1161"/>
        <item m="1" x="2163"/>
        <item m="1" x="1863"/>
        <item m="1" x="7199"/>
        <item m="1" x="2665"/>
        <item m="1" x="3353"/>
        <item m="1" x="2167"/>
        <item m="1" x="1585"/>
        <item m="1" x="4849"/>
        <item m="1" x="4933"/>
        <item m="1" x="2941"/>
        <item m="1" x="5517"/>
        <item m="1" x="6767"/>
        <item m="1" x="7763"/>
        <item m="1" x="4173"/>
        <item m="1" x="7545"/>
        <item m="1" x="7381"/>
        <item m="1" x="2568"/>
        <item m="1" x="2831"/>
        <item m="1" x="3215"/>
        <item m="1" x="2911"/>
        <item m="1" x="7933"/>
        <item m="1" x="6133"/>
        <item m="1" x="2711"/>
        <item m="1" x="917"/>
        <item m="1" x="3739"/>
        <item m="1" x="1147"/>
        <item m="1" x="3211"/>
        <item m="1" x="2809"/>
        <item m="1" x="4113"/>
        <item m="1" x="3916"/>
        <item m="1" x="2896"/>
        <item m="1" x="896"/>
        <item m="1" x="3016"/>
        <item m="1" x="3539"/>
        <item m="1" x="3460"/>
        <item m="1" x="7925"/>
        <item m="1" x="1485"/>
        <item m="1" x="4891"/>
        <item m="1" x="7539"/>
        <item m="1" x="5967"/>
        <item m="1" x="723"/>
        <item m="1" x="2560"/>
        <item m="1" x="929"/>
        <item m="1" x="3302"/>
        <item m="1" x="2645"/>
        <item m="1" x="7284"/>
        <item m="1" x="275"/>
        <item m="1" x="6004"/>
        <item m="1" x="258"/>
        <item m="1" x="3731"/>
        <item m="1" x="7703"/>
        <item m="1" x="1788"/>
        <item m="1" x="849"/>
        <item m="1" x="7434"/>
        <item m="1" x="7146"/>
        <item m="1" x="2561"/>
        <item m="1" x="5865"/>
        <item m="1" x="3711"/>
        <item m="1" x="2161"/>
        <item m="1" x="4204"/>
        <item m="1" x="3992"/>
        <item m="1" x="7464"/>
        <item m="1" x="6622"/>
        <item m="1" x="6415"/>
        <item m="1" x="5892"/>
        <item m="1" x="1978"/>
        <item m="1" x="2912"/>
        <item m="1" x="4090"/>
        <item m="1" x="4605"/>
        <item m="1" x="6539"/>
        <item m="1" x="1105"/>
        <item m="1" x="2120"/>
        <item m="1" x="2429"/>
        <item m="1" x="1029"/>
        <item m="1" x="1789"/>
        <item m="1" x="5288"/>
        <item m="1" x="6406"/>
        <item m="1" x="1348"/>
        <item m="1" x="743"/>
        <item m="1" x="5323"/>
        <item m="1" x="2408"/>
        <item x="54"/>
        <item m="1" x="4611"/>
        <item m="1" x="4505"/>
        <item m="1" x="4575"/>
        <item x="51"/>
        <item m="1" x="5392"/>
        <item m="1" x="6870"/>
        <item m="1" x="5561"/>
        <item m="1" x="7041"/>
        <item m="1" x="4028"/>
        <item m="1" x="4082"/>
        <item m="1" x="3537"/>
        <item m="1" x="4163"/>
        <item m="1" x="7310"/>
        <item m="1" x="5026"/>
        <item m="1" x="263"/>
        <item m="1" x="6702"/>
        <item m="1" x="2043"/>
        <item m="1" x="4767"/>
        <item m="1" x="6071"/>
        <item m="1" x="2055"/>
        <item m="1" x="2325"/>
        <item m="1" x="5580"/>
        <item m="1" x="7818"/>
        <item m="1" x="380"/>
        <item m="1" x="2116"/>
        <item m="1" x="2322"/>
        <item m="1" x="2178"/>
        <item m="1" x="1386"/>
        <item m="1" x="2940"/>
        <item m="1" x="5300"/>
        <item m="1" x="2241"/>
        <item m="1" x="4847"/>
        <item m="1" x="6204"/>
        <item m="1" x="4588"/>
        <item m="1" x="1473"/>
        <item m="1" x="1430"/>
        <item m="1" x="6263"/>
        <item m="1" x="3437"/>
        <item x="50"/>
        <item m="1" x="4470"/>
        <item m="1" x="2323"/>
        <item m="1" x="5733"/>
        <item m="1" x="7620"/>
        <item m="1" x="4821"/>
        <item m="1" x="5210"/>
        <item m="1" x="1431"/>
        <item m="1" x="3842"/>
        <item m="1" x="1117"/>
        <item m="1" x="4131"/>
        <item m="1" x="2699"/>
        <item m="1" x="6737"/>
        <item m="1" x="4330"/>
        <item m="1" x="3878"/>
        <item m="1" x="6156"/>
        <item m="1" x="5581"/>
        <item m="1" x="7008"/>
        <item m="1" x="3091"/>
        <item m="1" x="1112"/>
        <item m="1" x="600"/>
        <item m="1" x="7149"/>
        <item x="121"/>
        <item m="1" x="874"/>
        <item m="1" x="2275"/>
        <item m="1" x="5902"/>
        <item m="1" x="5593"/>
        <item m="1" x="735"/>
        <item m="1" x="7432"/>
        <item m="1" x="250"/>
        <item m="1" x="6033"/>
        <item m="1" x="4693"/>
        <item m="1" x="7749"/>
        <item m="1" x="3538"/>
        <item m="1" x="5122"/>
        <item m="1" x="5425"/>
        <item m="1" x="7771"/>
        <item m="1" x="7677"/>
        <item m="1" x="5823"/>
        <item m="1" x="3483"/>
        <item m="1" x="5970"/>
        <item m="1" x="6044"/>
        <item m="1" x="6937"/>
        <item m="1" x="4174"/>
        <item m="1" x="7171"/>
        <item m="1" x="699"/>
        <item m="1" x="1461"/>
        <item m="1" x="2068"/>
        <item m="1" x="293"/>
        <item m="1" x="3961"/>
        <item m="1" x="3153"/>
        <item m="1" x="7529"/>
        <item m="1" x="2004"/>
        <item m="1" x="1131"/>
        <item m="1" x="6650"/>
        <item m="1" x="1246"/>
        <item m="1" x="1696"/>
        <item m="1" x="7480"/>
        <item m="1" x="3741"/>
        <item m="1" x="3563"/>
        <item m="1" x="4618"/>
        <item x="155"/>
        <item m="1" x="2737"/>
        <item m="1" x="7647"/>
        <item x="129"/>
        <item m="1" x="880"/>
        <item m="1" x="5204"/>
        <item m="1" x="1979"/>
        <item m="1" x="2900"/>
        <item m="1" x="2467"/>
        <item m="1" x="4489"/>
        <item m="1" x="4280"/>
        <item m="1" x="1002"/>
        <item m="1" x="3525"/>
        <item m="1" x="4738"/>
        <item m="1" x="4739"/>
        <item m="1" x="5544"/>
        <item m="1" x="4806"/>
        <item m="1" x="7905"/>
        <item m="1" x="4807"/>
        <item m="1" x="5699"/>
        <item m="1" x="7265"/>
        <item x="0"/>
        <item x="123"/>
        <item m="1" x="6754"/>
        <item m="1" x="5372"/>
        <item m="1" x="7258"/>
        <item m="1" x="3601"/>
        <item m="1" x="1884"/>
        <item m="1" x="4182"/>
        <item m="1" x="763"/>
        <item m="1" x="1558"/>
        <item m="1" x="5853"/>
        <item m="1" x="887"/>
        <item m="1" x="2728"/>
        <item m="1" x="3995"/>
        <item m="1" x="3935"/>
        <item m="1" x="5742"/>
        <item m="1" x="6743"/>
        <item m="1" x="937"/>
        <item m="1" x="434"/>
        <item m="1" x="4372"/>
        <item m="1" x="3238"/>
        <item m="1" x="7772"/>
        <item m="1" x="2375"/>
        <item m="1" x="1802"/>
        <item m="1" x="5022"/>
        <item m="1" x="3390"/>
        <item m="1" x="3484"/>
        <item m="1" x="6954"/>
        <item m="1" x="3448"/>
        <item m="1" x="7141"/>
        <item m="1" x="4091"/>
        <item m="1" x="6992"/>
        <item m="1" x="5762"/>
        <item m="1" x="7402"/>
        <item m="1" x="5524"/>
        <item m="1" x="4275"/>
        <item m="1" x="3468"/>
        <item m="1" x="4866"/>
        <item m="1" x="4088"/>
        <item m="1" x="3079"/>
        <item m="1" x="7102"/>
        <item m="1" x="1118"/>
        <item m="1" x="4707"/>
        <item m="1" x="2810"/>
        <item m="1" x="5988"/>
        <item m="1" x="224"/>
        <item m="1" x="6706"/>
        <item m="1" x="514"/>
        <item m="1" x="3652"/>
        <item m="1" x="420"/>
        <item m="1" x="4415"/>
        <item m="1" x="4479"/>
        <item m="1" x="5332"/>
        <item m="1" x="5168"/>
        <item m="1" x="7450"/>
        <item m="1" x="7064"/>
        <item m="1" x="6542"/>
        <item m="1" x="4441"/>
        <item m="1" x="7532"/>
        <item m="1" x="1046"/>
        <item m="1" x="4917"/>
        <item m="1" x="4036"/>
        <item m="1" x="3963"/>
        <item m="1" x="1099"/>
        <item m="1" x="2022"/>
        <item x="168"/>
        <item m="1" x="1286"/>
        <item m="1" x="677"/>
        <item m="1" x="2513"/>
        <item m="1" x="7556"/>
        <item m="1" x="3043"/>
        <item m="1" x="6198"/>
        <item m="1" x="6963"/>
        <item m="1" x="4085"/>
        <item m="1" x="4125"/>
        <item m="1" x="3776"/>
        <item m="1" x="4724"/>
        <item m="1" x="3459"/>
        <item m="1" x="3067"/>
        <item m="1" x="5426"/>
        <item m="1" x="3771"/>
        <item m="1" x="7353"/>
        <item m="1" x="7188"/>
        <item m="1" x="4650"/>
        <item m="1" x="6390"/>
        <item m="1" x="6344"/>
        <item m="1" x="5882"/>
        <item m="1" x="4517"/>
        <item m="1" x="2474"/>
        <item m="1" x="4633"/>
        <item m="1" x="182"/>
        <item m="1" x="3405"/>
        <item m="1" x="2324"/>
        <item m="1" x="4858"/>
        <item m="1" x="5979"/>
        <item m="1" x="4952"/>
        <item m="1" x="2947"/>
        <item m="1" x="7849"/>
        <item m="1" x="646"/>
        <item m="1" x="7962"/>
        <item m="1" x="5743"/>
        <item m="1" x="5280"/>
        <item m="1" x="7907"/>
        <item m="1" x="3344"/>
        <item m="1" x="7009"/>
        <item m="1" x="1594"/>
        <item m="1" x="4445"/>
        <item m="1" x="5623"/>
        <item m="1" x="3411"/>
        <item m="1" x="2598"/>
        <item m="1" x="3686"/>
        <item m="1" x="2967"/>
        <item m="1" x="7204"/>
        <item m="1" x="4784"/>
        <item m="1" x="766"/>
        <item m="1" x="837"/>
        <item m="1" x="3102"/>
        <item m="1" x="6432"/>
        <item m="1" x="5789"/>
        <item m="1" x="485"/>
        <item m="1" x="1834"/>
        <item m="1" x="1021"/>
        <item m="1" x="2412"/>
        <item m="1" x="1433"/>
        <item m="1" x="3407"/>
        <item m="1" x="225"/>
        <item m="1" x="5818"/>
        <item m="1" x="2346"/>
        <item m="1" x="4288"/>
        <item m="1" x="3421"/>
        <item m="1" x="2222"/>
        <item m="1" x="7194"/>
        <item m="1" x="5872"/>
        <item m="1" x="6571"/>
        <item m="1" x="5005"/>
        <item m="1" x="7052"/>
        <item m="1" x="4589"/>
        <item m="1" x="4092"/>
        <item m="1" x="253"/>
        <item m="1" x="290"/>
        <item m="1" x="5549"/>
        <item m="1" x="7220"/>
        <item m="1" x="5301"/>
        <item x="100"/>
        <item m="1" x="6288"/>
        <item m="1" x="1724"/>
        <item m="1" x="2965"/>
        <item m="1" x="5667"/>
        <item m="1" x="6718"/>
        <item m="1" x="5253"/>
        <item m="1" x="6719"/>
        <item m="1" x="4915"/>
        <item m="1" x="3566"/>
        <item m="1" x="1001"/>
        <item m="1" x="2682"/>
        <item m="1" x="7717"/>
        <item m="1" x="1497"/>
        <item m="1" x="2395"/>
        <item m="1" x="189"/>
        <item m="1" x="3101"/>
        <item m="1" x="5119"/>
        <item m="1" x="3131"/>
        <item m="1" x="7734"/>
        <item m="1" x="7379"/>
        <item m="1" x="1015"/>
        <item m="1" x="330"/>
        <item m="1" x="5848"/>
        <item m="1" x="503"/>
        <item m="1" x="7638"/>
        <item m="1" x="7678"/>
        <item m="1" x="4198"/>
        <item m="1" x="5677"/>
        <item m="1" x="4060"/>
        <item m="1" x="2204"/>
        <item m="1" x="1058"/>
        <item m="1" x="4552"/>
        <item m="1" x="1294"/>
        <item m="1" x="3623"/>
        <item m="1" x="1809"/>
        <item m="1" x="623"/>
        <item m="1" x="595"/>
        <item m="1" x="6927"/>
        <item m="1" x="2179"/>
        <item m="1" x="1466"/>
        <item m="1" x="5469"/>
        <item m="1" x="276"/>
        <item m="1" x="1023"/>
        <item m="1" x="4428"/>
        <item m="1" x="1417"/>
        <item m="1" x="6661"/>
        <item m="1" x="7253"/>
        <item m="1" x="6383"/>
        <item m="1" x="827"/>
        <item m="1" x="2291"/>
        <item m="1" x="2712"/>
        <item m="1" x="1481"/>
        <item m="1" x="671"/>
        <item m="1" x="2649"/>
        <item m="1" x="6597"/>
        <item m="1" x="1743"/>
        <item m="1" x="5040"/>
        <item m="1" x="1971"/>
        <item m="1" x="1108"/>
        <item m="1" x="2804"/>
        <item m="1" x="5800"/>
        <item m="1" x="2143"/>
        <item m="1" x="3511"/>
        <item m="1" x="1406"/>
        <item m="1" x="6755"/>
        <item m="1" x="2350"/>
        <item m="1" x="2459"/>
        <item m="1" x="665"/>
        <item m="1" x="2494"/>
        <item m="1" x="5867"/>
        <item m="1" x="1045"/>
        <item m="1" x="5397"/>
        <item m="1" x="6098"/>
        <item m="1" x="2481"/>
        <item m="1" x="2390"/>
        <item m="1" x="724"/>
        <item m="1" x="1766"/>
        <item m="1" x="4364"/>
        <item x="133"/>
        <item m="1" x="6925"/>
        <item m="1" x="4576"/>
        <item m="1" x="2668"/>
        <item m="1" x="2220"/>
        <item m="1" x="5481"/>
        <item m="1" x="3031"/>
        <item m="1" x="6019"/>
        <item m="1" x="6032"/>
        <item m="1" x="1914"/>
        <item m="1" x="6544"/>
        <item m="1" x="1121"/>
        <item m="1" x="3273"/>
        <item m="1" x="5320"/>
        <item m="1" x="7387"/>
        <item m="1" x="1432"/>
        <item m="1" x="7068"/>
        <item m="1" x="638"/>
        <item m="1" x="1672"/>
        <item m="1" x="1935"/>
        <item m="1" x="7126"/>
        <item m="1" x="436"/>
        <item m="1" x="2742"/>
        <item m="1" x="7542"/>
        <item m="1" x="579"/>
        <item m="1" x="1505"/>
        <item m="1" x="4978"/>
        <item m="1" x="3105"/>
        <item m="1" x="6063"/>
        <item m="1" x="6589"/>
        <item m="1" x="461"/>
        <item m="1" x="640"/>
        <item m="1" x="5959"/>
        <item m="1" x="7992"/>
        <item m="1" x="7552"/>
        <item m="1" x="2259"/>
        <item m="1" x="7729"/>
        <item m="1" x="659"/>
        <item m="1" x="7300"/>
        <item m="1" x="1273"/>
        <item m="1" x="5999"/>
        <item m="1" x="5484"/>
        <item m="1" x="4679"/>
        <item m="1" x="1837"/>
        <item m="1" x="4607"/>
        <item m="1" x="1958"/>
        <item m="1" x="2936"/>
        <item m="1" x="198"/>
        <item m="1" x="4062"/>
        <item m="1" x="2656"/>
        <item m="1" x="5519"/>
        <item m="1" x="680"/>
        <item m="1" x="1332"/>
        <item m="1" x="4047"/>
        <item m="1" x="1242"/>
        <item m="1" x="4676"/>
        <item m="1" x="2357"/>
        <item m="1" x="1684"/>
        <item m="1" x="7266"/>
        <item x="136"/>
        <item m="1" x="6448"/>
        <item m="1" x="6850"/>
        <item m="1" x="7178"/>
        <item m="1" x="6221"/>
        <item m="1" x="5968"/>
        <item m="1" x="7728"/>
        <item m="1" x="5004"/>
        <item m="1" x="4664"/>
        <item m="1" x="1557"/>
        <item m="1" x="3377"/>
        <item m="1" x="2124"/>
        <item m="1" x="7629"/>
        <item m="1" x="964"/>
        <item m="1" x="7944"/>
        <item m="1" x="186"/>
        <item m="1" x="5412"/>
        <item m="1" x="565"/>
        <item m="1" x="3949"/>
        <item m="1" x="6988"/>
        <item m="1" x="1289"/>
        <item m="1" x="4814"/>
        <item m="1" x="6429"/>
        <item m="1" x="6440"/>
        <item m="1" x="5728"/>
        <item m="1" x="6626"/>
        <item m="1" x="6090"/>
        <item m="1" x="3576"/>
        <item m="1" x="5497"/>
        <item m="1" x="6787"/>
        <item m="1" x="1952"/>
        <item m="1" x="1600"/>
        <item m="1" x="7496"/>
        <item m="1" x="3458"/>
        <item m="1" x="4651"/>
        <item m="1" x="7317"/>
        <item m="1" x="5840"/>
        <item m="1" x="2437"/>
        <item m="1" x="2616"/>
        <item m="1" x="3315"/>
        <item m="1" x="2231"/>
        <item m="1" x="5275"/>
        <item m="1" x="5654"/>
        <item m="1" x="5504"/>
        <item m="1" x="2603"/>
        <item m="1" x="2380"/>
        <item m="1" x="6139"/>
        <item m="1" x="7987"/>
        <item m="1" x="3777"/>
        <item m="1" x="297"/>
        <item m="1" x="3812"/>
        <item m="1" x="852"/>
        <item m="1" x="2172"/>
        <item m="1" x="1090"/>
        <item m="1" x="1087"/>
        <item m="1" x="6081"/>
        <item m="1" x="3524"/>
        <item m="1" x="7506"/>
        <item m="1" x="5505"/>
        <item m="1" x="6875"/>
        <item m="1" x="3008"/>
        <item m="1" x="1397"/>
        <item m="1" x="850"/>
        <item m="1" x="6212"/>
        <item m="1" x="6768"/>
        <item m="1" x="2508"/>
        <item m="1" x="7840"/>
        <item m="1" x="639"/>
        <item m="1" x="7451"/>
        <item m="1" x="1474"/>
        <item m="1" x="3107"/>
        <item m="1" x="5883"/>
        <item m="1" x="5884"/>
        <item m="1" x="1805"/>
        <item m="1" x="6104"/>
        <item m="1" x="4839"/>
        <item m="1" x="3668"/>
        <item m="1" x="3990"/>
        <item m="1" x="7586"/>
        <item m="1" x="7857"/>
        <item m="1" x="5619"/>
        <item m="1" x="7889"/>
        <item m="1" x="4688"/>
        <item m="1" x="5030"/>
        <item m="1" x="5937"/>
        <item m="1" x="395"/>
        <item m="1" x="7452"/>
        <item m="1" x="2285"/>
        <item m="1" x="5875"/>
        <item m="1" x="2562"/>
        <item m="1" x="5419"/>
        <item m="1" x="457"/>
        <item m="1" x="1127"/>
        <item m="1" x="1165"/>
        <item m="1" x="1247"/>
        <item m="1" x="774"/>
        <item m="1" x="7147"/>
        <item m="1" x="1359"/>
        <item m="1" x="811"/>
        <item m="1" x="394"/>
        <item m="1" x="2506"/>
        <item m="1" x="2305"/>
        <item m="1" x="4324"/>
        <item m="1" x="7109"/>
        <item m="1" x="5615"/>
        <item m="1" x="5809"/>
        <item m="1" x="5162"/>
        <item m="1" x="7593"/>
        <item m="1" x="3358"/>
        <item m="1" x="6245"/>
        <item m="1" x="549"/>
        <item m="1" x="7414"/>
        <item m="1" x="3996"/>
        <item m="1" x="300"/>
        <item m="1" x="7324"/>
        <item m="1" x="846"/>
        <item m="1" x="5470"/>
        <item m="1" x="7138"/>
        <item m="1" x="4736"/>
        <item m="1" x="3806"/>
        <item m="1" x="1964"/>
        <item m="1" x="1065"/>
        <item m="1" x="7124"/>
        <item m="1" x="7594"/>
        <item m="1" x="2761"/>
        <item m="1" x="4353"/>
        <item m="1" x="7688"/>
        <item m="1" x="3064"/>
        <item m="1" x="256"/>
        <item m="1" x="6487"/>
        <item m="1" x="2192"/>
        <item m="1" x="2989"/>
        <item m="1" x="6389"/>
        <item m="1" x="6311"/>
        <item m="1" x="1311"/>
        <item m="1" x="3032"/>
        <item m="1" x="486"/>
        <item m="1" x="2617"/>
        <item m="1" x="2769"/>
        <item m="1" x="6504"/>
        <item m="1" x="5653"/>
        <item m="1" x="3636"/>
        <item m="1" x="6998"/>
        <item m="1" x="2650"/>
        <item m="1" x="3766"/>
        <item m="1" x="2417"/>
        <item m="1" x="6720"/>
        <item m="1" x="2942"/>
        <item m="1" x="2012"/>
        <item m="1" x="820"/>
        <item m="1" x="6396"/>
        <item m="1" x="1381"/>
        <item m="1" x="3950"/>
        <item m="1" x="2293"/>
        <item m="1" x="7708"/>
        <item m="1" x="4306"/>
        <item m="1" x="3540"/>
        <item m="1" x="2098"/>
        <item m="1" x="4320"/>
        <item m="1" x="6917"/>
        <item m="1" x="3451"/>
        <item m="1" x="3322"/>
        <item m="1" x="2708"/>
        <item m="1" x="7311"/>
        <item m="1" x="3884"/>
        <item m="1" x="897"/>
        <item m="1" x="5567"/>
        <item m="1" x="3989"/>
        <item m="1" x="1875"/>
        <item m="1" x="7912"/>
        <item m="1" x="1908"/>
        <item m="1" x="6523"/>
        <item m="1" x="1954"/>
        <item m="1" x="7938"/>
        <item m="1" x="4969"/>
        <item m="1" x="5604"/>
        <item m="1" x="4315"/>
        <item m="1" x="2787"/>
        <item m="1" x="6604"/>
        <item m="1" x="6196"/>
        <item m="1" x="6453"/>
        <item x="52"/>
        <item m="1" x="6340"/>
        <item m="1" x="504"/>
        <item m="1" x="6727"/>
        <item m="1" x="3687"/>
        <item m="1" x="818"/>
        <item m="1" x="6837"/>
        <item m="1" x="1900"/>
        <item m="1" x="363"/>
        <item m="1" x="1437"/>
        <item m="1" x="3272"/>
        <item m="1" x="4566"/>
        <item m="1" x="3388"/>
        <item m="1" x="3879"/>
        <item m="1" x="1480"/>
        <item m="1" x="620"/>
        <item m="1" x="7616"/>
        <item m="1" x="4979"/>
        <item m="1" x="7089"/>
        <item m="1" x="5299"/>
        <item m="1" x="4794"/>
        <item m="1" x="4652"/>
        <item m="1" x="5556"/>
        <item m="1" x="5974"/>
        <item m="1" x="6273"/>
        <item m="1" x="6209"/>
        <item m="1" x="1539"/>
        <item m="1" x="7854"/>
        <item m="1" x="3189"/>
        <item m="1" x="7756"/>
        <item m="1" x="2298"/>
        <item m="1" x="5007"/>
        <item m="1" x="2864"/>
        <item m="1" x="6525"/>
        <item m="1" x="5247"/>
        <item m="1" x="7839"/>
        <item m="1" x="5092"/>
        <item m="1" x="7010"/>
        <item m="1" x="2717"/>
        <item m="1" x="7031"/>
        <item m="1" x="7396"/>
        <item m="1" x="3017"/>
        <item m="1" x="2832"/>
        <item m="1" x="3604"/>
        <item m="1" x="918"/>
        <item m="1" x="5624"/>
        <item m="1" x="7136"/>
        <item m="1" x="2860"/>
        <item x="29"/>
        <item m="1" x="1213"/>
        <item m="1" x="833"/>
        <item m="1" x="7247"/>
        <item m="1" x="7427"/>
        <item m="1" x="7692"/>
        <item m="1" x="3838"/>
        <item x="57"/>
        <item m="1" x="1455"/>
        <item x="58"/>
        <item x="56"/>
        <item m="1" x="1640"/>
        <item m="1" x="7096"/>
        <item m="1" x="1514"/>
        <item m="1" x="6219"/>
        <item m="1" x="201"/>
        <item m="1" x="3227"/>
        <item m="1" x="5684"/>
        <item m="1" x="3783"/>
        <item m="1" x="3586"/>
        <item m="1" x="1757"/>
        <item m="1" x="4628"/>
        <item m="1" x="6308"/>
        <item m="1" x="7867"/>
        <item m="1" x="6994"/>
        <item m="1" x="5382"/>
        <item m="1" x="5598"/>
        <item m="1" x="7757"/>
        <item m="1" x="4567"/>
        <item m="1" x="847"/>
        <item m="1" x="3859"/>
        <item m="1" x="6240"/>
        <item m="1" x="2351"/>
        <item m="1" x="6645"/>
        <item m="1" x="7510"/>
        <item m="1" x="7813"/>
        <item m="1" x="6431"/>
        <item m="1" x="4380"/>
        <item m="1" x="3199"/>
        <item m="1" x="5109"/>
        <item m="1" x="6646"/>
        <item m="1" x="4848"/>
        <item m="1" x="6388"/>
        <item m="1" x="1962"/>
        <item m="1" x="1438"/>
        <item m="1" x="3275"/>
        <item m="1" x="3825"/>
        <item m="1" x="6832"/>
        <item m="1" x="2597"/>
        <item m="1" x="1897"/>
        <item m="1" x="406"/>
        <item m="1" x="6531"/>
        <item m="1" x="6222"/>
        <item m="1" x="5237"/>
        <item m="1" x="3813"/>
        <item m="1" x="2981"/>
        <item m="1" x="1034"/>
        <item m="1" x="282"/>
        <item m="1" x="2544"/>
        <item m="1" x="1106"/>
        <item m="1" x="1418"/>
        <item m="1" x="4498"/>
        <item m="1" x="998"/>
        <item m="1" x="1670"/>
        <item m="1" x="5918"/>
        <item m="1" x="1909"/>
        <item m="1" x="5637"/>
        <item m="1" x="4782"/>
        <item m="1" x="4427"/>
        <item m="1" x="7116"/>
        <item m="1" x="4854"/>
        <item m="1" x="4568"/>
        <item m="1" x="2142"/>
        <item m="1" x="7325"/>
        <item m="1" x="5211"/>
        <item m="1" x="4229"/>
        <item m="1" x="3203"/>
        <item m="1" x="5912"/>
        <item m="1" x="2448"/>
        <item m="1" x="7900"/>
        <item m="1" x="3660"/>
        <item x="1"/>
        <item m="1" x="1148"/>
        <item m="1" x="5763"/>
        <item m="1" x="1419"/>
        <item m="1" x="5779"/>
        <item m="1" x="2588"/>
        <item m="1" x="3082"/>
        <item m="1" x="6163"/>
        <item m="1" x="2423"/>
        <item m="1" x="1149"/>
        <item m="1" x="7501"/>
        <item m="1" x="3917"/>
        <item m="1" x="7497"/>
        <item m="1" x="7948"/>
        <item m="1" x="5129"/>
        <item m="1" x="1767"/>
        <item m="1" x="4480"/>
        <item m="1" x="2954"/>
        <item m="1" x="7609"/>
        <item m="1" x="3228"/>
        <item m="1" x="5575"/>
        <item m="1" x="3260"/>
        <item m="1" x="283"/>
        <item m="1" x="2042"/>
        <item m="1" x="7165"/>
        <item m="1" x="3142"/>
        <item m="1" x="7986"/>
        <item m="1" x="3821"/>
        <item m="1" x="7585"/>
        <item m="1" x="7868"/>
        <item m="1" x="2589"/>
        <item m="1" x="6187"/>
        <item m="1" x="196"/>
        <item m="1" x="2795"/>
        <item m="1" x="6594"/>
        <item m="1" x="5726"/>
        <item m="1" x="653"/>
        <item m="1" x="7433"/>
        <item m="1" x="264"/>
        <item m="1" x="2929"/>
        <item m="1" x="6234"/>
        <item m="1" x="2639"/>
        <item m="1" x="6623"/>
        <item m="1" x="1387"/>
        <item m="1" x="5142"/>
        <item m="1" x="4799"/>
        <item m="1" x="3844"/>
        <item m="1" x="4222"/>
        <item m="1" x="5989"/>
        <item m="1" x="5714"/>
        <item m="1" x="5715"/>
        <item x="24"/>
        <item m="1" x="5984"/>
        <item m="1" x="6395"/>
        <item m="1" x="5223"/>
        <item m="1" x="5434"/>
        <item x="30"/>
        <item m="1" x="4955"/>
        <item m="1" x="4061"/>
        <item m="1" x="2530"/>
        <item m="1" x="5390"/>
        <item m="1" x="816"/>
        <item m="1" x="2242"/>
        <item m="1" x="1128"/>
        <item m="1" x="3792"/>
        <item m="1" x="700"/>
        <item m="1" x="7530"/>
        <item m="1" x="493"/>
        <item m="1" x="7887"/>
        <item m="1" x="4583"/>
        <item m="1" x="3645"/>
        <item m="1" x="5422"/>
        <item m="1" x="6010"/>
        <item m="1" x="7326"/>
        <item m="1" x="4181"/>
        <item m="1" x="1630"/>
        <item m="1" x="1531"/>
        <item m="1" x="736"/>
        <item m="1" x="5901"/>
        <item m="1" x="5188"/>
        <item m="1" x="1718"/>
        <item m="1" x="5013"/>
        <item m="1" x="202"/>
        <item m="1" x="6131"/>
        <item m="1" x="4121"/>
        <item m="1" x="4543"/>
        <item m="1" x="2230"/>
        <item m="1" x="1044"/>
        <item m="1" x="547"/>
        <item m="1" x="4893"/>
        <item m="1" x="1360"/>
        <item m="1" x="2796"/>
        <item m="1" x="2686"/>
        <item m="1" x="4768"/>
        <item m="1" x="5224"/>
        <item m="1" x="1517"/>
        <item m="1" x="5018"/>
        <item m="1" x="2193"/>
        <item m="1" x="1799"/>
        <item m="1" x="5259"/>
        <item m="1" x="5955"/>
        <item m="1" x="6065"/>
        <item m="1" x="6345"/>
        <item m="1" x="3036"/>
        <item m="1" x="2721"/>
        <item m="1" x="3912"/>
        <item m="1" x="6708"/>
        <item m="1" x="4680"/>
        <item m="1" x="475"/>
        <item m="1" x="1120"/>
        <item m="1" x="7630"/>
        <item m="1" x="5826"/>
        <item m="1" x="6624"/>
        <item m="1" x="2646"/>
        <item m="1" x="5548"/>
        <item m="1" x="4717"/>
        <item m="1" x="4725"/>
        <item m="1" x="4815"/>
        <item m="1" x="6183"/>
        <item m="1" x="4373"/>
        <item m="1" x="3470"/>
        <item m="1" x="4983"/>
        <item m="1" x="3070"/>
        <item m="1" x="2188"/>
        <item m="1" x="3592"/>
        <item m="1" x="3962"/>
        <item m="1" x="5088"/>
        <item m="1" x="1425"/>
        <item m="1" x="1300"/>
        <item m="1" x="3513"/>
        <item m="1" x="7699"/>
        <item m="1" x="5685"/>
        <item m="1" x="6575"/>
        <item m="1" x="1066"/>
        <item m="1" x="4774"/>
        <item m="1" x="1400"/>
        <item m="1" x="889"/>
        <item m="1" x="7103"/>
        <item m="1" x="3891"/>
        <item m="1" x="7872"/>
        <item m="1" x="6158"/>
        <item m="1" x="7651"/>
        <item m="1" x="2393"/>
        <item m="1" x="4257"/>
        <item m="1" x="3569"/>
        <item m="1" x="5471"/>
        <item m="1" x="2149"/>
        <item m="1" x="687"/>
        <item m="1" x="4719"/>
        <item m="1" x="3991"/>
        <item m="1" x="1547"/>
        <item m="1" x="1803"/>
        <item m="1" x="3235"/>
        <item m="1" x="3236"/>
        <item m="1" x="6309"/>
        <item m="1" x="421"/>
        <item x="122"/>
        <item m="1" x="7503"/>
        <item m="1" x="7395"/>
        <item m="1" x="3038"/>
        <item m="1" x="6132"/>
        <item m="1" x="7117"/>
        <item m="1" x="2546"/>
        <item m="1" x="5019"/>
        <item x="128"/>
        <item m="1" x="3328"/>
        <item m="1" x="4094"/>
        <item m="1" x="1939"/>
        <item m="1" x="637"/>
        <item m="1" x="4506"/>
        <item m="1" x="578"/>
        <item m="1" x="7504"/>
        <item m="1" x="1234"/>
        <item m="1" x="1174"/>
        <item m="1" x="1031"/>
        <item x="13"/>
        <item m="1" x="7446"/>
        <item m="1" x="294"/>
        <item m="1" x="2267"/>
        <item m="1" x="6690"/>
        <item m="1" x="7758"/>
        <item m="1" x="4852"/>
        <item m="1" x="6879"/>
        <item m="1" x="5741"/>
        <item m="1" x="6341"/>
        <item m="1" x="2914"/>
        <item m="1" x="6638"/>
        <item m="1" x="3196"/>
        <item m="1" x="5648"/>
        <item m="1" x="4298"/>
        <item m="1" x="4494"/>
        <item m="1" x="5327"/>
        <item m="1" x="1496"/>
        <item m="1" x="5860"/>
        <item m="1" x="1462"/>
        <item m="1" x="1860"/>
        <item m="1" x="2000"/>
        <item m="1" x="3479"/>
        <item m="1" x="2382"/>
        <item m="1" x="954"/>
        <item m="1" x="2077"/>
        <item m="1" x="3398"/>
        <item m="1" x="4518"/>
        <item m="1" x="331"/>
        <item m="1" x="6420"/>
        <item m="1" x="5616"/>
        <item m="1" x="5354"/>
        <item m="1" x="909"/>
        <item m="1" x="6804"/>
        <item m="1" x="4875"/>
        <item m="1" x="7424"/>
        <item m="1" x="429"/>
        <item m="1" x="2762"/>
        <item m="1" x="787"/>
        <item m="1" x="6062"/>
        <item m="1" x="17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31"/>
        <item x="23"/>
        <item x="21"/>
        <item x="20"/>
        <item x="19"/>
        <item x="17"/>
        <item m="1" x="79"/>
        <item x="16"/>
        <item x="15"/>
        <item x="14"/>
        <item x="38"/>
        <item x="36"/>
        <item x="35"/>
        <item m="1" x="76"/>
        <item m="1" x="56"/>
        <item x="33"/>
        <item m="1" x="59"/>
        <item m="1" x="87"/>
        <item x="11"/>
        <item x="9"/>
        <item x="8"/>
        <item x="7"/>
        <item x="5"/>
        <item x="4"/>
        <item x="3"/>
        <item m="1" x="47"/>
        <item x="2"/>
        <item x="1"/>
        <item x="0"/>
        <item x="39"/>
        <item x="29"/>
        <item x="26"/>
        <item x="25"/>
        <item x="24"/>
        <item x="37"/>
        <item m="1" x="50"/>
        <item m="1" x="58"/>
        <item m="1" x="69"/>
        <item m="1" x="82"/>
        <item m="1" x="54"/>
        <item x="18"/>
        <item m="1" x="80"/>
        <item m="1" x="48"/>
        <item x="27"/>
        <item m="1" x="68"/>
        <item x="12"/>
        <item x="30"/>
        <item m="1" x="81"/>
        <item m="1" x="41"/>
        <item m="1" x="43"/>
        <item x="22"/>
        <item m="1" x="53"/>
        <item x="32"/>
        <item m="1" x="71"/>
        <item m="1" x="67"/>
        <item m="1" x="49"/>
        <item m="1" x="75"/>
        <item m="1" x="46"/>
        <item x="6"/>
        <item m="1" x="64"/>
        <item x="13"/>
        <item m="1" x="51"/>
        <item m="1" x="77"/>
        <item x="34"/>
        <item x="28"/>
        <item m="1" x="63"/>
        <item m="1" x="86"/>
        <item m="1" x="70"/>
        <item m="1" x="74"/>
        <item m="1" x="57"/>
        <item m="1" x="40"/>
        <item x="10"/>
        <item m="1" x="44"/>
        <item m="1" x="42"/>
        <item m="1" x="65"/>
        <item m="1" x="45"/>
        <item m="1" x="66"/>
        <item m="1" x="85"/>
        <item m="1" x="62"/>
        <item m="1" x="73"/>
        <item m="1" x="55"/>
        <item m="1" x="78"/>
        <item m="1" x="52"/>
        <item m="1" x="60"/>
        <item m="1" x="84"/>
        <item m="1" x="72"/>
        <item m="1" x="83"/>
        <item m="1" x="61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6"/>
        <item x="15"/>
        <item x="7"/>
        <item x="14"/>
        <item m="1" x="24"/>
        <item x="8"/>
        <item x="6"/>
        <item m="1" x="46"/>
        <item x="11"/>
        <item m="1" x="55"/>
        <item x="9"/>
        <item m="1" x="63"/>
        <item m="1" x="19"/>
        <item m="1" x="25"/>
        <item x="12"/>
        <item m="1" x="31"/>
        <item x="1"/>
        <item x="2"/>
        <item x="10"/>
        <item m="1" x="36"/>
        <item x="3"/>
        <item m="1" x="41"/>
        <item m="1" x="44"/>
        <item m="1" x="48"/>
        <item x="5"/>
        <item m="1" x="52"/>
        <item m="1" x="54"/>
        <item m="1" x="57"/>
        <item m="1" x="59"/>
        <item m="1" x="61"/>
        <item x="4"/>
        <item x="13"/>
        <item m="1" x="38"/>
        <item m="1" x="18"/>
        <item m="1" x="40"/>
        <item m="1" x="21"/>
        <item m="1" x="43"/>
        <item m="1" x="23"/>
        <item m="1" x="47"/>
        <item m="1" x="27"/>
        <item m="1" x="50"/>
        <item m="1" x="28"/>
        <item m="1" x="51"/>
        <item m="1" x="29"/>
        <item m="1" x="53"/>
        <item m="1" x="30"/>
        <item m="1" x="56"/>
        <item m="1" x="32"/>
        <item m="1" x="58"/>
        <item m="1" x="33"/>
        <item m="1" x="60"/>
        <item m="1" x="34"/>
        <item m="1" x="62"/>
        <item m="1" x="35"/>
        <item m="1" x="64"/>
        <item m="1" x="37"/>
        <item m="1" x="17"/>
        <item m="1" x="39"/>
        <item m="1" x="20"/>
        <item m="1" x="42"/>
        <item m="1" x="22"/>
        <item m="1" x="45"/>
        <item m="1" x="26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x="5"/>
        <item x="1"/>
        <item x="3"/>
        <item x="0"/>
        <item x="6"/>
        <item x="9"/>
        <item x="2"/>
        <item m="1" x="82"/>
        <item x="8"/>
        <item m="1" x="54"/>
        <item m="1" x="43"/>
        <item x="4"/>
        <item x="13"/>
        <item x="10"/>
        <item m="1" x="114"/>
        <item x="11"/>
        <item x="7"/>
        <item m="1" x="74"/>
        <item m="1" x="59"/>
        <item m="1" x="46"/>
        <item m="1" x="36"/>
        <item m="1" x="135"/>
        <item m="1" x="125"/>
        <item m="1" x="107"/>
        <item m="1" x="87"/>
        <item m="1" x="40"/>
        <item m="1" x="128"/>
        <item x="30"/>
        <item x="25"/>
        <item x="29"/>
        <item x="19"/>
        <item x="31"/>
        <item x="21"/>
        <item x="18"/>
        <item m="1" x="122"/>
        <item x="15"/>
        <item m="1" x="105"/>
        <item x="16"/>
        <item x="33"/>
        <item m="1" x="75"/>
        <item m="1" x="60"/>
        <item x="17"/>
        <item m="1" x="37"/>
        <item m="1" x="136"/>
        <item m="1" x="126"/>
        <item x="14"/>
        <item m="1" x="109"/>
        <item m="1" x="98"/>
        <item m="1" x="78"/>
        <item m="1" x="65"/>
        <item m="1" x="140"/>
        <item m="1" x="70"/>
        <item x="24"/>
        <item m="1" x="116"/>
        <item x="20"/>
        <item m="1" x="95"/>
        <item m="1" x="86"/>
        <item m="1" x="76"/>
        <item m="1" x="61"/>
        <item x="32"/>
        <item m="1" x="38"/>
        <item m="1" x="137"/>
        <item x="35"/>
        <item x="12"/>
        <item m="1" x="110"/>
        <item m="1" x="99"/>
        <item m="1" x="90"/>
        <item m="1" x="79"/>
        <item m="1" x="66"/>
        <item m="1" x="50"/>
        <item m="1" x="41"/>
        <item m="1" x="141"/>
        <item m="1" x="130"/>
        <item x="34"/>
        <item m="1" x="112"/>
        <item m="1" x="102"/>
        <item m="1" x="83"/>
        <item m="1" x="71"/>
        <item m="1" x="55"/>
        <item m="1" x="44"/>
        <item m="1" x="115"/>
        <item m="1" x="138"/>
        <item m="1" x="118"/>
        <item m="1" x="100"/>
        <item m="1" x="67"/>
        <item m="1" x="51"/>
        <item m="1" x="131"/>
        <item m="1" x="120"/>
        <item m="1" x="113"/>
        <item m="1" x="103"/>
        <item m="1" x="92"/>
        <item m="1" x="84"/>
        <item m="1" x="72"/>
        <item m="1" x="56"/>
        <item m="1" x="45"/>
        <item m="1" x="142"/>
        <item m="1" x="133"/>
        <item m="1" x="123"/>
        <item m="1" x="96"/>
        <item m="1" x="47"/>
        <item x="26"/>
        <item m="1" x="80"/>
        <item m="1" x="68"/>
        <item m="1" x="52"/>
        <item x="23"/>
        <item m="1" x="121"/>
        <item x="27"/>
        <item m="1" x="104"/>
        <item m="1" x="93"/>
        <item x="22"/>
        <item m="1" x="57"/>
        <item m="1" x="143"/>
        <item m="1" x="134"/>
        <item m="1" x="124"/>
        <item m="1" x="106"/>
        <item m="1" x="97"/>
        <item m="1" x="62"/>
        <item m="1" x="48"/>
        <item x="28"/>
        <item m="1" x="58"/>
        <item m="1" x="144"/>
        <item m="1" x="88"/>
        <item m="1" x="63"/>
        <item m="1" x="73"/>
        <item m="1" x="127"/>
        <item m="1" x="117"/>
        <item m="1" x="108"/>
        <item m="1" x="89"/>
        <item m="1" x="77"/>
        <item m="1" x="64"/>
        <item m="1" x="49"/>
        <item m="1" x="39"/>
        <item m="1" x="139"/>
        <item m="1" x="129"/>
        <item m="1" x="119"/>
        <item m="1" x="111"/>
        <item m="1" x="101"/>
        <item m="1" x="91"/>
        <item m="1" x="81"/>
        <item m="1" x="69"/>
        <item m="1" x="53"/>
        <item m="1" x="42"/>
        <item m="1" x="132"/>
        <item m="1" x="94"/>
        <item m="1" x="8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205">
    <i>
      <x/>
      <x v="2"/>
      <x/>
      <x v="32"/>
      <x/>
      <x v="62"/>
      <x v="1588"/>
      <x v="1"/>
      <x/>
      <x v="2"/>
      <x v="7999"/>
    </i>
    <i t="default" r="2">
      <x/>
    </i>
    <i r="1">
      <x v="7"/>
      <x/>
      <x v="32"/>
      <x/>
      <x v="106"/>
      <x v="4936"/>
      <x v="1"/>
      <x v="2"/>
      <x v="1"/>
      <x v="7993"/>
    </i>
    <i r="6">
      <x v="5085"/>
      <x v="1"/>
      <x v="2"/>
      <x v="1"/>
      <x v="7992"/>
    </i>
    <i t="default" r="2">
      <x/>
    </i>
    <i r="1">
      <x v="14"/>
      <x v="19"/>
      <x/>
      <x v="1"/>
      <x v="109"/>
      <x v="7474"/>
      <x v="1"/>
      <x v="2"/>
      <x v="1"/>
      <x v="7782"/>
    </i>
    <i t="default" r="2">
      <x v="19"/>
    </i>
    <i r="1">
      <x v="15"/>
      <x/>
      <x v="50"/>
      <x/>
      <x v="1"/>
      <x v="5127"/>
      <x/>
      <x/>
      <x/>
      <x v="7969"/>
    </i>
    <i r="6">
      <x v="5128"/>
      <x/>
      <x/>
      <x/>
      <x v="7970"/>
    </i>
    <i r="6">
      <x v="5138"/>
      <x/>
      <x/>
      <x/>
      <x v="7968"/>
    </i>
    <i t="default" r="2">
      <x/>
    </i>
    <i>
      <x v="2"/>
      <x v="2"/>
      <x v="1"/>
      <x v="32"/>
      <x/>
      <x v="104"/>
      <x v="5896"/>
      <x v="1"/>
      <x v="7798"/>
      <x v="1"/>
      <x v="7996"/>
    </i>
    <i t="default" r="2">
      <x v="1"/>
    </i>
    <i r="2">
      <x v="2"/>
      <x v="32"/>
      <x/>
      <x v="38"/>
      <x v="6668"/>
      <x v="1"/>
      <x v="3685"/>
      <x v="2"/>
      <x v="7816"/>
    </i>
    <i r="5">
      <x v="59"/>
      <x v="5648"/>
      <x v="1"/>
      <x v="7460"/>
      <x v="1"/>
      <x v="7995"/>
    </i>
    <i r="5">
      <x v="62"/>
      <x v="1592"/>
      <x v="1"/>
      <x/>
      <x/>
      <x v="7998"/>
    </i>
    <i t="default" r="2">
      <x v="2"/>
    </i>
    <i r="2">
      <x v="3"/>
      <x v="32"/>
      <x/>
      <x v="31"/>
      <x v="7258"/>
      <x v="1"/>
      <x v="7706"/>
      <x v="1"/>
      <x v="7817"/>
    </i>
    <i r="5">
      <x v="73"/>
      <x v="5159"/>
      <x v="1"/>
      <x v="7707"/>
      <x v="1"/>
      <x v="7818"/>
    </i>
    <i t="default" r="2">
      <x v="3"/>
    </i>
    <i r="2">
      <x v="4"/>
      <x v="32"/>
      <x/>
      <x v="106"/>
      <x v="5698"/>
      <x v="1"/>
      <x v="2"/>
      <x v="2"/>
      <x v="7997"/>
    </i>
    <i t="default" r="2">
      <x v="4"/>
    </i>
    <i r="1">
      <x v="7"/>
      <x/>
      <x v="32"/>
      <x/>
      <x v="104"/>
      <x v="4906"/>
      <x v="1"/>
      <x v="2"/>
      <x v="1"/>
      <x v="7994"/>
    </i>
    <i t="default" r="2">
      <x/>
    </i>
    <i r="2">
      <x v="4"/>
      <x v="33"/>
      <x/>
      <x v="106"/>
      <x v="2546"/>
      <x v="1"/>
      <x v="7089"/>
      <x v="2"/>
      <x v="7923"/>
    </i>
    <i t="default" r="2">
      <x v="4"/>
    </i>
    <i r="1">
      <x v="12"/>
      <x/>
      <x v="29"/>
      <x/>
      <x v="4"/>
      <x v="7172"/>
      <x v="1"/>
      <x/>
      <x/>
      <x v="7984"/>
    </i>
    <i r="5">
      <x v="8"/>
      <x v="2405"/>
      <x/>
      <x v="7797"/>
      <x v="1"/>
      <x v="7985"/>
    </i>
    <i r="5">
      <x v="31"/>
      <x v="950"/>
      <x v="1"/>
      <x/>
      <x/>
      <x v="7988"/>
    </i>
    <i r="5">
      <x v="35"/>
      <x v="933"/>
      <x v="1"/>
      <x/>
      <x/>
      <x v="7990"/>
    </i>
    <i r="6">
      <x v="1001"/>
      <x v="1"/>
      <x/>
      <x/>
      <x v="7986"/>
    </i>
    <i r="10">
      <x v="7987"/>
    </i>
    <i r="6">
      <x v="1134"/>
      <x v="1"/>
      <x/>
      <x/>
      <x v="7989"/>
    </i>
    <i r="5">
      <x v="59"/>
      <x v="1535"/>
      <x v="1"/>
      <x/>
      <x/>
      <x v="7991"/>
    </i>
    <i t="default" r="2">
      <x/>
    </i>
    <i r="1">
      <x v="13"/>
      <x/>
      <x v="10"/>
      <x/>
      <x v="27"/>
      <x v="223"/>
      <x/>
      <x/>
      <x/>
      <x v="7983"/>
    </i>
    <i r="6">
      <x v="4409"/>
      <x/>
      <x/>
      <x/>
      <x v="7709"/>
    </i>
    <i r="6">
      <x v="4414"/>
      <x/>
      <x/>
      <x/>
      <x v="7898"/>
    </i>
    <i r="5">
      <x v="28"/>
      <x v="3335"/>
      <x/>
      <x/>
      <x/>
      <x v="7807"/>
    </i>
    <i r="6">
      <x v="4425"/>
      <x/>
      <x/>
      <x/>
      <x v="7538"/>
    </i>
    <i r="3">
      <x v="11"/>
      <x/>
      <x v="29"/>
      <x v="2412"/>
      <x/>
      <x v="7676"/>
      <x v="1"/>
      <x v="7783"/>
    </i>
    <i r="3">
      <x v="12"/>
      <x/>
      <x v="27"/>
      <x v="5811"/>
      <x/>
      <x/>
      <x/>
      <x v="7488"/>
    </i>
    <i r="5">
      <x v="28"/>
      <x v="6721"/>
      <x/>
      <x/>
      <x/>
      <x v="7897"/>
    </i>
    <i r="3">
      <x v="15"/>
      <x/>
      <x v="30"/>
      <x v="3101"/>
      <x/>
      <x/>
      <x/>
      <x v="7528"/>
    </i>
    <i r="6">
      <x v="6683"/>
      <x v="1"/>
      <x/>
      <x/>
      <x v="7579"/>
    </i>
    <i r="3">
      <x v="34"/>
      <x/>
      <x v="27"/>
      <x v="1645"/>
      <x/>
      <x/>
      <x/>
      <x v="7982"/>
    </i>
    <i r="5">
      <x v="28"/>
      <x v="2177"/>
      <x/>
      <x/>
      <x/>
      <x v="7613"/>
    </i>
    <i r="6">
      <x v="4405"/>
      <x/>
      <x/>
      <x/>
      <x v="7537"/>
    </i>
    <i r="3">
      <x v="63"/>
      <x/>
      <x v="29"/>
      <x v="378"/>
      <x/>
      <x/>
      <x/>
      <x v="7536"/>
    </i>
    <i t="default" r="2">
      <x/>
    </i>
    <i r="1">
      <x v="14"/>
      <x/>
      <x v="31"/>
      <x/>
      <x v="28"/>
      <x v="4533"/>
      <x v="1"/>
      <x v="7667"/>
      <x v="1"/>
      <x v="7777"/>
    </i>
    <i r="3">
      <x v="33"/>
      <x/>
      <x v="109"/>
      <x v="4167"/>
      <x v="1"/>
      <x v="4811"/>
      <x v="2"/>
      <x v="7895"/>
    </i>
    <i t="default" r="2">
      <x/>
    </i>
    <i r="2">
      <x v="3"/>
      <x v="64"/>
      <x/>
      <x v="118"/>
      <x v="4954"/>
      <x v="1"/>
      <x v="2"/>
      <x v="1"/>
      <x v="7974"/>
    </i>
    <i t="default" r="2">
      <x v="3"/>
    </i>
    <i r="2">
      <x v="6"/>
      <x v="30"/>
      <x/>
      <x v="35"/>
      <x v="7415"/>
      <x v="1"/>
      <x/>
      <x/>
      <x v="7975"/>
    </i>
    <i t="default" r="2">
      <x v="6"/>
    </i>
    <i r="2">
      <x v="7"/>
      <x/>
      <x/>
      <x v="109"/>
      <x v="4912"/>
      <x v="1"/>
      <x v="2"/>
      <x v="1"/>
      <x v="7978"/>
    </i>
    <i r="3">
      <x v="64"/>
      <x v="1"/>
      <x v="109"/>
      <x v="4945"/>
      <x v="1"/>
      <x v="2"/>
      <x v="1"/>
      <x v="7973"/>
    </i>
    <i t="default" r="2">
      <x v="7"/>
    </i>
    <i r="2">
      <x v="9"/>
      <x/>
      <x/>
      <x v="104"/>
      <x v="2059"/>
      <x v="1"/>
      <x v="7794"/>
      <x v="1"/>
      <x v="7979"/>
    </i>
    <i t="default" r="2">
      <x v="9"/>
    </i>
    <i r="2">
      <x v="11"/>
      <x/>
      <x/>
      <x v="118"/>
      <x v="6353"/>
      <x v="1"/>
      <x v="7692"/>
      <x v="1"/>
      <x v="7977"/>
    </i>
    <i t="default" r="2">
      <x v="11"/>
    </i>
    <i r="2">
      <x v="15"/>
      <x/>
      <x/>
      <x v="118"/>
      <x v="2813"/>
      <x v="1"/>
      <x v="7795"/>
      <x v="1"/>
      <x v="7980"/>
    </i>
    <i t="default" r="2">
      <x v="15"/>
    </i>
    <i r="2">
      <x v="17"/>
      <x v="33"/>
      <x/>
      <x v="35"/>
      <x v="7940"/>
      <x v="1"/>
      <x/>
      <x v="2"/>
      <x v="7804"/>
    </i>
    <i t="default" r="2">
      <x v="17"/>
    </i>
    <i r="2">
      <x v="18"/>
      <x v="33"/>
      <x/>
      <x v="4"/>
      <x v="7194"/>
      <x v="1"/>
      <x/>
      <x/>
      <x v="7806"/>
    </i>
    <i t="default" r="2">
      <x v="18"/>
    </i>
    <i r="2">
      <x v="21"/>
      <x v="33"/>
      <x/>
      <x v="104"/>
      <x v="4782"/>
      <x/>
      <x v="7792"/>
      <x v="1"/>
      <x v="7971"/>
    </i>
    <i t="default" r="2">
      <x v="21"/>
    </i>
    <i r="2">
      <x v="25"/>
      <x v="43"/>
      <x/>
      <x v="106"/>
      <x v="5639"/>
      <x v="1"/>
      <x v="7793"/>
      <x v="1"/>
      <x v="7972"/>
    </i>
    <i t="default" r="2">
      <x v="25"/>
    </i>
    <i r="2">
      <x v="31"/>
      <x v="31"/>
      <x/>
      <x v="100"/>
      <x v="7175"/>
      <x v="1"/>
      <x v="7669"/>
      <x v="1"/>
      <x v="7779"/>
    </i>
    <i r="6">
      <x v="7948"/>
      <x v="1"/>
      <x v="7668"/>
      <x v="1"/>
      <x v="7778"/>
    </i>
    <i r="3">
      <x v="32"/>
      <x/>
      <x v="52"/>
      <x v="5684"/>
      <x v="1"/>
      <x v="7666"/>
      <x v="1"/>
      <x v="7776"/>
    </i>
    <i r="3">
      <x v="46"/>
      <x/>
      <x v="52"/>
      <x v="6372"/>
      <x v="1"/>
      <x v="7675"/>
      <x v="1"/>
      <x v="7976"/>
    </i>
    <i t="default" r="2">
      <x v="31"/>
    </i>
    <i r="2">
      <x v="32"/>
      <x v="52"/>
      <x/>
      <x v="118"/>
      <x v="2805"/>
      <x v="1"/>
      <x v="7796"/>
      <x v="1"/>
      <x v="7981"/>
    </i>
    <i t="default" r="2">
      <x v="32"/>
    </i>
    <i r="1">
      <x v="15"/>
      <x/>
      <x v="1"/>
      <x/>
      <x v="30"/>
      <x v="6294"/>
      <x/>
      <x/>
      <x/>
      <x v="7857"/>
    </i>
    <i r="6">
      <x v="7133"/>
      <x/>
      <x/>
      <x/>
      <x v="7873"/>
    </i>
    <i r="5">
      <x v="32"/>
      <x v="4244"/>
      <x/>
      <x/>
      <x/>
      <x v="7773"/>
    </i>
    <i r="5">
      <x v="54"/>
      <x v="337"/>
      <x/>
      <x/>
      <x/>
      <x v="7704"/>
    </i>
    <i r="6">
      <x v="3292"/>
      <x/>
      <x/>
      <x/>
      <x v="7803"/>
    </i>
    <i r="3">
      <x v="2"/>
      <x/>
      <x/>
      <x v="1477"/>
      <x/>
      <x/>
      <x/>
      <x v="7684"/>
    </i>
    <i r="5">
      <x v="3"/>
      <x v="1474"/>
      <x/>
      <x v="7664"/>
      <x v="1"/>
      <x v="7770"/>
    </i>
    <i r="6">
      <x v="2181"/>
      <x/>
      <x v="1551"/>
      <x v="1"/>
      <x v="7842"/>
    </i>
    <i r="5">
      <x v="6"/>
      <x v="2186"/>
      <x/>
      <x v="1550"/>
      <x v="1"/>
      <x v="7841"/>
    </i>
    <i r="3">
      <x v="3"/>
      <x/>
      <x v="1"/>
      <x v="2557"/>
      <x/>
      <x/>
      <x/>
      <x v="7914"/>
    </i>
    <i r="3">
      <x v="4"/>
      <x/>
      <x v="1"/>
      <x v="3525"/>
      <x/>
      <x/>
      <x/>
      <x v="7871"/>
    </i>
    <i r="3">
      <x v="5"/>
      <x/>
      <x/>
      <x v="1624"/>
      <x/>
      <x/>
      <x/>
      <x v="7599"/>
    </i>
    <i r="6">
      <x v="3312"/>
      <x/>
      <x/>
      <x/>
      <x v="7654"/>
    </i>
    <i r="6">
      <x v="5593"/>
      <x/>
      <x v="7662"/>
      <x v="1"/>
      <x v="7963"/>
    </i>
    <i r="6">
      <x v="6640"/>
      <x/>
      <x/>
      <x/>
      <x v="7767"/>
    </i>
    <i r="5">
      <x v="3"/>
      <x v="2190"/>
      <x/>
      <x v="1556"/>
      <x v="1"/>
      <x v="7840"/>
    </i>
    <i r="5">
      <x v="4"/>
      <x v="6013"/>
      <x/>
      <x v="7446"/>
      <x/>
      <x v="7962"/>
    </i>
    <i r="6">
      <x v="7336"/>
      <x/>
      <x v="7690"/>
      <x v="1"/>
      <x v="7964"/>
    </i>
    <i r="5">
      <x v="8"/>
      <x v="3375"/>
      <x/>
      <x v="7757"/>
      <x v="1"/>
      <x v="7892"/>
    </i>
    <i r="3">
      <x v="7"/>
      <x/>
      <x v="8"/>
      <x v="4085"/>
      <x v="1"/>
      <x v="7661"/>
      <x v="1"/>
      <x v="7766"/>
    </i>
    <i r="3">
      <x v="8"/>
      <x/>
      <x v="6"/>
      <x v="1"/>
      <x/>
      <x v="7790"/>
      <x v="1"/>
      <x v="7954"/>
    </i>
    <i r="6">
      <x v="3677"/>
      <x/>
      <x v="7755"/>
      <x v="1"/>
      <x v="7891"/>
    </i>
    <i r="8">
      <x v="7791"/>
      <x v="1"/>
      <x v="7961"/>
    </i>
    <i r="5">
      <x v="8"/>
      <x v="1"/>
      <x/>
      <x/>
      <x/>
      <x v="7959"/>
    </i>
    <i r="6">
      <x v="3"/>
      <x/>
      <x/>
      <x/>
      <x v="7947"/>
    </i>
    <i r="6">
      <x v="10"/>
      <x/>
      <x/>
      <x/>
      <x v="7957"/>
    </i>
    <i r="6">
      <x v="60"/>
      <x/>
      <x/>
      <x/>
      <x v="7958"/>
    </i>
    <i r="6">
      <x v="76"/>
      <x/>
      <x/>
      <x/>
      <x v="7956"/>
    </i>
    <i r="6">
      <x v="211"/>
      <x/>
      <x/>
      <x/>
      <x v="7950"/>
    </i>
    <i r="6">
      <x v="254"/>
      <x/>
      <x/>
      <x/>
      <x v="7953"/>
    </i>
    <i r="6">
      <x v="1158"/>
      <x/>
      <x/>
      <x/>
      <x v="7855"/>
    </i>
    <i r="6">
      <x v="1168"/>
      <x/>
      <x/>
      <x/>
      <x v="7890"/>
    </i>
    <i r="10">
      <x v="7952"/>
    </i>
    <i r="6">
      <x v="3683"/>
      <x/>
      <x/>
      <x/>
      <x v="7854"/>
    </i>
    <i r="10">
      <x v="7948"/>
    </i>
    <i r="6">
      <x v="3692"/>
      <x/>
      <x/>
      <x/>
      <x v="7945"/>
    </i>
    <i r="6">
      <x v="3808"/>
      <x/>
      <x/>
      <x/>
      <x v="7889"/>
    </i>
    <i r="6">
      <x v="3841"/>
      <x/>
      <x/>
      <x/>
      <x v="7946"/>
    </i>
    <i r="6">
      <x v="3896"/>
      <x/>
      <x/>
      <x/>
      <x v="7910"/>
    </i>
    <i r="6">
      <x v="3905"/>
      <x/>
      <x/>
      <x/>
      <x v="7955"/>
    </i>
    <i r="6">
      <x v="3940"/>
      <x/>
      <x/>
      <x/>
      <x v="7949"/>
    </i>
    <i r="6">
      <x v="3946"/>
      <x/>
      <x/>
      <x/>
      <x v="7960"/>
    </i>
    <i r="6">
      <x v="6858"/>
      <x/>
      <x/>
      <x/>
      <x v="7856"/>
    </i>
    <i r="6">
      <x v="6860"/>
      <x/>
      <x/>
      <x/>
      <x v="7853"/>
    </i>
    <i r="6">
      <x v="6861"/>
      <x/>
      <x/>
      <x/>
      <x v="7951"/>
    </i>
    <i r="5">
      <x v="35"/>
      <x v="3766"/>
      <x/>
      <x/>
      <x/>
      <x v="7911"/>
    </i>
    <i r="5">
      <x v="45"/>
      <x v="3716"/>
      <x/>
      <x/>
      <x/>
      <x v="7909"/>
    </i>
    <i r="3">
      <x v="9"/>
      <x/>
      <x v="3"/>
      <x v="5236"/>
      <x/>
      <x v="7659"/>
      <x v="1"/>
      <x v="7764"/>
    </i>
    <i r="6">
      <x v="5239"/>
      <x/>
      <x v="7657"/>
      <x v="1"/>
      <x v="7762"/>
    </i>
    <i r="6">
      <x v="5240"/>
      <x/>
      <x v="7658"/>
      <x v="1"/>
      <x v="7763"/>
    </i>
    <i r="3">
      <x v="18"/>
      <x/>
      <x v="1"/>
      <x v="1465"/>
      <x/>
      <x/>
      <x/>
      <x v="7573"/>
    </i>
    <i r="5">
      <x v="2"/>
      <x v="5317"/>
      <x/>
      <x/>
      <x/>
      <x v="7683"/>
    </i>
    <i r="5">
      <x v="4"/>
      <x v="5551"/>
      <x/>
      <x/>
      <x/>
      <x v="7837"/>
    </i>
    <i r="3">
      <x v="19"/>
      <x/>
      <x/>
      <x v="6315"/>
      <x/>
      <x/>
      <x/>
      <x v="7943"/>
    </i>
    <i r="6">
      <x v="7111"/>
      <x/>
      <x/>
      <x/>
      <x v="7835"/>
    </i>
    <i r="5">
      <x v="1"/>
      <x v="4330"/>
      <x/>
      <x v="7789"/>
      <x v="1"/>
      <x v="7944"/>
    </i>
    <i r="6">
      <x v="7076"/>
      <x/>
      <x/>
      <x/>
      <x v="7867"/>
    </i>
    <i r="5">
      <x v="2"/>
      <x v="5386"/>
      <x/>
      <x/>
      <x/>
      <x v="7736"/>
    </i>
    <i r="6">
      <x v="7072"/>
      <x/>
      <x/>
      <x/>
      <x v="7888"/>
    </i>
    <i r="6">
      <x v="7655"/>
      <x/>
      <x/>
      <x/>
      <x v="7868"/>
    </i>
    <i r="5">
      <x v="3"/>
      <x v="4281"/>
      <x/>
      <x/>
      <x/>
      <x v="7834"/>
    </i>
    <i r="5">
      <x v="4"/>
      <x v="6426"/>
      <x/>
      <x/>
      <x/>
      <x v="7905"/>
    </i>
    <i r="5">
      <x v="5"/>
      <x v="7710"/>
      <x/>
      <x v="7761"/>
      <x v="1"/>
      <x v="7907"/>
    </i>
    <i r="6">
      <x v="7712"/>
      <x/>
      <x v="7762"/>
      <x v="1"/>
      <x v="7908"/>
    </i>
    <i r="5">
      <x v="6"/>
      <x v="4289"/>
      <x/>
      <x v="7688"/>
      <x v="1"/>
      <x v="7793"/>
    </i>
    <i r="6">
      <x v="5362"/>
      <x/>
      <x/>
      <x/>
      <x v="7869"/>
    </i>
    <i r="6">
      <x v="7713"/>
      <x/>
      <x/>
      <x/>
      <x v="7906"/>
    </i>
    <i r="5">
      <x v="8"/>
      <x v="2307"/>
      <x/>
      <x/>
      <x/>
      <x v="7942"/>
    </i>
    <i r="3">
      <x v="20"/>
      <x/>
      <x v="12"/>
      <x v="2348"/>
      <x/>
      <x v="7655"/>
      <x v="1"/>
      <x v="7760"/>
    </i>
    <i r="5">
      <x v="13"/>
      <x v="3355"/>
      <x/>
      <x v="7656"/>
      <x v="1"/>
      <x v="7833"/>
    </i>
    <i r="3">
      <x v="21"/>
      <x/>
      <x v="63"/>
      <x v="5189"/>
      <x/>
      <x v="7738"/>
      <x v="1"/>
      <x v="7852"/>
    </i>
    <i r="3">
      <x v="22"/>
      <x/>
      <x/>
      <x v="1616"/>
      <x/>
      <x/>
      <x/>
      <x v="7728"/>
    </i>
    <i r="6">
      <x v="1617"/>
      <x/>
      <x/>
      <x/>
      <x v="7729"/>
    </i>
    <i r="5">
      <x v="1"/>
      <x v="6758"/>
      <x/>
      <x/>
      <x/>
      <x v="7886"/>
    </i>
    <i r="5">
      <x v="3"/>
      <x v="2194"/>
      <x/>
      <x v="1555"/>
      <x v="1"/>
      <x v="7831"/>
    </i>
    <i r="6">
      <x v="2196"/>
      <x/>
      <x v="1552"/>
      <x v="1"/>
      <x v="7830"/>
    </i>
    <i r="6">
      <x v="3556"/>
      <x/>
      <x/>
      <x/>
      <x v="7887"/>
    </i>
    <i r="6">
      <x v="5436"/>
      <x/>
      <x/>
      <x/>
      <x v="7851"/>
    </i>
    <i r="6">
      <x v="6587"/>
      <x/>
      <x/>
      <x/>
      <x v="7666"/>
    </i>
    <i r="5">
      <x v="5"/>
      <x v="5897"/>
      <x/>
      <x/>
      <x/>
      <x v="7587"/>
    </i>
    <i r="5">
      <x v="13"/>
      <x v="298"/>
      <x/>
      <x/>
      <x/>
      <x v="7903"/>
    </i>
    <i r="6">
      <x v="6012"/>
      <x/>
      <x/>
      <x/>
      <x v="7940"/>
    </i>
    <i r="5">
      <x v="15"/>
      <x v="376"/>
      <x/>
      <x/>
      <x/>
      <x v="7832"/>
    </i>
    <i r="3">
      <x v="23"/>
      <x/>
      <x/>
      <x v="6442"/>
      <x/>
      <x/>
      <x/>
      <x v="7571"/>
    </i>
    <i r="6">
      <x v="7835"/>
      <x/>
      <x/>
      <x/>
      <x v="7829"/>
    </i>
    <i r="5">
      <x v="1"/>
      <x v="6450"/>
      <x/>
      <x/>
      <x/>
      <x v="7866"/>
    </i>
    <i r="6">
      <x v="6619"/>
      <x/>
      <x/>
      <x/>
      <x v="7820"/>
    </i>
    <i r="6">
      <x v="7840"/>
      <x/>
      <x/>
      <x/>
      <x v="7939"/>
    </i>
    <i r="5">
      <x v="3"/>
      <x v="2204"/>
      <x/>
      <x v="1553"/>
      <x v="1"/>
      <x v="7828"/>
    </i>
    <i r="6">
      <x v="2206"/>
      <x/>
      <x v="1554"/>
      <x v="1"/>
      <x v="7827"/>
    </i>
    <i r="6">
      <x v="2622"/>
      <x/>
      <x v="7754"/>
      <x v="1"/>
      <x v="7882"/>
    </i>
    <i r="6">
      <x v="5935"/>
      <x/>
      <x/>
      <x/>
      <x v="7883"/>
    </i>
    <i r="6">
      <x v="5937"/>
      <x/>
      <x/>
      <x/>
      <x v="7884"/>
    </i>
    <i r="6">
      <x v="7703"/>
      <x/>
      <x/>
      <x/>
      <x v="7885"/>
    </i>
    <i r="5">
      <x v="4"/>
      <x v="6933"/>
      <x/>
      <x v="7654"/>
      <x v="1"/>
      <x v="7757"/>
    </i>
    <i r="5">
      <x v="8"/>
      <x v="1347"/>
      <x/>
      <x v="7653"/>
      <x v="1"/>
      <x v="7755"/>
    </i>
    <i r="3">
      <x v="24"/>
      <x/>
      <x/>
      <x v="185"/>
      <x/>
      <x/>
      <x/>
      <x v="7902"/>
    </i>
    <i r="5">
      <x v="4"/>
      <x v="6088"/>
      <x/>
      <x/>
      <x/>
      <x v="7586"/>
    </i>
    <i r="3">
      <x v="26"/>
      <x/>
      <x/>
      <x v="2152"/>
      <x/>
      <x/>
      <x/>
      <x v="7504"/>
    </i>
    <i r="6">
      <x v="3537"/>
      <x/>
      <x/>
      <x/>
      <x v="7864"/>
    </i>
    <i r="5">
      <x v="1"/>
      <x v="6733"/>
      <x/>
      <x v="7651"/>
      <x v="1"/>
      <x v="7753"/>
    </i>
    <i r="5">
      <x v="2"/>
      <x v="3657"/>
      <x/>
      <x v="7744"/>
      <x v="1"/>
      <x v="7865"/>
    </i>
    <i r="5">
      <x v="3"/>
      <x v="5777"/>
      <x/>
      <x v="7650"/>
      <x v="1"/>
      <x v="7937"/>
    </i>
    <i r="6">
      <x v="7959"/>
      <x/>
      <x v="7687"/>
      <x v="1"/>
      <x v="7791"/>
    </i>
    <i r="5">
      <x v="4"/>
      <x v="4897"/>
      <x/>
      <x v="7514"/>
      <x v="1"/>
      <x v="7618"/>
    </i>
    <i r="6">
      <x v="4898"/>
      <x/>
      <x v="7652"/>
      <x v="1"/>
      <x v="7754"/>
    </i>
    <i r="5">
      <x v="16"/>
      <x v="6055"/>
      <x/>
      <x v="7686"/>
      <x v="1"/>
      <x v="7938"/>
    </i>
    <i r="3">
      <x v="27"/>
      <x/>
      <x v="1"/>
      <x v="6731"/>
      <x/>
      <x v="7649"/>
      <x v="1"/>
      <x v="7752"/>
    </i>
    <i r="6">
      <x v="6732"/>
      <x/>
      <x v="7648"/>
      <x v="1"/>
      <x v="7751"/>
    </i>
    <i r="5">
      <x v="11"/>
      <x v="1818"/>
      <x/>
      <x v="7685"/>
      <x v="1"/>
      <x v="7790"/>
    </i>
    <i r="3">
      <x v="28"/>
      <x/>
      <x v="1"/>
      <x v="7784"/>
      <x/>
      <x/>
      <x/>
      <x v="7819"/>
    </i>
    <i r="5">
      <x v="2"/>
      <x v="1792"/>
      <x/>
      <x/>
      <x/>
      <x v="7936"/>
    </i>
    <i r="5">
      <x v="3"/>
      <x v="7193"/>
      <x v="1"/>
      <x/>
      <x/>
      <x v="7570"/>
    </i>
    <i r="5">
      <x v="6"/>
      <x v="6383"/>
      <x v="1"/>
      <x/>
      <x/>
      <x v="7881"/>
    </i>
    <i r="3">
      <x v="40"/>
      <x/>
      <x v="33"/>
      <x v="5697"/>
      <x/>
      <x/>
      <x/>
      <x v="7967"/>
    </i>
    <i r="5">
      <x v="35"/>
      <x v="1720"/>
      <x/>
      <x/>
      <x/>
      <x v="7965"/>
    </i>
    <i r="6">
      <x v="2488"/>
      <x/>
      <x/>
      <x/>
      <x v="7913"/>
    </i>
    <i r="5">
      <x v="37"/>
      <x v="1281"/>
      <x/>
      <x/>
      <x/>
      <x v="7912"/>
    </i>
    <i r="5">
      <x v="41"/>
      <x v="5446"/>
      <x/>
      <x/>
      <x/>
      <x v="7966"/>
    </i>
    <i r="3">
      <x v="45"/>
      <x/>
      <x v="2"/>
      <x v="1494"/>
      <x/>
      <x/>
      <x/>
      <x v="7574"/>
    </i>
    <i r="3">
      <x v="58"/>
      <x/>
      <x v="3"/>
      <x v="3325"/>
      <x/>
      <x v="7461"/>
      <x v="1"/>
      <x v="7941"/>
    </i>
    <i r="3">
      <x v="60"/>
      <x/>
      <x v="2"/>
      <x v="1458"/>
      <x/>
      <x/>
      <x/>
      <x v="7838"/>
    </i>
    <i r="3">
      <x v="71"/>
      <x/>
      <x/>
      <x v="5552"/>
      <x/>
      <x/>
      <x/>
      <x v="7836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D53D20-BA30-439A-9379-53928132B317}" name="InputData" displayName="InputData" ref="A1:S180" totalsRowShown="0" headerRowCellStyle="Normal 2" dataCellStyle="Normal 2">
  <autoFilter ref="A1:S180" xr:uid="{A7D53D20-BA30-439A-9379-53928132B317}"/>
  <tableColumns count="19">
    <tableColumn id="1" xr3:uid="{6254495E-9FF8-445A-B8B2-1B9364A99F82}" name="Section" dataCellStyle="Normal 2"/>
    <tableColumn id="2" xr3:uid="{F980EB0B-A60C-4084-B6C6-EB1F747FA0AA}" name="Aviso" dataCellStyle="Normal 2"/>
    <tableColumn id="3" xr3:uid="{57D6B987-9E70-4BE9-B11C-0459C81CAD38}" name="Anunciante" dataCellStyle="Normal 2"/>
    <tableColumn id="4" xr3:uid="{4F8D2C23-34AC-458B-B24B-8A56C7E455CE}" name="Cod. Neg." dataCellStyle="Normal 2"/>
    <tableColumn id="5" xr3:uid="{5DE7B246-75F7-4306-A82F-C1351317726B}" name="Referencia" dataCellStyle="Normal 2"/>
    <tableColumn id="6" xr3:uid="{2F4D4EDB-63CE-41CB-8C4E-DFE51C1538AD}" name="Comentario" dataDxfId="6" dataCellStyle="Normal 2">
      <calculatedColumnFormula>LEFT(InputData[[#This Row],[Referencia]],32)</calculatedColumnFormula>
    </tableColumn>
    <tableColumn id="7" xr3:uid="{5FFDF64D-1217-4861-A2D4-0939D946D221}" name="Tipo de aviso" dataCellStyle="Normal 2"/>
    <tableColumn id="8" xr3:uid="{CF623147-5634-4917-8D6F-F960AF69D96E}" name="Forma de Pago" dataCellStyle="Normal 2"/>
    <tableColumn id="9" xr3:uid="{EB695523-D1D0-4F95-B7FD-DAA7ADCE9C6E}" name="Precio" dataDxfId="13" dataCellStyle="Normal 2"/>
    <tableColumn id="10" xr3:uid="{0988EDE6-36D2-4BD7-8D3E-B6BCE122A901}" name="Color" dataCellStyle="Normal 2"/>
    <tableColumn id="11" xr3:uid="{D678E7B3-44E7-4397-A0C2-46BD5F54CD57}" name="Ubic.Pretendida" dataCellStyle="Normal 2"/>
    <tableColumn id="12" xr3:uid="{DBB6A43A-7836-4EFA-8DE0-6BE0052D6FA8}" name="Ubic.Obtenida" dataCellStyle="Normal 2"/>
    <tableColumn id="13" xr3:uid="{F6A11725-6B1A-4A56-8686-4DFF567EC140}" name="Nro pag" dataDxfId="12" dataCellStyle="Normal 2"/>
    <tableColumn id="14" xr3:uid="{02006CC4-9055-49BD-AB46-6C073028FCCC}" name="Original" dataCellStyle="Normal 2"/>
    <tableColumn id="15" xr3:uid="{7C671F90-1F6F-4D16-A0FC-15ADDAB7C98E}" name="Col" dataDxfId="11" dataCellStyle="Normal 2"/>
    <tableColumn id="16" xr3:uid="{6D263D85-FE56-4CDC-A606-4CC696EF4210}" name="AltoCm" dataDxfId="10" dataCellStyle="Normal 2"/>
    <tableColumn id="17" xr3:uid="{CDF54E2C-F94A-432C-967F-E77CA2FA1AD9}" name="Evaluate Location" dataDxfId="9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39E2908F-C0C5-476D-9113-06DD496B62B8}" name="Alto" dataDxfId="8" dataCellStyle="Normal 2">
      <calculatedColumnFormula>ROUND(InputData[[#This Row],[AltoCm]],0)</calculatedColumnFormula>
    </tableColumn>
    <tableColumn id="19" xr3:uid="{3C1F6452-1124-4137-981F-0D1ADF1E8D93}" name="Medida" dataDxfId="7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5DC48-05B6-466B-9CD6-6BB7EA85AFA6}">
  <dimension ref="A1:S180"/>
  <sheetViews>
    <sheetView showOutlineSymbols="0" workbookViewId="0">
      <selection activeCell="F3" sqref="F3"/>
    </sheetView>
  </sheetViews>
  <sheetFormatPr baseColWidth="10" defaultRowHeight="12.75" customHeight="1" x14ac:dyDescent="0.2"/>
  <cols>
    <col min="1" max="1" width="11.42578125" style="25"/>
    <col min="2" max="2" width="8" style="25" customWidth="1"/>
    <col min="3" max="3" width="13.42578125" style="25" customWidth="1"/>
    <col min="4" max="4" width="12" style="25" customWidth="1"/>
    <col min="5" max="5" width="13" style="25" customWidth="1"/>
    <col min="6" max="6" width="13.7109375" style="25" customWidth="1"/>
    <col min="7" max="7" width="15.28515625" style="25" customWidth="1"/>
    <col min="8" max="8" width="17.140625" style="25" customWidth="1"/>
    <col min="9" max="9" width="9" style="25" customWidth="1"/>
    <col min="10" max="10" width="8" style="25" customWidth="1"/>
    <col min="11" max="11" width="17.7109375" style="25" customWidth="1"/>
    <col min="12" max="12" width="16" style="25" customWidth="1"/>
    <col min="13" max="13" width="10.28515625" style="25" customWidth="1"/>
    <col min="14" max="14" width="10.42578125" style="25" customWidth="1"/>
    <col min="15" max="15" width="6.85546875" style="25" customWidth="1"/>
    <col min="16" max="16" width="9.7109375" style="25" customWidth="1"/>
    <col min="17" max="19" width="12.28515625" style="25" customWidth="1"/>
    <col min="20" max="16384" width="6.85546875" style="25" customWidth="1"/>
  </cols>
  <sheetData>
    <row r="1" spans="1:19" x14ac:dyDescent="0.2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</row>
    <row r="2" spans="1:19" x14ac:dyDescent="0.2">
      <c r="A2" s="25" t="s">
        <v>19</v>
      </c>
      <c r="B2" s="25" t="s">
        <v>357</v>
      </c>
      <c r="C2" s="25" t="s">
        <v>152</v>
      </c>
      <c r="E2" s="25" t="s">
        <v>358</v>
      </c>
      <c r="F2" s="25" t="str">
        <f>LEFT(InputData[[#This Row],[Referencia]],32)</f>
        <v>SEX  SHOP RINDA MAS Necochea 338</v>
      </c>
      <c r="G2" s="25" t="s">
        <v>359</v>
      </c>
      <c r="H2" s="25" t="s">
        <v>22</v>
      </c>
      <c r="I2" s="27">
        <v>193.87766666666667</v>
      </c>
      <c r="J2" s="25" t="s">
        <v>9</v>
      </c>
      <c r="K2" s="25" t="s">
        <v>360</v>
      </c>
      <c r="M2" s="28">
        <v>0</v>
      </c>
      <c r="N2" s="25" t="s">
        <v>21</v>
      </c>
      <c r="O2" s="26">
        <v>1</v>
      </c>
      <c r="P2" s="29">
        <v>5.0000000012500001</v>
      </c>
      <c r="Q2" s="25" t="str">
        <f>EVALUATE_LOCATION(InputData[[#This Row],[Section]],InputData[[#This Row],[Forma de Pago]],InputData[[#This Row],[Ubic.Pretendida]],InputData[[#This Row],[Nro pag]])</f>
        <v xml:space="preserve"> </v>
      </c>
      <c r="R2" s="25">
        <f>ROUND(InputData[[#This Row],[AltoCm]],0)</f>
        <v>5</v>
      </c>
      <c r="S2" s="25" t="str">
        <f>InputData[[#This Row],[Col]]&amp;"x"&amp;IF(LEN(InputData[[#This Row],[Alto]])=2,InputData[[#This Row],[Alto]],"0"&amp;InputData[[#This Row],[Alto]])</f>
        <v>1x05</v>
      </c>
    </row>
    <row r="3" spans="1:19" x14ac:dyDescent="0.2">
      <c r="A3" s="25" t="s">
        <v>19</v>
      </c>
      <c r="B3" s="25" t="s">
        <v>361</v>
      </c>
      <c r="C3" s="25" t="s">
        <v>362</v>
      </c>
      <c r="E3" s="25" t="s">
        <v>363</v>
      </c>
      <c r="F3" s="25" t="str">
        <f>LEFT(InputData[[#This Row],[Referencia]],32)</f>
        <v>VENDO HIDROLAVADORA NUEVA a expl</v>
      </c>
      <c r="G3" s="25" t="s">
        <v>359</v>
      </c>
      <c r="H3" s="25" t="s">
        <v>22</v>
      </c>
      <c r="I3" s="27">
        <v>92.322857142857146</v>
      </c>
      <c r="J3" s="25" t="s">
        <v>50</v>
      </c>
      <c r="K3" s="25" t="s">
        <v>360</v>
      </c>
      <c r="M3" s="28">
        <v>0</v>
      </c>
      <c r="N3" s="25" t="s">
        <v>21</v>
      </c>
      <c r="O3" s="26">
        <v>1</v>
      </c>
      <c r="P3" s="29">
        <v>3.0000000007500001</v>
      </c>
      <c r="Q3" s="25" t="str">
        <f>EVALUATE_LOCATION(InputData[[#This Row],[Section]],InputData[[#This Row],[Forma de Pago]],InputData[[#This Row],[Ubic.Pretendida]],InputData[[#This Row],[Nro pag]])</f>
        <v xml:space="preserve"> </v>
      </c>
      <c r="R3" s="25">
        <f>ROUND(InputData[[#This Row],[AltoCm]],0)</f>
        <v>3</v>
      </c>
      <c r="S3" s="25" t="str">
        <f>InputData[[#This Row],[Col]]&amp;"x"&amp;IF(LEN(InputData[[#This Row],[Alto]])=2,InputData[[#This Row],[Alto]],"0"&amp;InputData[[#This Row],[Alto]])</f>
        <v>1x03</v>
      </c>
    </row>
    <row r="4" spans="1:19" x14ac:dyDescent="0.2">
      <c r="A4" s="25" t="s">
        <v>19</v>
      </c>
      <c r="B4" s="25" t="s">
        <v>364</v>
      </c>
      <c r="C4" s="25" t="s">
        <v>365</v>
      </c>
      <c r="E4" s="25" t="s">
        <v>366</v>
      </c>
      <c r="F4" s="25" t="str">
        <f>LEFT(InputData[[#This Row],[Referencia]],32)</f>
        <v xml:space="preserve">NUEVA DIRECCION - (logo GABIOTA </v>
      </c>
      <c r="G4" s="25" t="s">
        <v>359</v>
      </c>
      <c r="H4" s="25" t="s">
        <v>22</v>
      </c>
      <c r="I4" s="27">
        <v>241.27</v>
      </c>
      <c r="J4" s="25" t="s">
        <v>9</v>
      </c>
      <c r="K4" s="25" t="s">
        <v>360</v>
      </c>
      <c r="M4" s="28">
        <v>0</v>
      </c>
      <c r="N4" s="25" t="s">
        <v>21</v>
      </c>
      <c r="O4" s="26">
        <v>1</v>
      </c>
      <c r="P4" s="29">
        <v>7.9999999984722239</v>
      </c>
      <c r="Q4" s="25" t="str">
        <f>EVALUATE_LOCATION(InputData[[#This Row],[Section]],InputData[[#This Row],[Forma de Pago]],InputData[[#This Row],[Ubic.Pretendida]],InputData[[#This Row],[Nro pag]])</f>
        <v xml:space="preserve"> </v>
      </c>
      <c r="R4" s="25">
        <f>ROUND(InputData[[#This Row],[AltoCm]],0)</f>
        <v>8</v>
      </c>
      <c r="S4" s="25" t="str">
        <f>InputData[[#This Row],[Col]]&amp;"x"&amp;IF(LEN(InputData[[#This Row],[Alto]])=2,InputData[[#This Row],[Alto]],"0"&amp;InputData[[#This Row],[Alto]])</f>
        <v>1x08</v>
      </c>
    </row>
    <row r="5" spans="1:19" x14ac:dyDescent="0.2">
      <c r="A5" s="25" t="s">
        <v>19</v>
      </c>
      <c r="B5" s="25" t="s">
        <v>367</v>
      </c>
      <c r="C5" s="25" t="s">
        <v>368</v>
      </c>
      <c r="E5" s="25" t="s">
        <v>369</v>
      </c>
      <c r="F5" s="25" t="str">
        <f>LEFT(InputData[[#This Row],[Referencia]],32)</f>
        <v>ATENCIÓN VENDO  *BOLSAS de 50 Kg</v>
      </c>
      <c r="G5" s="25" t="s">
        <v>359</v>
      </c>
      <c r="H5" s="25" t="s">
        <v>22</v>
      </c>
      <c r="I5" s="27">
        <v>120.63500000000001</v>
      </c>
      <c r="J5" s="25" t="s">
        <v>50</v>
      </c>
      <c r="K5" s="25" t="s">
        <v>360</v>
      </c>
      <c r="M5" s="28">
        <v>0</v>
      </c>
      <c r="N5" s="25" t="s">
        <v>21</v>
      </c>
      <c r="O5" s="26">
        <v>1</v>
      </c>
      <c r="P5" s="29">
        <v>4.0000000010000001</v>
      </c>
      <c r="Q5" s="25" t="str">
        <f>EVALUATE_LOCATION(InputData[[#This Row],[Section]],InputData[[#This Row],[Forma de Pago]],InputData[[#This Row],[Ubic.Pretendida]],InputData[[#This Row],[Nro pag]])</f>
        <v xml:space="preserve"> </v>
      </c>
      <c r="R5" s="25">
        <f>ROUND(InputData[[#This Row],[AltoCm]],0)</f>
        <v>4</v>
      </c>
      <c r="S5" s="25" t="str">
        <f>InputData[[#This Row],[Col]]&amp;"x"&amp;IF(LEN(InputData[[#This Row],[Alto]])=2,InputData[[#This Row],[Alto]],"0"&amp;InputData[[#This Row],[Alto]])</f>
        <v>1x04</v>
      </c>
    </row>
    <row r="6" spans="1:19" x14ac:dyDescent="0.2">
      <c r="A6" s="25" t="s">
        <v>19</v>
      </c>
      <c r="B6" s="25" t="s">
        <v>370</v>
      </c>
      <c r="C6" s="25" t="s">
        <v>371</v>
      </c>
      <c r="D6" s="25" t="s">
        <v>372</v>
      </c>
      <c r="E6" s="25" t="s">
        <v>373</v>
      </c>
      <c r="F6" s="25" t="str">
        <f>LEFT(InputData[[#This Row],[Referencia]],32)</f>
        <v>PRODUGAS TALLER LEDESMA</v>
      </c>
      <c r="G6" s="25" t="s">
        <v>359</v>
      </c>
      <c r="H6" s="25" t="s">
        <v>20</v>
      </c>
      <c r="I6" s="27">
        <v>90.476333333333329</v>
      </c>
      <c r="J6" s="25" t="s">
        <v>50</v>
      </c>
      <c r="K6" s="25" t="s">
        <v>374</v>
      </c>
      <c r="M6" s="28">
        <v>0</v>
      </c>
      <c r="N6" s="25" t="s">
        <v>21</v>
      </c>
      <c r="O6" s="26">
        <v>1</v>
      </c>
      <c r="P6" s="29">
        <v>3.0000000007500001</v>
      </c>
      <c r="Q6" s="25" t="str">
        <f>EVALUATE_LOCATION(InputData[[#This Row],[Section]],InputData[[#This Row],[Forma de Pago]],InputData[[#This Row],[Ubic.Pretendida]],InputData[[#This Row],[Nro pag]])</f>
        <v xml:space="preserve"> </v>
      </c>
      <c r="R6" s="25">
        <f>ROUND(InputData[[#This Row],[AltoCm]],0)</f>
        <v>3</v>
      </c>
      <c r="S6" s="25" t="str">
        <f>InputData[[#This Row],[Col]]&amp;"x"&amp;IF(LEN(InputData[[#This Row],[Alto]])=2,InputData[[#This Row],[Alto]],"0"&amp;InputData[[#This Row],[Alto]])</f>
        <v>1x03</v>
      </c>
    </row>
    <row r="7" spans="1:19" x14ac:dyDescent="0.2">
      <c r="A7" s="25" t="s">
        <v>19</v>
      </c>
      <c r="B7" s="25" t="s">
        <v>375</v>
      </c>
      <c r="C7" s="25" t="s">
        <v>371</v>
      </c>
      <c r="D7" s="25" t="s">
        <v>376</v>
      </c>
      <c r="E7" s="25" t="s">
        <v>377</v>
      </c>
      <c r="F7" s="25" t="str">
        <f>LEFT(InputData[[#This Row],[Referencia]],32)</f>
        <v>PRODUGAS OFERTA DE ESTE MES</v>
      </c>
      <c r="G7" s="25" t="s">
        <v>359</v>
      </c>
      <c r="H7" s="25" t="s">
        <v>20</v>
      </c>
      <c r="I7" s="27">
        <v>90.476333333333329</v>
      </c>
      <c r="J7" s="25" t="s">
        <v>50</v>
      </c>
      <c r="K7" s="25" t="s">
        <v>374</v>
      </c>
      <c r="M7" s="28">
        <v>0</v>
      </c>
      <c r="N7" s="25" t="s">
        <v>21</v>
      </c>
      <c r="O7" s="26">
        <v>1</v>
      </c>
      <c r="P7" s="29">
        <v>3.0000000007500001</v>
      </c>
      <c r="Q7" s="25" t="str">
        <f>EVALUATE_LOCATION(InputData[[#This Row],[Section]],InputData[[#This Row],[Forma de Pago]],InputData[[#This Row],[Ubic.Pretendida]],InputData[[#This Row],[Nro pag]])</f>
        <v xml:space="preserve"> </v>
      </c>
      <c r="R7" s="25">
        <f>ROUND(InputData[[#This Row],[AltoCm]],0)</f>
        <v>3</v>
      </c>
      <c r="S7" s="25" t="str">
        <f>InputData[[#This Row],[Col]]&amp;"x"&amp;IF(LEN(InputData[[#This Row],[Alto]])=2,InputData[[#This Row],[Alto]],"0"&amp;InputData[[#This Row],[Alto]])</f>
        <v>1x03</v>
      </c>
    </row>
    <row r="8" spans="1:19" x14ac:dyDescent="0.2">
      <c r="A8" s="25" t="s">
        <v>19</v>
      </c>
      <c r="B8" s="25" t="s">
        <v>378</v>
      </c>
      <c r="C8" s="25" t="s">
        <v>379</v>
      </c>
      <c r="D8" s="25" t="s">
        <v>380</v>
      </c>
      <c r="E8" s="25" t="s">
        <v>381</v>
      </c>
      <c r="F8" s="25" t="str">
        <f>LEFT(InputData[[#This Row],[Referencia]],32)</f>
        <v>AUTOMOTORES PEREZ</v>
      </c>
      <c r="G8" s="25" t="s">
        <v>359</v>
      </c>
      <c r="H8" s="25" t="s">
        <v>20</v>
      </c>
      <c r="I8" s="27">
        <v>395.35882352941178</v>
      </c>
      <c r="J8" s="25" t="s">
        <v>50</v>
      </c>
      <c r="K8" s="25" t="s">
        <v>374</v>
      </c>
      <c r="M8" s="28">
        <v>0</v>
      </c>
      <c r="N8" s="25" t="s">
        <v>21</v>
      </c>
      <c r="O8" s="26">
        <v>1</v>
      </c>
      <c r="P8" s="29">
        <v>12.999999999722222</v>
      </c>
      <c r="Q8" s="25" t="str">
        <f>EVALUATE_LOCATION(InputData[[#This Row],[Section]],InputData[[#This Row],[Forma de Pago]],InputData[[#This Row],[Ubic.Pretendida]],InputData[[#This Row],[Nro pag]])</f>
        <v xml:space="preserve"> </v>
      </c>
      <c r="R8" s="25">
        <f>ROUND(InputData[[#This Row],[AltoCm]],0)</f>
        <v>13</v>
      </c>
      <c r="S8" s="25" t="str">
        <f>InputData[[#This Row],[Col]]&amp;"x"&amp;IF(LEN(InputData[[#This Row],[Alto]])=2,InputData[[#This Row],[Alto]],"0"&amp;InputData[[#This Row],[Alto]])</f>
        <v>1x13</v>
      </c>
    </row>
    <row r="9" spans="1:19" x14ac:dyDescent="0.2">
      <c r="A9" s="25" t="s">
        <v>19</v>
      </c>
      <c r="B9" s="25" t="s">
        <v>382</v>
      </c>
      <c r="C9" s="25" t="s">
        <v>383</v>
      </c>
      <c r="E9" s="25" t="s">
        <v>384</v>
      </c>
      <c r="F9" s="25" t="str">
        <f>LEFT(InputData[[#This Row],[Referencia]],32)</f>
        <v>BUSCO LICENCIA TAXI AMARILLO, P/</v>
      </c>
      <c r="G9" s="25" t="s">
        <v>359</v>
      </c>
      <c r="H9" s="25" t="s">
        <v>22</v>
      </c>
      <c r="I9" s="27">
        <v>43.083999999999996</v>
      </c>
      <c r="J9" s="25" t="s">
        <v>50</v>
      </c>
      <c r="K9" s="25" t="s">
        <v>385</v>
      </c>
      <c r="M9" s="28">
        <v>0</v>
      </c>
      <c r="N9" s="25" t="s">
        <v>21</v>
      </c>
      <c r="O9" s="26">
        <v>1</v>
      </c>
      <c r="P9" s="29">
        <v>2.0000000005</v>
      </c>
      <c r="Q9" s="25" t="str">
        <f>EVALUATE_LOCATION(InputData[[#This Row],[Section]],InputData[[#This Row],[Forma de Pago]],InputData[[#This Row],[Ubic.Pretendida]],InputData[[#This Row],[Nro pag]])</f>
        <v xml:space="preserve"> </v>
      </c>
      <c r="R9" s="25">
        <f>ROUND(InputData[[#This Row],[AltoCm]],0)</f>
        <v>2</v>
      </c>
      <c r="S9" s="25" t="str">
        <f>InputData[[#This Row],[Col]]&amp;"x"&amp;IF(LEN(InputData[[#This Row],[Alto]])=2,InputData[[#This Row],[Alto]],"0"&amp;InputData[[#This Row],[Alto]])</f>
        <v>1x02</v>
      </c>
    </row>
    <row r="10" spans="1:19" x14ac:dyDescent="0.2">
      <c r="A10" s="25" t="s">
        <v>19</v>
      </c>
      <c r="B10" s="25" t="s">
        <v>386</v>
      </c>
      <c r="C10" s="25" t="s">
        <v>387</v>
      </c>
      <c r="D10" s="25" t="s">
        <v>388</v>
      </c>
      <c r="E10" s="25" t="s">
        <v>389</v>
      </c>
      <c r="F10" s="25" t="str">
        <f>LEFT(InputData[[#This Row],[Referencia]],32)</f>
        <v>GNC MINUTO</v>
      </c>
      <c r="G10" s="25" t="s">
        <v>359</v>
      </c>
      <c r="H10" s="25" t="s">
        <v>20</v>
      </c>
      <c r="I10" s="27">
        <v>180.95266666666666</v>
      </c>
      <c r="J10" s="25" t="s">
        <v>50</v>
      </c>
      <c r="K10" s="25" t="s">
        <v>385</v>
      </c>
      <c r="M10" s="28">
        <v>0</v>
      </c>
      <c r="N10" s="25" t="s">
        <v>21</v>
      </c>
      <c r="O10" s="26">
        <v>1</v>
      </c>
      <c r="P10" s="29">
        <v>6.0000000015000001</v>
      </c>
      <c r="Q10" s="25" t="str">
        <f>EVALUATE_LOCATION(InputData[[#This Row],[Section]],InputData[[#This Row],[Forma de Pago]],InputData[[#This Row],[Ubic.Pretendida]],InputData[[#This Row],[Nro pag]])</f>
        <v xml:space="preserve"> </v>
      </c>
      <c r="R10" s="25">
        <f>ROUND(InputData[[#This Row],[AltoCm]],0)</f>
        <v>6</v>
      </c>
      <c r="S10" s="25" t="str">
        <f>InputData[[#This Row],[Col]]&amp;"x"&amp;IF(LEN(InputData[[#This Row],[Alto]])=2,InputData[[#This Row],[Alto]],"0"&amp;InputData[[#This Row],[Alto]])</f>
        <v>1x06</v>
      </c>
    </row>
    <row r="11" spans="1:19" x14ac:dyDescent="0.2">
      <c r="A11" s="25" t="s">
        <v>19</v>
      </c>
      <c r="B11" s="25" t="s">
        <v>390</v>
      </c>
      <c r="C11" s="25" t="s">
        <v>391</v>
      </c>
      <c r="D11" s="25" t="s">
        <v>392</v>
      </c>
      <c r="E11" s="25" t="s">
        <v>393</v>
      </c>
      <c r="F11" s="25" t="str">
        <f>LEFT(InputData[[#This Row],[Referencia]],32)</f>
        <v>LCB POLARIZADOS ...</v>
      </c>
      <c r="G11" s="25" t="s">
        <v>359</v>
      </c>
      <c r="H11" s="25" t="s">
        <v>20</v>
      </c>
      <c r="I11" s="27">
        <v>161.565</v>
      </c>
      <c r="J11" s="25" t="s">
        <v>50</v>
      </c>
      <c r="K11" s="25" t="s">
        <v>385</v>
      </c>
      <c r="M11" s="28">
        <v>0</v>
      </c>
      <c r="N11" s="25" t="s">
        <v>21</v>
      </c>
      <c r="O11" s="26">
        <v>1</v>
      </c>
      <c r="P11" s="29">
        <v>5.0000000012500001</v>
      </c>
      <c r="Q11" s="25" t="str">
        <f>EVALUATE_LOCATION(InputData[[#This Row],[Section]],InputData[[#This Row],[Forma de Pago]],InputData[[#This Row],[Ubic.Pretendida]],InputData[[#This Row],[Nro pag]])</f>
        <v xml:space="preserve"> </v>
      </c>
      <c r="R11" s="25">
        <f>ROUND(InputData[[#This Row],[AltoCm]],0)</f>
        <v>5</v>
      </c>
      <c r="S11" s="25" t="str">
        <f>InputData[[#This Row],[Col]]&amp;"x"&amp;IF(LEN(InputData[[#This Row],[Alto]])=2,InputData[[#This Row],[Alto]],"0"&amp;InputData[[#This Row],[Alto]])</f>
        <v>1x05</v>
      </c>
    </row>
    <row r="12" spans="1:19" x14ac:dyDescent="0.2">
      <c r="A12" s="25" t="s">
        <v>19</v>
      </c>
      <c r="B12" s="25" t="s">
        <v>394</v>
      </c>
      <c r="C12" s="25" t="s">
        <v>371</v>
      </c>
      <c r="D12" s="25" t="s">
        <v>395</v>
      </c>
      <c r="E12" s="25" t="s">
        <v>396</v>
      </c>
      <c r="F12" s="25" t="str">
        <f>LEFT(InputData[[#This Row],[Referencia]],32)</f>
        <v>PRODUGAS TALLER PERICO</v>
      </c>
      <c r="G12" s="25" t="s">
        <v>359</v>
      </c>
      <c r="H12" s="25" t="s">
        <v>20</v>
      </c>
      <c r="I12" s="27">
        <v>90.476333333333329</v>
      </c>
      <c r="J12" s="25" t="s">
        <v>50</v>
      </c>
      <c r="K12" s="25" t="s">
        <v>385</v>
      </c>
      <c r="M12" s="28">
        <v>0</v>
      </c>
      <c r="N12" s="25" t="s">
        <v>21</v>
      </c>
      <c r="O12" s="26">
        <v>1</v>
      </c>
      <c r="P12" s="29">
        <v>3.0000000007500001</v>
      </c>
      <c r="Q12" s="25" t="str">
        <f>EVALUATE_LOCATION(InputData[[#This Row],[Section]],InputData[[#This Row],[Forma de Pago]],InputData[[#This Row],[Ubic.Pretendida]],InputData[[#This Row],[Nro pag]])</f>
        <v xml:space="preserve"> </v>
      </c>
      <c r="R12" s="25">
        <f>ROUND(InputData[[#This Row],[AltoCm]],0)</f>
        <v>3</v>
      </c>
      <c r="S12" s="25" t="str">
        <f>InputData[[#This Row],[Col]]&amp;"x"&amp;IF(LEN(InputData[[#This Row],[Alto]])=2,InputData[[#This Row],[Alto]],"0"&amp;InputData[[#This Row],[Alto]])</f>
        <v>1x03</v>
      </c>
    </row>
    <row r="13" spans="1:19" x14ac:dyDescent="0.2">
      <c r="A13" s="25" t="s">
        <v>19</v>
      </c>
      <c r="B13" s="25" t="s">
        <v>397</v>
      </c>
      <c r="C13" s="25" t="s">
        <v>398</v>
      </c>
      <c r="D13" s="25" t="s">
        <v>399</v>
      </c>
      <c r="E13" s="25" t="s">
        <v>400</v>
      </c>
      <c r="F13" s="25" t="str">
        <f>LEFT(InputData[[#This Row],[Referencia]],32)</f>
        <v>GNC MYN GRAN PROMOCION...</v>
      </c>
      <c r="G13" s="25" t="s">
        <v>359</v>
      </c>
      <c r="H13" s="25" t="s">
        <v>20</v>
      </c>
      <c r="I13" s="27">
        <v>180.95266666666666</v>
      </c>
      <c r="J13" s="25" t="s">
        <v>50</v>
      </c>
      <c r="K13" s="25" t="s">
        <v>385</v>
      </c>
      <c r="M13" s="28">
        <v>0</v>
      </c>
      <c r="N13" s="25" t="s">
        <v>21</v>
      </c>
      <c r="O13" s="26">
        <v>1</v>
      </c>
      <c r="P13" s="29">
        <v>6.0000000015000001</v>
      </c>
      <c r="Q13" s="25" t="str">
        <f>EVALUATE_LOCATION(InputData[[#This Row],[Section]],InputData[[#This Row],[Forma de Pago]],InputData[[#This Row],[Ubic.Pretendida]],InputData[[#This Row],[Nro pag]])</f>
        <v xml:space="preserve"> </v>
      </c>
      <c r="R13" s="25">
        <f>ROUND(InputData[[#This Row],[AltoCm]],0)</f>
        <v>6</v>
      </c>
      <c r="S13" s="25" t="str">
        <f>InputData[[#This Row],[Col]]&amp;"x"&amp;IF(LEN(InputData[[#This Row],[Alto]])=2,InputData[[#This Row],[Alto]],"0"&amp;InputData[[#This Row],[Alto]])</f>
        <v>1x06</v>
      </c>
    </row>
    <row r="14" spans="1:19" x14ac:dyDescent="0.2">
      <c r="A14" s="25" t="s">
        <v>19</v>
      </c>
      <c r="B14" s="25" t="s">
        <v>401</v>
      </c>
      <c r="C14" s="25" t="s">
        <v>402</v>
      </c>
      <c r="D14" s="25" t="s">
        <v>403</v>
      </c>
      <c r="E14" s="25" t="s">
        <v>404</v>
      </c>
      <c r="F14" s="25" t="str">
        <f>LEFT(InputData[[#This Row],[Referencia]],32)</f>
        <v>MARKAS</v>
      </c>
      <c r="G14" s="25" t="s">
        <v>359</v>
      </c>
      <c r="H14" s="25" t="s">
        <v>20</v>
      </c>
      <c r="I14" s="27">
        <v>707.87352941176482</v>
      </c>
      <c r="J14" s="25" t="s">
        <v>50</v>
      </c>
      <c r="K14" s="25" t="s">
        <v>385</v>
      </c>
      <c r="M14" s="28">
        <v>0</v>
      </c>
      <c r="N14" s="25" t="s">
        <v>21</v>
      </c>
      <c r="O14" s="26">
        <v>1</v>
      </c>
      <c r="P14" s="29">
        <v>18.000000000972221</v>
      </c>
      <c r="Q14" s="25" t="str">
        <f>EVALUATE_LOCATION(InputData[[#This Row],[Section]],InputData[[#This Row],[Forma de Pago]],InputData[[#This Row],[Ubic.Pretendida]],InputData[[#This Row],[Nro pag]])</f>
        <v xml:space="preserve"> </v>
      </c>
      <c r="R14" s="25">
        <f>ROUND(InputData[[#This Row],[AltoCm]],0)</f>
        <v>18</v>
      </c>
      <c r="S14" s="25" t="str">
        <f>InputData[[#This Row],[Col]]&amp;"x"&amp;IF(LEN(InputData[[#This Row],[Alto]])=2,InputData[[#This Row],[Alto]],"0"&amp;InputData[[#This Row],[Alto]])</f>
        <v>1x18</v>
      </c>
    </row>
    <row r="15" spans="1:19" x14ac:dyDescent="0.2">
      <c r="A15" s="25" t="s">
        <v>19</v>
      </c>
      <c r="B15" s="25" t="s">
        <v>405</v>
      </c>
      <c r="C15" s="25" t="s">
        <v>406</v>
      </c>
      <c r="D15" s="25" t="s">
        <v>407</v>
      </c>
      <c r="E15" s="25" t="s">
        <v>408</v>
      </c>
      <c r="F15" s="25" t="str">
        <f>LEFT(InputData[[#This Row],[Referencia]],32)</f>
        <v>XTREME NEUMATICOS</v>
      </c>
      <c r="G15" s="25" t="s">
        <v>359</v>
      </c>
      <c r="H15" s="25" t="s">
        <v>20</v>
      </c>
      <c r="I15" s="27">
        <v>164.7329411764706</v>
      </c>
      <c r="J15" s="25" t="s">
        <v>50</v>
      </c>
      <c r="K15" s="25" t="s">
        <v>385</v>
      </c>
      <c r="M15" s="28">
        <v>0</v>
      </c>
      <c r="N15" s="25" t="s">
        <v>21</v>
      </c>
      <c r="O15" s="26">
        <v>1</v>
      </c>
      <c r="P15" s="29">
        <v>5.0000000012500001</v>
      </c>
      <c r="Q15" s="25" t="str">
        <f>EVALUATE_LOCATION(InputData[[#This Row],[Section]],InputData[[#This Row],[Forma de Pago]],InputData[[#This Row],[Ubic.Pretendida]],InputData[[#This Row],[Nro pag]])</f>
        <v xml:space="preserve"> </v>
      </c>
      <c r="R15" s="25">
        <f>ROUND(InputData[[#This Row],[AltoCm]],0)</f>
        <v>5</v>
      </c>
      <c r="S15" s="25" t="str">
        <f>InputData[[#This Row],[Col]]&amp;"x"&amp;IF(LEN(InputData[[#This Row],[Alto]])=2,InputData[[#This Row],[Alto]],"0"&amp;InputData[[#This Row],[Alto]])</f>
        <v>1x05</v>
      </c>
    </row>
    <row r="16" spans="1:19" x14ac:dyDescent="0.2">
      <c r="A16" s="25" t="s">
        <v>19</v>
      </c>
      <c r="B16" s="25" t="s">
        <v>409</v>
      </c>
      <c r="C16" s="25" t="s">
        <v>410</v>
      </c>
      <c r="E16" s="25" t="s">
        <v>411</v>
      </c>
      <c r="F16" s="25" t="str">
        <f>LEFT(InputData[[#This Row],[Referencia]],32)</f>
        <v xml:space="preserve">DUEÑO VENDE  ECOSPORT SE 0 km.  </v>
      </c>
      <c r="G16" s="25" t="s">
        <v>359</v>
      </c>
      <c r="H16" s="25" t="s">
        <v>22</v>
      </c>
      <c r="I16" s="27">
        <v>60.318000000000005</v>
      </c>
      <c r="J16" s="25" t="s">
        <v>50</v>
      </c>
      <c r="K16" s="25" t="s">
        <v>385</v>
      </c>
      <c r="M16" s="28">
        <v>0</v>
      </c>
      <c r="N16" s="25" t="s">
        <v>21</v>
      </c>
      <c r="O16" s="26">
        <v>1</v>
      </c>
      <c r="P16" s="29">
        <v>2.0000000005</v>
      </c>
      <c r="Q16" s="25" t="str">
        <f>EVALUATE_LOCATION(InputData[[#This Row],[Section]],InputData[[#This Row],[Forma de Pago]],InputData[[#This Row],[Ubic.Pretendida]],InputData[[#This Row],[Nro pag]])</f>
        <v xml:space="preserve"> </v>
      </c>
      <c r="R16" s="25">
        <f>ROUND(InputData[[#This Row],[AltoCm]],0)</f>
        <v>2</v>
      </c>
      <c r="S16" s="25" t="str">
        <f>InputData[[#This Row],[Col]]&amp;"x"&amp;IF(LEN(InputData[[#This Row],[Alto]])=2,InputData[[#This Row],[Alto]],"0"&amp;InputData[[#This Row],[Alto]])</f>
        <v>1x02</v>
      </c>
    </row>
    <row r="17" spans="1:19" x14ac:dyDescent="0.2">
      <c r="A17" s="25" t="s">
        <v>19</v>
      </c>
      <c r="B17" s="25" t="s">
        <v>412</v>
      </c>
      <c r="C17" s="25" t="s">
        <v>413</v>
      </c>
      <c r="D17" s="25" t="s">
        <v>414</v>
      </c>
      <c r="E17" s="25" t="s">
        <v>415</v>
      </c>
      <c r="F17" s="25" t="str">
        <f>LEFT(InputData[[#This Row],[Referencia]],32)</f>
        <v>ECOSPORT TITANIUM 1.6</v>
      </c>
      <c r="G17" s="25" t="s">
        <v>359</v>
      </c>
      <c r="H17" s="25" t="s">
        <v>20</v>
      </c>
      <c r="I17" s="27">
        <v>123.09714285714287</v>
      </c>
      <c r="J17" s="25" t="s">
        <v>50</v>
      </c>
      <c r="K17" s="25" t="s">
        <v>385</v>
      </c>
      <c r="M17" s="28">
        <v>0</v>
      </c>
      <c r="N17" s="25" t="s">
        <v>21</v>
      </c>
      <c r="O17" s="26">
        <v>1</v>
      </c>
      <c r="P17" s="29">
        <v>4.0000000010000001</v>
      </c>
      <c r="Q17" s="25" t="str">
        <f>EVALUATE_LOCATION(InputData[[#This Row],[Section]],InputData[[#This Row],[Forma de Pago]],InputData[[#This Row],[Ubic.Pretendida]],InputData[[#This Row],[Nro pag]])</f>
        <v xml:space="preserve"> </v>
      </c>
      <c r="R17" s="25">
        <f>ROUND(InputData[[#This Row],[AltoCm]],0)</f>
        <v>4</v>
      </c>
      <c r="S17" s="25" t="str">
        <f>InputData[[#This Row],[Col]]&amp;"x"&amp;IF(LEN(InputData[[#This Row],[Alto]])=2,InputData[[#This Row],[Alto]],"0"&amp;InputData[[#This Row],[Alto]])</f>
        <v>1x04</v>
      </c>
    </row>
    <row r="18" spans="1:19" x14ac:dyDescent="0.2">
      <c r="A18" s="25" t="s">
        <v>19</v>
      </c>
      <c r="B18" s="25" t="s">
        <v>416</v>
      </c>
      <c r="C18" s="25" t="s">
        <v>417</v>
      </c>
      <c r="E18" s="25" t="s">
        <v>418</v>
      </c>
      <c r="F18" s="25" t="str">
        <f>LEFT(InputData[[#This Row],[Referencia]],32)</f>
        <v>MARTILLERO LÓPEZ  * COMPRAS * VE</v>
      </c>
      <c r="G18" s="25" t="s">
        <v>359</v>
      </c>
      <c r="H18" s="25" t="s">
        <v>22</v>
      </c>
      <c r="I18" s="27">
        <v>180.95266666666666</v>
      </c>
      <c r="J18" s="25" t="s">
        <v>50</v>
      </c>
      <c r="K18" s="25" t="s">
        <v>419</v>
      </c>
      <c r="M18" s="28">
        <v>0</v>
      </c>
      <c r="N18" s="25" t="s">
        <v>21</v>
      </c>
      <c r="O18" s="26">
        <v>1</v>
      </c>
      <c r="P18" s="29">
        <v>6.0000000015000001</v>
      </c>
      <c r="Q18" s="25" t="str">
        <f>EVALUATE_LOCATION(InputData[[#This Row],[Section]],InputData[[#This Row],[Forma de Pago]],InputData[[#This Row],[Ubic.Pretendida]],InputData[[#This Row],[Nro pag]])</f>
        <v xml:space="preserve"> </v>
      </c>
      <c r="R18" s="25">
        <f>ROUND(InputData[[#This Row],[AltoCm]],0)</f>
        <v>6</v>
      </c>
      <c r="S18" s="25" t="str">
        <f>InputData[[#This Row],[Col]]&amp;"x"&amp;IF(LEN(InputData[[#This Row],[Alto]])=2,InputData[[#This Row],[Alto]],"0"&amp;InputData[[#This Row],[Alto]])</f>
        <v>1x06</v>
      </c>
    </row>
    <row r="19" spans="1:19" x14ac:dyDescent="0.2">
      <c r="A19" s="25" t="s">
        <v>19</v>
      </c>
      <c r="B19" s="25" t="s">
        <v>420</v>
      </c>
      <c r="C19" s="25" t="s">
        <v>421</v>
      </c>
      <c r="E19" s="25" t="s">
        <v>422</v>
      </c>
      <c r="F19" s="25" t="str">
        <f>LEFT(InputData[[#This Row],[Referencia]],32)</f>
        <v xml:space="preserve"> DUEÑO VENDE FINCA 4Has. En Los </v>
      </c>
      <c r="G19" s="25" t="s">
        <v>359</v>
      </c>
      <c r="H19" s="25" t="s">
        <v>22</v>
      </c>
      <c r="I19" s="27">
        <v>61.548571428571435</v>
      </c>
      <c r="J19" s="25" t="s">
        <v>50</v>
      </c>
      <c r="K19" s="25" t="s">
        <v>419</v>
      </c>
      <c r="M19" s="28">
        <v>0</v>
      </c>
      <c r="N19" s="25" t="s">
        <v>21</v>
      </c>
      <c r="O19" s="26">
        <v>1</v>
      </c>
      <c r="P19" s="29">
        <v>2.0000000005</v>
      </c>
      <c r="Q19" s="25" t="str">
        <f>EVALUATE_LOCATION(InputData[[#This Row],[Section]],InputData[[#This Row],[Forma de Pago]],InputData[[#This Row],[Ubic.Pretendida]],InputData[[#This Row],[Nro pag]])</f>
        <v xml:space="preserve"> </v>
      </c>
      <c r="R19" s="25">
        <f>ROUND(InputData[[#This Row],[AltoCm]],0)</f>
        <v>2</v>
      </c>
      <c r="S19" s="25" t="str">
        <f>InputData[[#This Row],[Col]]&amp;"x"&amp;IF(LEN(InputData[[#This Row],[Alto]])=2,InputData[[#This Row],[Alto]],"0"&amp;InputData[[#This Row],[Alto]])</f>
        <v>1x02</v>
      </c>
    </row>
    <row r="20" spans="1:19" x14ac:dyDescent="0.2">
      <c r="A20" s="25" t="s">
        <v>19</v>
      </c>
      <c r="B20" s="25" t="s">
        <v>423</v>
      </c>
      <c r="C20" s="25" t="s">
        <v>424</v>
      </c>
      <c r="E20" s="25" t="s">
        <v>425</v>
      </c>
      <c r="F20" s="25" t="str">
        <f>LEFT(InputData[[#This Row],[Referencia]],32)</f>
        <v xml:space="preserve">OPORTUNIDAD DUEÑO VENDE TERRENO </v>
      </c>
      <c r="G20" s="25" t="s">
        <v>359</v>
      </c>
      <c r="H20" s="25" t="s">
        <v>22</v>
      </c>
      <c r="I20" s="27">
        <v>43.083999999999996</v>
      </c>
      <c r="J20" s="25" t="s">
        <v>50</v>
      </c>
      <c r="K20" s="25" t="s">
        <v>426</v>
      </c>
      <c r="M20" s="28">
        <v>0</v>
      </c>
      <c r="N20" s="25" t="s">
        <v>21</v>
      </c>
      <c r="O20" s="26">
        <v>1</v>
      </c>
      <c r="P20" s="29">
        <v>2.0000000005</v>
      </c>
      <c r="Q20" s="25" t="str">
        <f>EVALUATE_LOCATION(InputData[[#This Row],[Section]],InputData[[#This Row],[Forma de Pago]],InputData[[#This Row],[Ubic.Pretendida]],InputData[[#This Row],[Nro pag]])</f>
        <v xml:space="preserve"> </v>
      </c>
      <c r="R20" s="25">
        <f>ROUND(InputData[[#This Row],[AltoCm]],0)</f>
        <v>2</v>
      </c>
      <c r="S20" s="25" t="str">
        <f>InputData[[#This Row],[Col]]&amp;"x"&amp;IF(LEN(InputData[[#This Row],[Alto]])=2,InputData[[#This Row],[Alto]],"0"&amp;InputData[[#This Row],[Alto]])</f>
        <v>1x02</v>
      </c>
    </row>
    <row r="21" spans="1:19" x14ac:dyDescent="0.2">
      <c r="A21" s="25" t="s">
        <v>19</v>
      </c>
      <c r="B21" s="25" t="s">
        <v>427</v>
      </c>
      <c r="C21" s="25" t="s">
        <v>428</v>
      </c>
      <c r="E21" s="25" t="s">
        <v>429</v>
      </c>
      <c r="F21" s="25" t="str">
        <f>LEFT(InputData[[#This Row],[Referencia]],32)</f>
        <v>PERICO  VENDO  LOTE (ESQ.) Bº J.</v>
      </c>
      <c r="G21" s="25" t="s">
        <v>359</v>
      </c>
      <c r="H21" s="25" t="s">
        <v>22</v>
      </c>
      <c r="I21" s="27">
        <v>90.475999999999999</v>
      </c>
      <c r="J21" s="25" t="s">
        <v>50</v>
      </c>
      <c r="K21" s="25" t="s">
        <v>426</v>
      </c>
      <c r="M21" s="28">
        <v>0</v>
      </c>
      <c r="N21" s="25" t="s">
        <v>21</v>
      </c>
      <c r="O21" s="26">
        <v>1</v>
      </c>
      <c r="P21" s="29">
        <v>3.0000000007500001</v>
      </c>
      <c r="Q21" s="25" t="str">
        <f>EVALUATE_LOCATION(InputData[[#This Row],[Section]],InputData[[#This Row],[Forma de Pago]],InputData[[#This Row],[Ubic.Pretendida]],InputData[[#This Row],[Nro pag]])</f>
        <v xml:space="preserve"> </v>
      </c>
      <c r="R21" s="25">
        <f>ROUND(InputData[[#This Row],[AltoCm]],0)</f>
        <v>3</v>
      </c>
      <c r="S21" s="25" t="str">
        <f>InputData[[#This Row],[Col]]&amp;"x"&amp;IF(LEN(InputData[[#This Row],[Alto]])=2,InputData[[#This Row],[Alto]],"0"&amp;InputData[[#This Row],[Alto]])</f>
        <v>1x03</v>
      </c>
    </row>
    <row r="22" spans="1:19" x14ac:dyDescent="0.2">
      <c r="A22" s="25" t="s">
        <v>19</v>
      </c>
      <c r="B22" s="25" t="s">
        <v>430</v>
      </c>
      <c r="C22" s="25" t="s">
        <v>431</v>
      </c>
      <c r="D22" s="25" t="s">
        <v>432</v>
      </c>
      <c r="E22" s="25" t="s">
        <v>433</v>
      </c>
      <c r="F22" s="25" t="str">
        <f>LEFT(InputData[[#This Row],[Referencia]],32)</f>
        <v>AGOSTINI DES. INMOB.</v>
      </c>
      <c r="G22" s="25" t="s">
        <v>359</v>
      </c>
      <c r="H22" s="25" t="s">
        <v>20</v>
      </c>
      <c r="I22" s="27">
        <v>301.58766666666662</v>
      </c>
      <c r="J22" s="25" t="s">
        <v>50</v>
      </c>
      <c r="K22" s="25" t="s">
        <v>426</v>
      </c>
      <c r="M22" s="28">
        <v>0</v>
      </c>
      <c r="N22" s="25" t="s">
        <v>21</v>
      </c>
      <c r="O22" s="26">
        <v>1</v>
      </c>
      <c r="P22" s="29">
        <v>9.999999998972223</v>
      </c>
      <c r="Q22" s="25" t="str">
        <f>EVALUATE_LOCATION(InputData[[#This Row],[Section]],InputData[[#This Row],[Forma de Pago]],InputData[[#This Row],[Ubic.Pretendida]],InputData[[#This Row],[Nro pag]])</f>
        <v xml:space="preserve"> </v>
      </c>
      <c r="R22" s="25">
        <f>ROUND(InputData[[#This Row],[AltoCm]],0)</f>
        <v>10</v>
      </c>
      <c r="S22" s="25" t="str">
        <f>InputData[[#This Row],[Col]]&amp;"x"&amp;IF(LEN(InputData[[#This Row],[Alto]])=2,InputData[[#This Row],[Alto]],"0"&amp;InputData[[#This Row],[Alto]])</f>
        <v>1x10</v>
      </c>
    </row>
    <row r="23" spans="1:19" x14ac:dyDescent="0.2">
      <c r="A23" s="25" t="s">
        <v>19</v>
      </c>
      <c r="B23" s="25" t="s">
        <v>434</v>
      </c>
      <c r="C23" s="25" t="s">
        <v>435</v>
      </c>
      <c r="D23" s="25" t="s">
        <v>436</v>
      </c>
      <c r="E23" s="25" t="s">
        <v>437</v>
      </c>
      <c r="F23" s="25" t="str">
        <f>LEFT(InputData[[#This Row],[Referencia]],32)</f>
        <v>RQ VENDE</v>
      </c>
      <c r="G23" s="25" t="s">
        <v>359</v>
      </c>
      <c r="H23" s="25" t="s">
        <v>20</v>
      </c>
      <c r="I23" s="27">
        <v>180.95266666666666</v>
      </c>
      <c r="J23" s="25" t="s">
        <v>50</v>
      </c>
      <c r="K23" s="25" t="s">
        <v>426</v>
      </c>
      <c r="M23" s="28">
        <v>0</v>
      </c>
      <c r="N23" s="25" t="s">
        <v>21</v>
      </c>
      <c r="O23" s="26">
        <v>1</v>
      </c>
      <c r="P23" s="29">
        <v>6.0000000015000001</v>
      </c>
      <c r="Q23" s="25" t="str">
        <f>EVALUATE_LOCATION(InputData[[#This Row],[Section]],InputData[[#This Row],[Forma de Pago]],InputData[[#This Row],[Ubic.Pretendida]],InputData[[#This Row],[Nro pag]])</f>
        <v xml:space="preserve"> </v>
      </c>
      <c r="R23" s="25">
        <f>ROUND(InputData[[#This Row],[AltoCm]],0)</f>
        <v>6</v>
      </c>
      <c r="S23" s="25" t="str">
        <f>InputData[[#This Row],[Col]]&amp;"x"&amp;IF(LEN(InputData[[#This Row],[Alto]])=2,InputData[[#This Row],[Alto]],"0"&amp;InputData[[#This Row],[Alto]])</f>
        <v>1x06</v>
      </c>
    </row>
    <row r="24" spans="1:19" x14ac:dyDescent="0.2">
      <c r="A24" s="25" t="s">
        <v>19</v>
      </c>
      <c r="B24" s="25" t="s">
        <v>438</v>
      </c>
      <c r="C24" s="25" t="s">
        <v>439</v>
      </c>
      <c r="D24" s="25" t="s">
        <v>440</v>
      </c>
      <c r="E24" s="25" t="s">
        <v>441</v>
      </c>
      <c r="F24" s="25" t="str">
        <f>LEFT(InputData[[#This Row],[Referencia]],32)</f>
        <v>CABALLERO VENDE LOTES DETRAS YAG</v>
      </c>
      <c r="G24" s="25" t="s">
        <v>359</v>
      </c>
      <c r="H24" s="25" t="s">
        <v>20</v>
      </c>
      <c r="I24" s="27">
        <v>153.87142857142857</v>
      </c>
      <c r="J24" s="25" t="s">
        <v>50</v>
      </c>
      <c r="K24" s="25" t="s">
        <v>426</v>
      </c>
      <c r="M24" s="28">
        <v>0</v>
      </c>
      <c r="N24" s="25" t="s">
        <v>21</v>
      </c>
      <c r="O24" s="26">
        <v>1</v>
      </c>
      <c r="P24" s="29">
        <v>5.0000000012500001</v>
      </c>
      <c r="Q24" s="25" t="str">
        <f>EVALUATE_LOCATION(InputData[[#This Row],[Section]],InputData[[#This Row],[Forma de Pago]],InputData[[#This Row],[Ubic.Pretendida]],InputData[[#This Row],[Nro pag]])</f>
        <v xml:space="preserve"> </v>
      </c>
      <c r="R24" s="25">
        <f>ROUND(InputData[[#This Row],[AltoCm]],0)</f>
        <v>5</v>
      </c>
      <c r="S24" s="25" t="str">
        <f>InputData[[#This Row],[Col]]&amp;"x"&amp;IF(LEN(InputData[[#This Row],[Alto]])=2,InputData[[#This Row],[Alto]],"0"&amp;InputData[[#This Row],[Alto]])</f>
        <v>1x05</v>
      </c>
    </row>
    <row r="25" spans="1:19" x14ac:dyDescent="0.2">
      <c r="A25" s="25" t="s">
        <v>19</v>
      </c>
      <c r="B25" s="25" t="s">
        <v>442</v>
      </c>
      <c r="C25" s="25" t="s">
        <v>439</v>
      </c>
      <c r="D25" s="25" t="s">
        <v>443</v>
      </c>
      <c r="E25" s="25" t="s">
        <v>444</v>
      </c>
      <c r="F25" s="25" t="str">
        <f>LEFT(InputData[[#This Row],[Referencia]],32)</f>
        <v>CABALLERO VENDE LOTES</v>
      </c>
      <c r="G25" s="25" t="s">
        <v>359</v>
      </c>
      <c r="H25" s="25" t="s">
        <v>20</v>
      </c>
      <c r="I25" s="27">
        <v>153.87142857142857</v>
      </c>
      <c r="J25" s="25" t="s">
        <v>50</v>
      </c>
      <c r="K25" s="25" t="s">
        <v>426</v>
      </c>
      <c r="M25" s="28">
        <v>0</v>
      </c>
      <c r="N25" s="25" t="s">
        <v>21</v>
      </c>
      <c r="O25" s="26">
        <v>1</v>
      </c>
      <c r="P25" s="29">
        <v>5.0000000012500001</v>
      </c>
      <c r="Q25" s="25" t="str">
        <f>EVALUATE_LOCATION(InputData[[#This Row],[Section]],InputData[[#This Row],[Forma de Pago]],InputData[[#This Row],[Ubic.Pretendida]],InputData[[#This Row],[Nro pag]])</f>
        <v xml:space="preserve"> </v>
      </c>
      <c r="R25" s="25">
        <f>ROUND(InputData[[#This Row],[AltoCm]],0)</f>
        <v>5</v>
      </c>
      <c r="S25" s="25" t="str">
        <f>InputData[[#This Row],[Col]]&amp;"x"&amp;IF(LEN(InputData[[#This Row],[Alto]])=2,InputData[[#This Row],[Alto]],"0"&amp;InputData[[#This Row],[Alto]])</f>
        <v>1x05</v>
      </c>
    </row>
    <row r="26" spans="1:19" x14ac:dyDescent="0.2">
      <c r="A26" s="25" t="s">
        <v>19</v>
      </c>
      <c r="B26" s="25" t="s">
        <v>445</v>
      </c>
      <c r="C26" s="25" t="s">
        <v>446</v>
      </c>
      <c r="E26" s="25" t="s">
        <v>447</v>
      </c>
      <c r="F26" s="25" t="str">
        <f>LEFT(InputData[[#This Row],[Referencia]],32)</f>
        <v>VENDO TERRENO  de 15x40 Higueril</v>
      </c>
      <c r="G26" s="25" t="s">
        <v>359</v>
      </c>
      <c r="H26" s="25" t="s">
        <v>22</v>
      </c>
      <c r="I26" s="27">
        <v>60.317666666666668</v>
      </c>
      <c r="J26" s="25" t="s">
        <v>50</v>
      </c>
      <c r="K26" s="25" t="s">
        <v>426</v>
      </c>
      <c r="M26" s="28">
        <v>0</v>
      </c>
      <c r="N26" s="25" t="s">
        <v>21</v>
      </c>
      <c r="O26" s="26">
        <v>1</v>
      </c>
      <c r="P26" s="29">
        <v>2.0000000005</v>
      </c>
      <c r="Q26" s="25" t="str">
        <f>EVALUATE_LOCATION(InputData[[#This Row],[Section]],InputData[[#This Row],[Forma de Pago]],InputData[[#This Row],[Ubic.Pretendida]],InputData[[#This Row],[Nro pag]])</f>
        <v xml:space="preserve"> </v>
      </c>
      <c r="R26" s="25">
        <f>ROUND(InputData[[#This Row],[AltoCm]],0)</f>
        <v>2</v>
      </c>
      <c r="S26" s="25" t="str">
        <f>InputData[[#This Row],[Col]]&amp;"x"&amp;IF(LEN(InputData[[#This Row],[Alto]])=2,InputData[[#This Row],[Alto]],"0"&amp;InputData[[#This Row],[Alto]])</f>
        <v>1x02</v>
      </c>
    </row>
    <row r="27" spans="1:19" x14ac:dyDescent="0.2">
      <c r="A27" s="25" t="s">
        <v>19</v>
      </c>
      <c r="B27" s="25" t="s">
        <v>448</v>
      </c>
      <c r="C27" s="25" t="s">
        <v>410</v>
      </c>
      <c r="E27" s="25" t="s">
        <v>449</v>
      </c>
      <c r="F27" s="25" t="str">
        <f>LEFT(InputData[[#This Row],[Referencia]],32)</f>
        <v>OPORTUNIDAD!! DUEÑO VENDE  TERRE</v>
      </c>
      <c r="G27" s="25" t="s">
        <v>359</v>
      </c>
      <c r="H27" s="25" t="s">
        <v>22</v>
      </c>
      <c r="I27" s="27">
        <v>90.475999999999999</v>
      </c>
      <c r="J27" s="25" t="s">
        <v>50</v>
      </c>
      <c r="K27" s="25" t="s">
        <v>426</v>
      </c>
      <c r="M27" s="28">
        <v>0</v>
      </c>
      <c r="N27" s="25" t="s">
        <v>21</v>
      </c>
      <c r="O27" s="26">
        <v>1</v>
      </c>
      <c r="P27" s="29">
        <v>3.0000000007500001</v>
      </c>
      <c r="Q27" s="25" t="str">
        <f>EVALUATE_LOCATION(InputData[[#This Row],[Section]],InputData[[#This Row],[Forma de Pago]],InputData[[#This Row],[Ubic.Pretendida]],InputData[[#This Row],[Nro pag]])</f>
        <v xml:space="preserve"> </v>
      </c>
      <c r="R27" s="25">
        <f>ROUND(InputData[[#This Row],[AltoCm]],0)</f>
        <v>3</v>
      </c>
      <c r="S27" s="25" t="str">
        <f>InputData[[#This Row],[Col]]&amp;"x"&amp;IF(LEN(InputData[[#This Row],[Alto]])=2,InputData[[#This Row],[Alto]],"0"&amp;InputData[[#This Row],[Alto]])</f>
        <v>1x03</v>
      </c>
    </row>
    <row r="28" spans="1:19" x14ac:dyDescent="0.2">
      <c r="A28" s="25" t="s">
        <v>19</v>
      </c>
      <c r="B28" s="25" t="s">
        <v>450</v>
      </c>
      <c r="C28" s="25" t="s">
        <v>451</v>
      </c>
      <c r="D28" s="25" t="s">
        <v>452</v>
      </c>
      <c r="E28" s="25" t="s">
        <v>453</v>
      </c>
      <c r="F28" s="25" t="str">
        <f>LEFT(InputData[[#This Row],[Referencia]],32)</f>
        <v>CLUB DE CAMPO LA ALMONA</v>
      </c>
      <c r="G28" s="25" t="s">
        <v>359</v>
      </c>
      <c r="H28" s="25" t="s">
        <v>20</v>
      </c>
      <c r="I28" s="27">
        <v>150.79400000000001</v>
      </c>
      <c r="J28" s="25" t="s">
        <v>50</v>
      </c>
      <c r="K28" s="25" t="s">
        <v>426</v>
      </c>
      <c r="M28" s="28">
        <v>0</v>
      </c>
      <c r="N28" s="25" t="s">
        <v>21</v>
      </c>
      <c r="O28" s="26">
        <v>1</v>
      </c>
      <c r="P28" s="29">
        <v>5.0000000012500001</v>
      </c>
      <c r="Q28" s="25" t="str">
        <f>EVALUATE_LOCATION(InputData[[#This Row],[Section]],InputData[[#This Row],[Forma de Pago]],InputData[[#This Row],[Ubic.Pretendida]],InputData[[#This Row],[Nro pag]])</f>
        <v xml:space="preserve"> </v>
      </c>
      <c r="R28" s="25">
        <f>ROUND(InputData[[#This Row],[AltoCm]],0)</f>
        <v>5</v>
      </c>
      <c r="S28" s="25" t="str">
        <f>InputData[[#This Row],[Col]]&amp;"x"&amp;IF(LEN(InputData[[#This Row],[Alto]])=2,InputData[[#This Row],[Alto]],"0"&amp;InputData[[#This Row],[Alto]])</f>
        <v>1x05</v>
      </c>
    </row>
    <row r="29" spans="1:19" x14ac:dyDescent="0.2">
      <c r="A29" s="25" t="s">
        <v>19</v>
      </c>
      <c r="B29" s="25" t="s">
        <v>454</v>
      </c>
      <c r="C29" s="25" t="s">
        <v>455</v>
      </c>
      <c r="E29" s="25" t="s">
        <v>456</v>
      </c>
      <c r="F29" s="25" t="str">
        <f>LEFT(InputData[[#This Row],[Referencia]],32)</f>
        <v>LOTEO LA ARBOLADA  B° STO. CABRA</v>
      </c>
      <c r="G29" s="25" t="s">
        <v>359</v>
      </c>
      <c r="H29" s="25" t="s">
        <v>22</v>
      </c>
      <c r="I29" s="27">
        <v>143.61333333333332</v>
      </c>
      <c r="J29" s="25" t="s">
        <v>50</v>
      </c>
      <c r="K29" s="25" t="s">
        <v>426</v>
      </c>
      <c r="M29" s="28">
        <v>0</v>
      </c>
      <c r="N29" s="25" t="s">
        <v>21</v>
      </c>
      <c r="O29" s="26">
        <v>1</v>
      </c>
      <c r="P29" s="29">
        <v>5.0000000012500001</v>
      </c>
      <c r="Q29" s="25" t="str">
        <f>EVALUATE_LOCATION(InputData[[#This Row],[Section]],InputData[[#This Row],[Forma de Pago]],InputData[[#This Row],[Ubic.Pretendida]],InputData[[#This Row],[Nro pag]])</f>
        <v xml:space="preserve"> </v>
      </c>
      <c r="R29" s="25">
        <f>ROUND(InputData[[#This Row],[AltoCm]],0)</f>
        <v>5</v>
      </c>
      <c r="S29" s="25" t="str">
        <f>InputData[[#This Row],[Col]]&amp;"x"&amp;IF(LEN(InputData[[#This Row],[Alto]])=2,InputData[[#This Row],[Alto]],"0"&amp;InputData[[#This Row],[Alto]])</f>
        <v>1x05</v>
      </c>
    </row>
    <row r="30" spans="1:19" x14ac:dyDescent="0.2">
      <c r="A30" s="25" t="s">
        <v>19</v>
      </c>
      <c r="B30" s="25" t="s">
        <v>457</v>
      </c>
      <c r="C30" s="25" t="s">
        <v>455</v>
      </c>
      <c r="E30" s="25" t="s">
        <v>458</v>
      </c>
      <c r="F30" s="25" t="str">
        <f>LEFT(InputData[[#This Row],[Referencia]],32)</f>
        <v>LOTEO VALLE VERDE  PREVENTA  A 1</v>
      </c>
      <c r="G30" s="25" t="s">
        <v>359</v>
      </c>
      <c r="H30" s="25" t="s">
        <v>22</v>
      </c>
      <c r="I30" s="27">
        <v>143.61333333333332</v>
      </c>
      <c r="J30" s="25" t="s">
        <v>50</v>
      </c>
      <c r="K30" s="25" t="s">
        <v>426</v>
      </c>
      <c r="M30" s="28">
        <v>0</v>
      </c>
      <c r="N30" s="25" t="s">
        <v>21</v>
      </c>
      <c r="O30" s="26">
        <v>1</v>
      </c>
      <c r="P30" s="29">
        <v>5.0000000012500001</v>
      </c>
      <c r="Q30" s="25" t="str">
        <f>EVALUATE_LOCATION(InputData[[#This Row],[Section]],InputData[[#This Row],[Forma de Pago]],InputData[[#This Row],[Ubic.Pretendida]],InputData[[#This Row],[Nro pag]])</f>
        <v xml:space="preserve"> </v>
      </c>
      <c r="R30" s="25">
        <f>ROUND(InputData[[#This Row],[AltoCm]],0)</f>
        <v>5</v>
      </c>
      <c r="S30" s="25" t="str">
        <f>InputData[[#This Row],[Col]]&amp;"x"&amp;IF(LEN(InputData[[#This Row],[Alto]])=2,InputData[[#This Row],[Alto]],"0"&amp;InputData[[#This Row],[Alto]])</f>
        <v>1x05</v>
      </c>
    </row>
    <row r="31" spans="1:19" x14ac:dyDescent="0.2">
      <c r="A31" s="25" t="s">
        <v>19</v>
      </c>
      <c r="B31" s="25" t="s">
        <v>459</v>
      </c>
      <c r="C31" s="25" t="s">
        <v>455</v>
      </c>
      <c r="E31" s="25" t="s">
        <v>460</v>
      </c>
      <c r="F31" s="25" t="str">
        <f>LEFT(InputData[[#This Row],[Referencia]],32)</f>
        <v xml:space="preserve">VDO. TERRENO SOBRE RUTA N9   B° </v>
      </c>
      <c r="G31" s="25" t="s">
        <v>359</v>
      </c>
      <c r="H31" s="25" t="s">
        <v>22</v>
      </c>
      <c r="I31" s="27">
        <v>150.79400000000001</v>
      </c>
      <c r="J31" s="25" t="s">
        <v>50</v>
      </c>
      <c r="K31" s="25" t="s">
        <v>426</v>
      </c>
      <c r="M31" s="28">
        <v>0</v>
      </c>
      <c r="N31" s="25" t="s">
        <v>21</v>
      </c>
      <c r="O31" s="26">
        <v>1</v>
      </c>
      <c r="P31" s="29">
        <v>5.0000000012500001</v>
      </c>
      <c r="Q31" s="25" t="str">
        <f>EVALUATE_LOCATION(InputData[[#This Row],[Section]],InputData[[#This Row],[Forma de Pago]],InputData[[#This Row],[Ubic.Pretendida]],InputData[[#This Row],[Nro pag]])</f>
        <v xml:space="preserve"> </v>
      </c>
      <c r="R31" s="25">
        <f>ROUND(InputData[[#This Row],[AltoCm]],0)</f>
        <v>5</v>
      </c>
      <c r="S31" s="25" t="str">
        <f>InputData[[#This Row],[Col]]&amp;"x"&amp;IF(LEN(InputData[[#This Row],[Alto]])=2,InputData[[#This Row],[Alto]],"0"&amp;InputData[[#This Row],[Alto]])</f>
        <v>1x05</v>
      </c>
    </row>
    <row r="32" spans="1:19" x14ac:dyDescent="0.2">
      <c r="A32" s="25" t="s">
        <v>19</v>
      </c>
      <c r="B32" s="25" t="s">
        <v>461</v>
      </c>
      <c r="C32" s="25" t="s">
        <v>462</v>
      </c>
      <c r="E32" s="25" t="s">
        <v>463</v>
      </c>
      <c r="F32" s="25" t="str">
        <f>LEFT(InputData[[#This Row],[Referencia]],32)</f>
        <v>VENDO TERRENO 8x26 en Cnel. Aria</v>
      </c>
      <c r="G32" s="25" t="s">
        <v>359</v>
      </c>
      <c r="H32" s="25" t="s">
        <v>22</v>
      </c>
      <c r="I32" s="27">
        <v>92.322857142857146</v>
      </c>
      <c r="J32" s="25" t="s">
        <v>50</v>
      </c>
      <c r="K32" s="25" t="s">
        <v>426</v>
      </c>
      <c r="M32" s="28">
        <v>0</v>
      </c>
      <c r="N32" s="25" t="s">
        <v>21</v>
      </c>
      <c r="O32" s="26">
        <v>1</v>
      </c>
      <c r="P32" s="29">
        <v>3.0000000007500001</v>
      </c>
      <c r="Q32" s="25" t="str">
        <f>EVALUATE_LOCATION(InputData[[#This Row],[Section]],InputData[[#This Row],[Forma de Pago]],InputData[[#This Row],[Ubic.Pretendida]],InputData[[#This Row],[Nro pag]])</f>
        <v xml:space="preserve"> </v>
      </c>
      <c r="R32" s="25">
        <f>ROUND(InputData[[#This Row],[AltoCm]],0)</f>
        <v>3</v>
      </c>
      <c r="S32" s="25" t="str">
        <f>InputData[[#This Row],[Col]]&amp;"x"&amp;IF(LEN(InputData[[#This Row],[Alto]])=2,InputData[[#This Row],[Alto]],"0"&amp;InputData[[#This Row],[Alto]])</f>
        <v>1x03</v>
      </c>
    </row>
    <row r="33" spans="1:19" x14ac:dyDescent="0.2">
      <c r="A33" s="25" t="s">
        <v>19</v>
      </c>
      <c r="B33" s="25" t="s">
        <v>464</v>
      </c>
      <c r="C33" s="25" t="s">
        <v>417</v>
      </c>
      <c r="E33" s="25" t="s">
        <v>465</v>
      </c>
      <c r="F33" s="25" t="str">
        <f>LEFT(InputData[[#This Row],[Referencia]],32)</f>
        <v xml:space="preserve">LÒPEZ  INMOBILIARIA  ESTAMOS EN </v>
      </c>
      <c r="G33" s="25" t="s">
        <v>359</v>
      </c>
      <c r="H33" s="25" t="s">
        <v>22</v>
      </c>
      <c r="I33" s="27">
        <v>211.11133333333336</v>
      </c>
      <c r="J33" s="25" t="s">
        <v>50</v>
      </c>
      <c r="K33" s="25" t="s">
        <v>466</v>
      </c>
      <c r="M33" s="28">
        <v>0</v>
      </c>
      <c r="N33" s="25" t="s">
        <v>21</v>
      </c>
      <c r="O33" s="26">
        <v>1</v>
      </c>
      <c r="P33" s="29">
        <v>7.0000000017499984</v>
      </c>
      <c r="Q33" s="25" t="str">
        <f>EVALUATE_LOCATION(InputData[[#This Row],[Section]],InputData[[#This Row],[Forma de Pago]],InputData[[#This Row],[Ubic.Pretendida]],InputData[[#This Row],[Nro pag]])</f>
        <v xml:space="preserve"> </v>
      </c>
      <c r="R33" s="25">
        <f>ROUND(InputData[[#This Row],[AltoCm]],0)</f>
        <v>7</v>
      </c>
      <c r="S33" s="25" t="str">
        <f>InputData[[#This Row],[Col]]&amp;"x"&amp;IF(LEN(InputData[[#This Row],[Alto]])=2,InputData[[#This Row],[Alto]],"0"&amp;InputData[[#This Row],[Alto]])</f>
        <v>1x07</v>
      </c>
    </row>
    <row r="34" spans="1:19" x14ac:dyDescent="0.2">
      <c r="A34" s="25" t="s">
        <v>19</v>
      </c>
      <c r="B34" s="25" t="s">
        <v>467</v>
      </c>
      <c r="C34" s="25" t="s">
        <v>468</v>
      </c>
      <c r="E34" s="25" t="s">
        <v>469</v>
      </c>
      <c r="F34" s="25" t="str">
        <f>LEFT(InputData[[#This Row],[Referencia]],32)</f>
        <v>PARTICULAR VENDE</v>
      </c>
      <c r="G34" s="25" t="s">
        <v>359</v>
      </c>
      <c r="H34" s="25" t="s">
        <v>22</v>
      </c>
      <c r="I34" s="27">
        <v>153.87142857142857</v>
      </c>
      <c r="J34" s="25" t="s">
        <v>50</v>
      </c>
      <c r="K34" s="25" t="s">
        <v>466</v>
      </c>
      <c r="M34" s="28">
        <v>0</v>
      </c>
      <c r="N34" s="25" t="s">
        <v>21</v>
      </c>
      <c r="O34" s="26">
        <v>1</v>
      </c>
      <c r="P34" s="29">
        <v>5.0000000012500001</v>
      </c>
      <c r="Q34" s="25" t="str">
        <f>EVALUATE_LOCATION(InputData[[#This Row],[Section]],InputData[[#This Row],[Forma de Pago]],InputData[[#This Row],[Ubic.Pretendida]],InputData[[#This Row],[Nro pag]])</f>
        <v xml:space="preserve"> </v>
      </c>
      <c r="R34" s="25">
        <f>ROUND(InputData[[#This Row],[AltoCm]],0)</f>
        <v>5</v>
      </c>
      <c r="S34" s="25" t="str">
        <f>InputData[[#This Row],[Col]]&amp;"x"&amp;IF(LEN(InputData[[#This Row],[Alto]])=2,InputData[[#This Row],[Alto]],"0"&amp;InputData[[#This Row],[Alto]])</f>
        <v>1x05</v>
      </c>
    </row>
    <row r="35" spans="1:19" x14ac:dyDescent="0.2">
      <c r="A35" s="25" t="s">
        <v>19</v>
      </c>
      <c r="B35" s="25" t="s">
        <v>470</v>
      </c>
      <c r="C35" s="25" t="s">
        <v>471</v>
      </c>
      <c r="E35" s="25" t="s">
        <v>472</v>
      </c>
      <c r="F35" s="25" t="str">
        <f>LEFT(InputData[[#This Row],[Referencia]],32)</f>
        <v>INMOBILIARIA EXCONORT  COMPRA  V</v>
      </c>
      <c r="G35" s="25" t="s">
        <v>359</v>
      </c>
      <c r="H35" s="25" t="s">
        <v>22</v>
      </c>
      <c r="I35" s="27">
        <v>153.87142857142857</v>
      </c>
      <c r="J35" s="25" t="s">
        <v>50</v>
      </c>
      <c r="K35" s="25" t="s">
        <v>466</v>
      </c>
      <c r="M35" s="28">
        <v>0</v>
      </c>
      <c r="N35" s="25" t="s">
        <v>21</v>
      </c>
      <c r="O35" s="26">
        <v>1</v>
      </c>
      <c r="P35" s="29">
        <v>5.0000000012500001</v>
      </c>
      <c r="Q35" s="25" t="str">
        <f>EVALUATE_LOCATION(InputData[[#This Row],[Section]],InputData[[#This Row],[Forma de Pago]],InputData[[#This Row],[Ubic.Pretendida]],InputData[[#This Row],[Nro pag]])</f>
        <v xml:space="preserve"> </v>
      </c>
      <c r="R35" s="25">
        <f>ROUND(InputData[[#This Row],[AltoCm]],0)</f>
        <v>5</v>
      </c>
      <c r="S35" s="25" t="str">
        <f>InputData[[#This Row],[Col]]&amp;"x"&amp;IF(LEN(InputData[[#This Row],[Alto]])=2,InputData[[#This Row],[Alto]],"0"&amp;InputData[[#This Row],[Alto]])</f>
        <v>1x05</v>
      </c>
    </row>
    <row r="36" spans="1:19" x14ac:dyDescent="0.2">
      <c r="A36" s="25" t="s">
        <v>19</v>
      </c>
      <c r="B36" s="25" t="s">
        <v>473</v>
      </c>
      <c r="C36" s="25" t="s">
        <v>474</v>
      </c>
      <c r="E36" s="25" t="s">
        <v>475</v>
      </c>
      <c r="F36" s="25" t="str">
        <f>LEFT(InputData[[#This Row],[Referencia]],32)</f>
        <v>ARNEDO VENDE DPTO. Céntrico 3 do</v>
      </c>
      <c r="G36" s="25" t="s">
        <v>359</v>
      </c>
      <c r="H36" s="25" t="s">
        <v>22</v>
      </c>
      <c r="I36" s="27">
        <v>60.317666666666668</v>
      </c>
      <c r="J36" s="25" t="s">
        <v>50</v>
      </c>
      <c r="K36" s="25" t="s">
        <v>466</v>
      </c>
      <c r="M36" s="28">
        <v>0</v>
      </c>
      <c r="N36" s="25" t="s">
        <v>21</v>
      </c>
      <c r="O36" s="26">
        <v>1</v>
      </c>
      <c r="P36" s="29">
        <v>2.0000000005</v>
      </c>
      <c r="Q36" s="25" t="str">
        <f>EVALUATE_LOCATION(InputData[[#This Row],[Section]],InputData[[#This Row],[Forma de Pago]],InputData[[#This Row],[Ubic.Pretendida]],InputData[[#This Row],[Nro pag]])</f>
        <v xml:space="preserve"> </v>
      </c>
      <c r="R36" s="25">
        <f>ROUND(InputData[[#This Row],[AltoCm]],0)</f>
        <v>2</v>
      </c>
      <c r="S36" s="25" t="str">
        <f>InputData[[#This Row],[Col]]&amp;"x"&amp;IF(LEN(InputData[[#This Row],[Alto]])=2,InputData[[#This Row],[Alto]],"0"&amp;InputData[[#This Row],[Alto]])</f>
        <v>1x02</v>
      </c>
    </row>
    <row r="37" spans="1:19" x14ac:dyDescent="0.2">
      <c r="A37" s="25" t="s">
        <v>19</v>
      </c>
      <c r="B37" s="25" t="s">
        <v>476</v>
      </c>
      <c r="C37" s="25" t="s">
        <v>474</v>
      </c>
      <c r="E37" s="25" t="s">
        <v>477</v>
      </c>
      <c r="F37" s="25" t="str">
        <f>LEFT(InputData[[#This Row],[Referencia]],32)</f>
        <v>ARNEDO VENDE IMPORTANTE PROPIEDA</v>
      </c>
      <c r="G37" s="25" t="s">
        <v>359</v>
      </c>
      <c r="H37" s="25" t="s">
        <v>22</v>
      </c>
      <c r="I37" s="27">
        <v>60.317666666666668</v>
      </c>
      <c r="J37" s="25" t="s">
        <v>50</v>
      </c>
      <c r="K37" s="25" t="s">
        <v>466</v>
      </c>
      <c r="M37" s="28">
        <v>0</v>
      </c>
      <c r="N37" s="25" t="s">
        <v>21</v>
      </c>
      <c r="O37" s="26">
        <v>1</v>
      </c>
      <c r="P37" s="29">
        <v>2.0000000005</v>
      </c>
      <c r="Q37" s="25" t="str">
        <f>EVALUATE_LOCATION(InputData[[#This Row],[Section]],InputData[[#This Row],[Forma de Pago]],InputData[[#This Row],[Ubic.Pretendida]],InputData[[#This Row],[Nro pag]])</f>
        <v xml:space="preserve"> </v>
      </c>
      <c r="R37" s="25">
        <f>ROUND(InputData[[#This Row],[AltoCm]],0)</f>
        <v>2</v>
      </c>
      <c r="S37" s="25" t="str">
        <f>InputData[[#This Row],[Col]]&amp;"x"&amp;IF(LEN(InputData[[#This Row],[Alto]])=2,InputData[[#This Row],[Alto]],"0"&amp;InputData[[#This Row],[Alto]])</f>
        <v>1x02</v>
      </c>
    </row>
    <row r="38" spans="1:19" x14ac:dyDescent="0.2">
      <c r="A38" s="25" t="s">
        <v>19</v>
      </c>
      <c r="B38" s="25" t="s">
        <v>478</v>
      </c>
      <c r="C38" s="25" t="s">
        <v>479</v>
      </c>
      <c r="E38" s="25" t="s">
        <v>480</v>
      </c>
      <c r="F38" s="25" t="str">
        <f>LEFT(InputData[[#This Row],[Referencia]],32)</f>
        <v>MARCALAIN VENDE</v>
      </c>
      <c r="G38" s="25" t="s">
        <v>359</v>
      </c>
      <c r="H38" s="25" t="s">
        <v>22</v>
      </c>
      <c r="I38" s="27">
        <v>461.61428571428576</v>
      </c>
      <c r="J38" s="25" t="s">
        <v>50</v>
      </c>
      <c r="K38" s="25" t="s">
        <v>466</v>
      </c>
      <c r="M38" s="28">
        <v>0</v>
      </c>
      <c r="N38" s="25" t="s">
        <v>21</v>
      </c>
      <c r="O38" s="26">
        <v>1</v>
      </c>
      <c r="P38" s="29">
        <v>15.000000000222226</v>
      </c>
      <c r="Q38" s="25" t="str">
        <f>EVALUATE_LOCATION(InputData[[#This Row],[Section]],InputData[[#This Row],[Forma de Pago]],InputData[[#This Row],[Ubic.Pretendida]],InputData[[#This Row],[Nro pag]])</f>
        <v xml:space="preserve"> </v>
      </c>
      <c r="R38" s="25">
        <f>ROUND(InputData[[#This Row],[AltoCm]],0)</f>
        <v>15</v>
      </c>
      <c r="S38" s="25" t="str">
        <f>InputData[[#This Row],[Col]]&amp;"x"&amp;IF(LEN(InputData[[#This Row],[Alto]])=2,InputData[[#This Row],[Alto]],"0"&amp;InputData[[#This Row],[Alto]])</f>
        <v>1x15</v>
      </c>
    </row>
    <row r="39" spans="1:19" x14ac:dyDescent="0.2">
      <c r="A39" s="25" t="s">
        <v>19</v>
      </c>
      <c r="B39" s="25" t="s">
        <v>481</v>
      </c>
      <c r="C39" s="25" t="s">
        <v>439</v>
      </c>
      <c r="D39" s="25" t="s">
        <v>482</v>
      </c>
      <c r="E39" s="25" t="s">
        <v>483</v>
      </c>
      <c r="F39" s="25" t="str">
        <f>LEFT(InputData[[#This Row],[Referencia]],32)</f>
        <v>CABALLERO VENDE LIBERTADOR</v>
      </c>
      <c r="G39" s="25" t="s">
        <v>359</v>
      </c>
      <c r="H39" s="25" t="s">
        <v>20</v>
      </c>
      <c r="I39" s="27">
        <v>153.87142857142857</v>
      </c>
      <c r="J39" s="25" t="s">
        <v>50</v>
      </c>
      <c r="K39" s="25" t="s">
        <v>466</v>
      </c>
      <c r="M39" s="28">
        <v>0</v>
      </c>
      <c r="N39" s="25" t="s">
        <v>21</v>
      </c>
      <c r="O39" s="26">
        <v>1</v>
      </c>
      <c r="P39" s="29">
        <v>5.0000000012500001</v>
      </c>
      <c r="Q39" s="25" t="str">
        <f>EVALUATE_LOCATION(InputData[[#This Row],[Section]],InputData[[#This Row],[Forma de Pago]],InputData[[#This Row],[Ubic.Pretendida]],InputData[[#This Row],[Nro pag]])</f>
        <v xml:space="preserve"> </v>
      </c>
      <c r="R39" s="25">
        <f>ROUND(InputData[[#This Row],[AltoCm]],0)</f>
        <v>5</v>
      </c>
      <c r="S39" s="25" t="str">
        <f>InputData[[#This Row],[Col]]&amp;"x"&amp;IF(LEN(InputData[[#This Row],[Alto]])=2,InputData[[#This Row],[Alto]],"0"&amp;InputData[[#This Row],[Alto]])</f>
        <v>1x05</v>
      </c>
    </row>
    <row r="40" spans="1:19" x14ac:dyDescent="0.2">
      <c r="A40" s="25" t="s">
        <v>19</v>
      </c>
      <c r="B40" s="25" t="s">
        <v>484</v>
      </c>
      <c r="C40" s="25" t="s">
        <v>439</v>
      </c>
      <c r="D40" s="25" t="s">
        <v>485</v>
      </c>
      <c r="E40" s="25" t="s">
        <v>486</v>
      </c>
      <c r="F40" s="25" t="str">
        <f>LEFT(InputData[[#This Row],[Referencia]],32)</f>
        <v>CABALLERO VENDE CASAS</v>
      </c>
      <c r="G40" s="25" t="s">
        <v>359</v>
      </c>
      <c r="H40" s="25" t="s">
        <v>20</v>
      </c>
      <c r="I40" s="27">
        <v>153.87142857142857</v>
      </c>
      <c r="J40" s="25" t="s">
        <v>50</v>
      </c>
      <c r="K40" s="25" t="s">
        <v>466</v>
      </c>
      <c r="M40" s="28">
        <v>0</v>
      </c>
      <c r="N40" s="25" t="s">
        <v>21</v>
      </c>
      <c r="O40" s="26">
        <v>1</v>
      </c>
      <c r="P40" s="29">
        <v>5.0000000012500001</v>
      </c>
      <c r="Q40" s="25" t="str">
        <f>EVALUATE_LOCATION(InputData[[#This Row],[Section]],InputData[[#This Row],[Forma de Pago]],InputData[[#This Row],[Ubic.Pretendida]],InputData[[#This Row],[Nro pag]])</f>
        <v xml:space="preserve"> </v>
      </c>
      <c r="R40" s="25">
        <f>ROUND(InputData[[#This Row],[AltoCm]],0)</f>
        <v>5</v>
      </c>
      <c r="S40" s="25" t="str">
        <f>InputData[[#This Row],[Col]]&amp;"x"&amp;IF(LEN(InputData[[#This Row],[Alto]])=2,InputData[[#This Row],[Alto]],"0"&amp;InputData[[#This Row],[Alto]])</f>
        <v>1x05</v>
      </c>
    </row>
    <row r="41" spans="1:19" x14ac:dyDescent="0.2">
      <c r="A41" s="25" t="s">
        <v>19</v>
      </c>
      <c r="B41" s="25" t="s">
        <v>487</v>
      </c>
      <c r="C41" s="25" t="s">
        <v>488</v>
      </c>
      <c r="E41" s="25" t="s">
        <v>489</v>
      </c>
      <c r="F41" s="25" t="str">
        <f>LEFT(InputData[[#This Row],[Referencia]],32)</f>
        <v>///LOGO////  SOLICITAMOS PROPIED</v>
      </c>
      <c r="G41" s="25" t="s">
        <v>359</v>
      </c>
      <c r="H41" s="25" t="s">
        <v>22</v>
      </c>
      <c r="I41" s="27">
        <v>624.4671428571429</v>
      </c>
      <c r="J41" s="25" t="s">
        <v>50</v>
      </c>
      <c r="K41" s="25" t="s">
        <v>466</v>
      </c>
      <c r="M41" s="28">
        <v>0</v>
      </c>
      <c r="N41" s="25" t="s">
        <v>21</v>
      </c>
      <c r="O41" s="26">
        <v>1</v>
      </c>
      <c r="P41" s="29">
        <v>17.000000000722224</v>
      </c>
      <c r="Q41" s="25" t="str">
        <f>EVALUATE_LOCATION(InputData[[#This Row],[Section]],InputData[[#This Row],[Forma de Pago]],InputData[[#This Row],[Ubic.Pretendida]],InputData[[#This Row],[Nro pag]])</f>
        <v xml:space="preserve"> </v>
      </c>
      <c r="R41" s="25">
        <f>ROUND(InputData[[#This Row],[AltoCm]],0)</f>
        <v>17</v>
      </c>
      <c r="S41" s="25" t="str">
        <f>InputData[[#This Row],[Col]]&amp;"x"&amp;IF(LEN(InputData[[#This Row],[Alto]])=2,InputData[[#This Row],[Alto]],"0"&amp;InputData[[#This Row],[Alto]])</f>
        <v>1x17</v>
      </c>
    </row>
    <row r="42" spans="1:19" x14ac:dyDescent="0.2">
      <c r="A42" s="25" t="s">
        <v>19</v>
      </c>
      <c r="B42" s="25" t="s">
        <v>490</v>
      </c>
      <c r="C42" s="25" t="s">
        <v>491</v>
      </c>
      <c r="E42" s="25" t="s">
        <v>492</v>
      </c>
      <c r="F42" s="25" t="str">
        <f>LEFT(InputData[[#This Row],[Referencia]],32)</f>
        <v xml:space="preserve">PROPIETARIO VENDE a un paso del </v>
      </c>
      <c r="G42" s="25" t="s">
        <v>359</v>
      </c>
      <c r="H42" s="25" t="s">
        <v>22</v>
      </c>
      <c r="I42" s="27">
        <v>92.322857142857146</v>
      </c>
      <c r="J42" s="25" t="s">
        <v>50</v>
      </c>
      <c r="K42" s="25" t="s">
        <v>466</v>
      </c>
      <c r="M42" s="28">
        <v>0</v>
      </c>
      <c r="N42" s="25" t="s">
        <v>21</v>
      </c>
      <c r="O42" s="26">
        <v>1</v>
      </c>
      <c r="P42" s="29">
        <v>3.0000000007500001</v>
      </c>
      <c r="Q42" s="25" t="str">
        <f>EVALUATE_LOCATION(InputData[[#This Row],[Section]],InputData[[#This Row],[Forma de Pago]],InputData[[#This Row],[Ubic.Pretendida]],InputData[[#This Row],[Nro pag]])</f>
        <v xml:space="preserve"> </v>
      </c>
      <c r="R42" s="25">
        <f>ROUND(InputData[[#This Row],[AltoCm]],0)</f>
        <v>3</v>
      </c>
      <c r="S42" s="25" t="str">
        <f>InputData[[#This Row],[Col]]&amp;"x"&amp;IF(LEN(InputData[[#This Row],[Alto]])=2,InputData[[#This Row],[Alto]],"0"&amp;InputData[[#This Row],[Alto]])</f>
        <v>1x03</v>
      </c>
    </row>
    <row r="43" spans="1:19" x14ac:dyDescent="0.2">
      <c r="A43" s="25" t="s">
        <v>19</v>
      </c>
      <c r="B43" s="25" t="s">
        <v>493</v>
      </c>
      <c r="C43" s="25" t="s">
        <v>455</v>
      </c>
      <c r="E43" s="25" t="s">
        <v>494</v>
      </c>
      <c r="F43" s="25" t="str">
        <f>LEFT(InputData[[#This Row],[Referencia]],32)</f>
        <v>DUEÑO VENDE DTO. EN PALPALÁ  ZON</v>
      </c>
      <c r="G43" s="25" t="s">
        <v>359</v>
      </c>
      <c r="H43" s="25" t="s">
        <v>22</v>
      </c>
      <c r="I43" s="27">
        <v>143.61333333333332</v>
      </c>
      <c r="J43" s="25" t="s">
        <v>50</v>
      </c>
      <c r="K43" s="25" t="s">
        <v>466</v>
      </c>
      <c r="M43" s="28">
        <v>0</v>
      </c>
      <c r="N43" s="25" t="s">
        <v>21</v>
      </c>
      <c r="O43" s="26">
        <v>1</v>
      </c>
      <c r="P43" s="29">
        <v>5.0000000012500001</v>
      </c>
      <c r="Q43" s="25" t="str">
        <f>EVALUATE_LOCATION(InputData[[#This Row],[Section]],InputData[[#This Row],[Forma de Pago]],InputData[[#This Row],[Ubic.Pretendida]],InputData[[#This Row],[Nro pag]])</f>
        <v xml:space="preserve"> </v>
      </c>
      <c r="R43" s="25">
        <f>ROUND(InputData[[#This Row],[AltoCm]],0)</f>
        <v>5</v>
      </c>
      <c r="S43" s="25" t="str">
        <f>InputData[[#This Row],[Col]]&amp;"x"&amp;IF(LEN(InputData[[#This Row],[Alto]])=2,InputData[[#This Row],[Alto]],"0"&amp;InputData[[#This Row],[Alto]])</f>
        <v>1x05</v>
      </c>
    </row>
    <row r="44" spans="1:19" x14ac:dyDescent="0.2">
      <c r="A44" s="25" t="s">
        <v>19</v>
      </c>
      <c r="B44" s="25" t="s">
        <v>495</v>
      </c>
      <c r="C44" s="25" t="s">
        <v>496</v>
      </c>
      <c r="E44" s="25" t="s">
        <v>497</v>
      </c>
      <c r="F44" s="25" t="str">
        <f>LEFT(InputData[[#This Row],[Referencia]],32)</f>
        <v xml:space="preserve">(LOGO)    AGUADO INMOBILIARIA   </v>
      </c>
      <c r="G44" s="25" t="s">
        <v>359</v>
      </c>
      <c r="H44" s="25" t="s">
        <v>22</v>
      </c>
      <c r="I44" s="27">
        <v>461.61428571428576</v>
      </c>
      <c r="J44" s="25" t="s">
        <v>50</v>
      </c>
      <c r="K44" s="25" t="s">
        <v>466</v>
      </c>
      <c r="M44" s="28">
        <v>0</v>
      </c>
      <c r="N44" s="25" t="s">
        <v>21</v>
      </c>
      <c r="O44" s="26">
        <v>1</v>
      </c>
      <c r="P44" s="29">
        <v>15.000000000222226</v>
      </c>
      <c r="Q44" s="25" t="str">
        <f>EVALUATE_LOCATION(InputData[[#This Row],[Section]],InputData[[#This Row],[Forma de Pago]],InputData[[#This Row],[Ubic.Pretendida]],InputData[[#This Row],[Nro pag]])</f>
        <v xml:space="preserve"> </v>
      </c>
      <c r="R44" s="25">
        <f>ROUND(InputData[[#This Row],[AltoCm]],0)</f>
        <v>15</v>
      </c>
      <c r="S44" s="25" t="str">
        <f>InputData[[#This Row],[Col]]&amp;"x"&amp;IF(LEN(InputData[[#This Row],[Alto]])=2,InputData[[#This Row],[Alto]],"0"&amp;InputData[[#This Row],[Alto]])</f>
        <v>1x15</v>
      </c>
    </row>
    <row r="45" spans="1:19" x14ac:dyDescent="0.2">
      <c r="A45" s="25" t="s">
        <v>19</v>
      </c>
      <c r="B45" s="25" t="s">
        <v>498</v>
      </c>
      <c r="C45" s="25" t="s">
        <v>499</v>
      </c>
      <c r="D45" s="25" t="s">
        <v>500</v>
      </c>
      <c r="E45" s="25" t="s">
        <v>501</v>
      </c>
      <c r="F45" s="25" t="str">
        <f>LEFT(InputData[[#This Row],[Referencia]],32)</f>
        <v>CUBIERTAS Y LLANTAS ORIGINALES</v>
      </c>
      <c r="G45" s="25" t="s">
        <v>359</v>
      </c>
      <c r="H45" s="25" t="s">
        <v>20</v>
      </c>
      <c r="I45" s="27">
        <v>219.22176470588235</v>
      </c>
      <c r="J45" s="25" t="s">
        <v>50</v>
      </c>
      <c r="K45" s="25" t="s">
        <v>502</v>
      </c>
      <c r="M45" s="28">
        <v>0</v>
      </c>
      <c r="N45" s="25" t="s">
        <v>21</v>
      </c>
      <c r="O45" s="26">
        <v>1</v>
      </c>
      <c r="P45" s="29">
        <v>5.0000000012500001</v>
      </c>
      <c r="Q45" s="25" t="str">
        <f>EVALUATE_LOCATION(InputData[[#This Row],[Section]],InputData[[#This Row],[Forma de Pago]],InputData[[#This Row],[Ubic.Pretendida]],InputData[[#This Row],[Nro pag]])</f>
        <v xml:space="preserve"> </v>
      </c>
      <c r="R45" s="25">
        <f>ROUND(InputData[[#This Row],[AltoCm]],0)</f>
        <v>5</v>
      </c>
      <c r="S45" s="25" t="str">
        <f>InputData[[#This Row],[Col]]&amp;"x"&amp;IF(LEN(InputData[[#This Row],[Alto]])=2,InputData[[#This Row],[Alto]],"0"&amp;InputData[[#This Row],[Alto]])</f>
        <v>1x05</v>
      </c>
    </row>
    <row r="46" spans="1:19" x14ac:dyDescent="0.2">
      <c r="A46" s="25" t="s">
        <v>19</v>
      </c>
      <c r="B46" s="25" t="s">
        <v>169</v>
      </c>
      <c r="C46" s="25" t="s">
        <v>170</v>
      </c>
      <c r="D46" s="25" t="s">
        <v>171</v>
      </c>
      <c r="E46" s="25" t="s">
        <v>172</v>
      </c>
      <c r="F46" s="25" t="str">
        <f>LEFT(InputData[[#This Row],[Referencia]],32)</f>
        <v>GUERRERO NEUMATICOS SRL</v>
      </c>
      <c r="G46" s="25" t="s">
        <v>161</v>
      </c>
      <c r="H46" s="25" t="s">
        <v>20</v>
      </c>
      <c r="I46" s="27">
        <v>440</v>
      </c>
      <c r="J46" s="25" t="s">
        <v>50</v>
      </c>
      <c r="K46" s="25" t="s">
        <v>173</v>
      </c>
      <c r="M46" s="28">
        <v>0</v>
      </c>
      <c r="N46" s="25" t="s">
        <v>21</v>
      </c>
      <c r="O46" s="26">
        <v>3</v>
      </c>
      <c r="P46" s="29">
        <v>13.999999999972225</v>
      </c>
      <c r="Q46" s="25" t="str">
        <f>EVALUATE_LOCATION(InputData[[#This Row],[Section]],InputData[[#This Row],[Forma de Pago]],InputData[[#This Row],[Ubic.Pretendida]],InputData[[#This Row],[Nro pag]])</f>
        <v xml:space="preserve"> </v>
      </c>
      <c r="R46" s="25">
        <f>ROUND(InputData[[#This Row],[AltoCm]],0)</f>
        <v>14</v>
      </c>
      <c r="S46" s="25" t="str">
        <f>InputData[[#This Row],[Col]]&amp;"x"&amp;IF(LEN(InputData[[#This Row],[Alto]])=2,InputData[[#This Row],[Alto]],"0"&amp;InputData[[#This Row],[Alto]])</f>
        <v>3x14</v>
      </c>
    </row>
    <row r="47" spans="1:19" x14ac:dyDescent="0.2">
      <c r="A47" s="25" t="s">
        <v>19</v>
      </c>
      <c r="B47" s="25" t="s">
        <v>503</v>
      </c>
      <c r="C47" s="25" t="s">
        <v>504</v>
      </c>
      <c r="D47" s="25" t="s">
        <v>505</v>
      </c>
      <c r="E47" s="25" t="s">
        <v>506</v>
      </c>
      <c r="F47" s="25" t="str">
        <f>LEFT(InputData[[#This Row],[Referencia]],32)</f>
        <v>CARMOTO FERRETERIA INDUSTRIAL</v>
      </c>
      <c r="G47" s="25" t="s">
        <v>359</v>
      </c>
      <c r="H47" s="25" t="s">
        <v>20</v>
      </c>
      <c r="I47" s="27">
        <v>422.22266666666673</v>
      </c>
      <c r="J47" s="25" t="s">
        <v>50</v>
      </c>
      <c r="K47" s="25" t="s">
        <v>507</v>
      </c>
      <c r="M47" s="28">
        <v>0</v>
      </c>
      <c r="N47" s="25" t="s">
        <v>21</v>
      </c>
      <c r="O47" s="26">
        <v>1</v>
      </c>
      <c r="P47" s="29">
        <v>13.999999999972225</v>
      </c>
      <c r="Q47" s="25" t="str">
        <f>EVALUATE_LOCATION(InputData[[#This Row],[Section]],InputData[[#This Row],[Forma de Pago]],InputData[[#This Row],[Ubic.Pretendida]],InputData[[#This Row],[Nro pag]])</f>
        <v xml:space="preserve"> </v>
      </c>
      <c r="R47" s="25">
        <f>ROUND(InputData[[#This Row],[AltoCm]],0)</f>
        <v>14</v>
      </c>
      <c r="S47" s="25" t="str">
        <f>InputData[[#This Row],[Col]]&amp;"x"&amp;IF(LEN(InputData[[#This Row],[Alto]])=2,InputData[[#This Row],[Alto]],"0"&amp;InputData[[#This Row],[Alto]])</f>
        <v>1x14</v>
      </c>
    </row>
    <row r="48" spans="1:19" x14ac:dyDescent="0.2">
      <c r="A48" s="25" t="s">
        <v>19</v>
      </c>
      <c r="B48" s="25" t="s">
        <v>508</v>
      </c>
      <c r="C48" s="25" t="s">
        <v>509</v>
      </c>
      <c r="D48" s="25" t="s">
        <v>510</v>
      </c>
      <c r="E48" s="25" t="s">
        <v>511</v>
      </c>
      <c r="F48" s="25" t="str">
        <f>LEFT(InputData[[#This Row],[Referencia]],32)</f>
        <v>DERGAM</v>
      </c>
      <c r="G48" s="25" t="s">
        <v>359</v>
      </c>
      <c r="H48" s="25" t="s">
        <v>20</v>
      </c>
      <c r="I48" s="27">
        <v>472.26653846153846</v>
      </c>
      <c r="J48" s="25" t="s">
        <v>50</v>
      </c>
      <c r="K48" s="25" t="s">
        <v>507</v>
      </c>
      <c r="M48" s="28">
        <v>0</v>
      </c>
      <c r="N48" s="25" t="s">
        <v>21</v>
      </c>
      <c r="O48" s="26">
        <v>1</v>
      </c>
      <c r="P48" s="29">
        <v>15.000000000222226</v>
      </c>
      <c r="Q48" s="25" t="str">
        <f>EVALUATE_LOCATION(InputData[[#This Row],[Section]],InputData[[#This Row],[Forma de Pago]],InputData[[#This Row],[Ubic.Pretendida]],InputData[[#This Row],[Nro pag]])</f>
        <v xml:space="preserve"> </v>
      </c>
      <c r="R48" s="25">
        <f>ROUND(InputData[[#This Row],[AltoCm]],0)</f>
        <v>15</v>
      </c>
      <c r="S48" s="25" t="str">
        <f>InputData[[#This Row],[Col]]&amp;"x"&amp;IF(LEN(InputData[[#This Row],[Alto]])=2,InputData[[#This Row],[Alto]],"0"&amp;InputData[[#This Row],[Alto]])</f>
        <v>1x15</v>
      </c>
    </row>
    <row r="49" spans="1:19" x14ac:dyDescent="0.2">
      <c r="A49" s="25" t="s">
        <v>19</v>
      </c>
      <c r="B49" s="25" t="s">
        <v>512</v>
      </c>
      <c r="C49" s="25" t="s">
        <v>513</v>
      </c>
      <c r="E49" s="25" t="s">
        <v>514</v>
      </c>
      <c r="F49" s="25" t="str">
        <f>LEFT(InputData[[#This Row],[Referencia]],32)</f>
        <v>INCORPORAMOS PEÓN GENERAL para G</v>
      </c>
      <c r="G49" s="25" t="s">
        <v>359</v>
      </c>
      <c r="H49" s="25" t="s">
        <v>22</v>
      </c>
      <c r="I49" s="27">
        <v>120.63500000000001</v>
      </c>
      <c r="J49" s="25" t="s">
        <v>50</v>
      </c>
      <c r="K49" s="25" t="s">
        <v>515</v>
      </c>
      <c r="M49" s="28">
        <v>0</v>
      </c>
      <c r="N49" s="25" t="s">
        <v>21</v>
      </c>
      <c r="O49" s="26">
        <v>1</v>
      </c>
      <c r="P49" s="29">
        <v>4.0000000010000001</v>
      </c>
      <c r="Q49" s="25" t="str">
        <f>EVALUATE_LOCATION(InputData[[#This Row],[Section]],InputData[[#This Row],[Forma de Pago]],InputData[[#This Row],[Ubic.Pretendida]],InputData[[#This Row],[Nro pag]])</f>
        <v xml:space="preserve"> </v>
      </c>
      <c r="R49" s="25">
        <f>ROUND(InputData[[#This Row],[AltoCm]],0)</f>
        <v>4</v>
      </c>
      <c r="S49" s="25" t="str">
        <f>InputData[[#This Row],[Col]]&amp;"x"&amp;IF(LEN(InputData[[#This Row],[Alto]])=2,InputData[[#This Row],[Alto]],"0"&amp;InputData[[#This Row],[Alto]])</f>
        <v>1x04</v>
      </c>
    </row>
    <row r="50" spans="1:19" x14ac:dyDescent="0.2">
      <c r="A50" s="25" t="s">
        <v>19</v>
      </c>
      <c r="B50" s="25" t="s">
        <v>516</v>
      </c>
      <c r="C50" s="25" t="s">
        <v>517</v>
      </c>
      <c r="D50" s="25" t="s">
        <v>518</v>
      </c>
      <c r="E50" s="25" t="s">
        <v>519</v>
      </c>
      <c r="F50" s="25" t="str">
        <f>LEFT(InputData[[#This Row],[Referencia]],32)</f>
        <v>empresa constructora solicita ch</v>
      </c>
      <c r="G50" s="25" t="s">
        <v>359</v>
      </c>
      <c r="H50" s="25" t="s">
        <v>20</v>
      </c>
      <c r="I50" s="27">
        <v>252.75933333333336</v>
      </c>
      <c r="J50" s="25" t="s">
        <v>50</v>
      </c>
      <c r="K50" s="25" t="s">
        <v>515</v>
      </c>
      <c r="M50" s="28">
        <v>0</v>
      </c>
      <c r="N50" s="25" t="s">
        <v>21</v>
      </c>
      <c r="O50" s="26">
        <v>1</v>
      </c>
      <c r="P50" s="29">
        <v>7.9999999984722239</v>
      </c>
      <c r="Q50" s="25" t="str">
        <f>EVALUATE_LOCATION(InputData[[#This Row],[Section]],InputData[[#This Row],[Forma de Pago]],InputData[[#This Row],[Ubic.Pretendida]],InputData[[#This Row],[Nro pag]])</f>
        <v xml:space="preserve"> </v>
      </c>
      <c r="R50" s="25">
        <f>ROUND(InputData[[#This Row],[AltoCm]],0)</f>
        <v>8</v>
      </c>
      <c r="S50" s="25" t="str">
        <f>InputData[[#This Row],[Col]]&amp;"x"&amp;IF(LEN(InputData[[#This Row],[Alto]])=2,InputData[[#This Row],[Alto]],"0"&amp;InputData[[#This Row],[Alto]])</f>
        <v>1x08</v>
      </c>
    </row>
    <row r="51" spans="1:19" x14ac:dyDescent="0.2">
      <c r="A51" s="25" t="s">
        <v>19</v>
      </c>
      <c r="B51" s="25" t="s">
        <v>520</v>
      </c>
      <c r="C51" s="25" t="s">
        <v>521</v>
      </c>
      <c r="E51" s="25" t="s">
        <v>522</v>
      </c>
      <c r="F51" s="25" t="str">
        <f>LEFT(InputData[[#This Row],[Referencia]],32)</f>
        <v>EMPRESA CONSTRUCTORA INCORPORA O</v>
      </c>
      <c r="G51" s="25" t="s">
        <v>359</v>
      </c>
      <c r="H51" s="25" t="s">
        <v>22</v>
      </c>
      <c r="I51" s="27">
        <v>153.87142857142857</v>
      </c>
      <c r="J51" s="25" t="s">
        <v>50</v>
      </c>
      <c r="K51" s="25" t="s">
        <v>515</v>
      </c>
      <c r="M51" s="28">
        <v>0</v>
      </c>
      <c r="N51" s="25" t="s">
        <v>21</v>
      </c>
      <c r="O51" s="26">
        <v>1</v>
      </c>
      <c r="P51" s="29">
        <v>5.0000000012500001</v>
      </c>
      <c r="Q51" s="25" t="str">
        <f>EVALUATE_LOCATION(InputData[[#This Row],[Section]],InputData[[#This Row],[Forma de Pago]],InputData[[#This Row],[Ubic.Pretendida]],InputData[[#This Row],[Nro pag]])</f>
        <v xml:space="preserve"> </v>
      </c>
      <c r="R51" s="25">
        <f>ROUND(InputData[[#This Row],[AltoCm]],0)</f>
        <v>5</v>
      </c>
      <c r="S51" s="25" t="str">
        <f>InputData[[#This Row],[Col]]&amp;"x"&amp;IF(LEN(InputData[[#This Row],[Alto]])=2,InputData[[#This Row],[Alto]],"0"&amp;InputData[[#This Row],[Alto]])</f>
        <v>1x05</v>
      </c>
    </row>
    <row r="52" spans="1:19" x14ac:dyDescent="0.2">
      <c r="A52" s="25" t="s">
        <v>19</v>
      </c>
      <c r="B52" s="25" t="s">
        <v>523</v>
      </c>
      <c r="C52" s="25" t="s">
        <v>524</v>
      </c>
      <c r="E52" s="25" t="s">
        <v>525</v>
      </c>
      <c r="F52" s="25" t="str">
        <f>LEFT(InputData[[#This Row],[Referencia]],32)</f>
        <v xml:space="preserve">SE NECESITA oficiales armadores </v>
      </c>
      <c r="G52" s="25" t="s">
        <v>359</v>
      </c>
      <c r="H52" s="25" t="s">
        <v>22</v>
      </c>
      <c r="I52" s="27">
        <v>61.548571428571435</v>
      </c>
      <c r="J52" s="25" t="s">
        <v>50</v>
      </c>
      <c r="K52" s="25" t="s">
        <v>515</v>
      </c>
      <c r="M52" s="28">
        <v>0</v>
      </c>
      <c r="N52" s="25" t="s">
        <v>21</v>
      </c>
      <c r="O52" s="26">
        <v>1</v>
      </c>
      <c r="P52" s="29">
        <v>2.0000000005</v>
      </c>
      <c r="Q52" s="25" t="str">
        <f>EVALUATE_LOCATION(InputData[[#This Row],[Section]],InputData[[#This Row],[Forma de Pago]],InputData[[#This Row],[Ubic.Pretendida]],InputData[[#This Row],[Nro pag]])</f>
        <v xml:space="preserve"> </v>
      </c>
      <c r="R52" s="25">
        <f>ROUND(InputData[[#This Row],[AltoCm]],0)</f>
        <v>2</v>
      </c>
      <c r="S52" s="25" t="str">
        <f>InputData[[#This Row],[Col]]&amp;"x"&amp;IF(LEN(InputData[[#This Row],[Alto]])=2,InputData[[#This Row],[Alto]],"0"&amp;InputData[[#This Row],[Alto]])</f>
        <v>1x02</v>
      </c>
    </row>
    <row r="53" spans="1:19" x14ac:dyDescent="0.2">
      <c r="A53" s="25" t="s">
        <v>19</v>
      </c>
      <c r="B53" s="25" t="s">
        <v>526</v>
      </c>
      <c r="C53" s="25" t="s">
        <v>527</v>
      </c>
      <c r="E53" s="25" t="s">
        <v>528</v>
      </c>
      <c r="F53" s="25" t="str">
        <f>LEFT(InputData[[#This Row],[Referencia]],32)</f>
        <v>SE BUSCA MEDICO/A para cubrir gu</v>
      </c>
      <c r="G53" s="25" t="s">
        <v>359</v>
      </c>
      <c r="H53" s="25" t="s">
        <v>22</v>
      </c>
      <c r="I53" s="27">
        <v>90.476333333333329</v>
      </c>
      <c r="J53" s="25" t="s">
        <v>50</v>
      </c>
      <c r="K53" s="25" t="s">
        <v>515</v>
      </c>
      <c r="M53" s="28">
        <v>0</v>
      </c>
      <c r="N53" s="25" t="s">
        <v>21</v>
      </c>
      <c r="O53" s="26">
        <v>1</v>
      </c>
      <c r="P53" s="29">
        <v>3.0000000007500001</v>
      </c>
      <c r="Q53" s="25" t="str">
        <f>EVALUATE_LOCATION(InputData[[#This Row],[Section]],InputData[[#This Row],[Forma de Pago]],InputData[[#This Row],[Ubic.Pretendida]],InputData[[#This Row],[Nro pag]])</f>
        <v xml:space="preserve"> </v>
      </c>
      <c r="R53" s="25">
        <f>ROUND(InputData[[#This Row],[AltoCm]],0)</f>
        <v>3</v>
      </c>
      <c r="S53" s="25" t="str">
        <f>InputData[[#This Row],[Col]]&amp;"x"&amp;IF(LEN(InputData[[#This Row],[Alto]])=2,InputData[[#This Row],[Alto]],"0"&amp;InputData[[#This Row],[Alto]])</f>
        <v>1x03</v>
      </c>
    </row>
    <row r="54" spans="1:19" x14ac:dyDescent="0.2">
      <c r="A54" s="25" t="s">
        <v>19</v>
      </c>
      <c r="B54" s="25" t="s">
        <v>529</v>
      </c>
      <c r="C54" s="25" t="s">
        <v>527</v>
      </c>
      <c r="E54" s="25" t="s">
        <v>530</v>
      </c>
      <c r="F54" s="25" t="str">
        <f>LEFT(InputData[[#This Row],[Referencia]],32)</f>
        <v>URGENTE CLÍNICA SOLICITA MOVILES</v>
      </c>
      <c r="G54" s="25" t="s">
        <v>359</v>
      </c>
      <c r="H54" s="25" t="s">
        <v>22</v>
      </c>
      <c r="I54" s="27">
        <v>123.09714285714287</v>
      </c>
      <c r="J54" s="25" t="s">
        <v>50</v>
      </c>
      <c r="K54" s="25" t="s">
        <v>515</v>
      </c>
      <c r="M54" s="28">
        <v>0</v>
      </c>
      <c r="N54" s="25" t="s">
        <v>21</v>
      </c>
      <c r="O54" s="26">
        <v>1</v>
      </c>
      <c r="P54" s="29">
        <v>4.0000000010000001</v>
      </c>
      <c r="Q54" s="25" t="str">
        <f>EVALUATE_LOCATION(InputData[[#This Row],[Section]],InputData[[#This Row],[Forma de Pago]],InputData[[#This Row],[Ubic.Pretendida]],InputData[[#This Row],[Nro pag]])</f>
        <v xml:space="preserve"> </v>
      </c>
      <c r="R54" s="25">
        <f>ROUND(InputData[[#This Row],[AltoCm]],0)</f>
        <v>4</v>
      </c>
      <c r="S54" s="25" t="str">
        <f>InputData[[#This Row],[Col]]&amp;"x"&amp;IF(LEN(InputData[[#This Row],[Alto]])=2,InputData[[#This Row],[Alto]],"0"&amp;InputData[[#This Row],[Alto]])</f>
        <v>1x04</v>
      </c>
    </row>
    <row r="55" spans="1:19" x14ac:dyDescent="0.2">
      <c r="A55" s="25" t="s">
        <v>19</v>
      </c>
      <c r="B55" s="25" t="s">
        <v>531</v>
      </c>
      <c r="C55" s="25" t="s">
        <v>532</v>
      </c>
      <c r="E55" s="25" t="s">
        <v>533</v>
      </c>
      <c r="F55" s="25" t="str">
        <f>LEFT(InputData[[#This Row],[Referencia]],32)</f>
        <v>IMPORTANTE EMPRESA DEL MEDIO sol</v>
      </c>
      <c r="G55" s="25" t="s">
        <v>359</v>
      </c>
      <c r="H55" s="25" t="s">
        <v>22</v>
      </c>
      <c r="I55" s="27">
        <v>246.19428571428574</v>
      </c>
      <c r="J55" s="25" t="s">
        <v>50</v>
      </c>
      <c r="K55" s="25" t="s">
        <v>515</v>
      </c>
      <c r="M55" s="28">
        <v>0</v>
      </c>
      <c r="N55" s="25" t="s">
        <v>21</v>
      </c>
      <c r="O55" s="26">
        <v>1</v>
      </c>
      <c r="P55" s="29">
        <v>7.9999999984722239</v>
      </c>
      <c r="Q55" s="25" t="str">
        <f>EVALUATE_LOCATION(InputData[[#This Row],[Section]],InputData[[#This Row],[Forma de Pago]],InputData[[#This Row],[Ubic.Pretendida]],InputData[[#This Row],[Nro pag]])</f>
        <v xml:space="preserve"> </v>
      </c>
      <c r="R55" s="25">
        <f>ROUND(InputData[[#This Row],[AltoCm]],0)</f>
        <v>8</v>
      </c>
      <c r="S55" s="25" t="str">
        <f>InputData[[#This Row],[Col]]&amp;"x"&amp;IF(LEN(InputData[[#This Row],[Alto]])=2,InputData[[#This Row],[Alto]],"0"&amp;InputData[[#This Row],[Alto]])</f>
        <v>1x08</v>
      </c>
    </row>
    <row r="56" spans="1:19" x14ac:dyDescent="0.2">
      <c r="A56" s="25" t="s">
        <v>19</v>
      </c>
      <c r="B56" s="25" t="s">
        <v>534</v>
      </c>
      <c r="C56" s="25" t="s">
        <v>535</v>
      </c>
      <c r="E56" s="25" t="s">
        <v>536</v>
      </c>
      <c r="F56" s="25" t="str">
        <f>LEFT(InputData[[#This Row],[Referencia]],32)</f>
        <v>SE BUSCA JEFE DE COCINA con expe</v>
      </c>
      <c r="G56" s="25" t="s">
        <v>359</v>
      </c>
      <c r="H56" s="25" t="s">
        <v>22</v>
      </c>
      <c r="I56" s="27">
        <v>123.09714285714287</v>
      </c>
      <c r="J56" s="25" t="s">
        <v>50</v>
      </c>
      <c r="K56" s="25" t="s">
        <v>515</v>
      </c>
      <c r="M56" s="28">
        <v>0</v>
      </c>
      <c r="N56" s="25" t="s">
        <v>21</v>
      </c>
      <c r="O56" s="26">
        <v>1</v>
      </c>
      <c r="P56" s="29">
        <v>4.0000000010000001</v>
      </c>
      <c r="Q56" s="25" t="str">
        <f>EVALUATE_LOCATION(InputData[[#This Row],[Section]],InputData[[#This Row],[Forma de Pago]],InputData[[#This Row],[Ubic.Pretendida]],InputData[[#This Row],[Nro pag]])</f>
        <v xml:space="preserve"> </v>
      </c>
      <c r="R56" s="25">
        <f>ROUND(InputData[[#This Row],[AltoCm]],0)</f>
        <v>4</v>
      </c>
      <c r="S56" s="25" t="str">
        <f>InputData[[#This Row],[Col]]&amp;"x"&amp;IF(LEN(InputData[[#This Row],[Alto]])=2,InputData[[#This Row],[Alto]],"0"&amp;InputData[[#This Row],[Alto]])</f>
        <v>1x04</v>
      </c>
    </row>
    <row r="57" spans="1:19" x14ac:dyDescent="0.2">
      <c r="A57" s="25" t="s">
        <v>19</v>
      </c>
      <c r="B57" s="25" t="s">
        <v>537</v>
      </c>
      <c r="C57" s="25" t="s">
        <v>538</v>
      </c>
      <c r="E57" s="25" t="s">
        <v>539</v>
      </c>
      <c r="F57" s="25" t="str">
        <f>LEFT(InputData[[#This Row],[Referencia]],32)</f>
        <v>OFIAL ALBAÑIL Con experiencia en</v>
      </c>
      <c r="G57" s="25" t="s">
        <v>359</v>
      </c>
      <c r="H57" s="25" t="s">
        <v>22</v>
      </c>
      <c r="I57" s="27">
        <v>184.64571428571429</v>
      </c>
      <c r="J57" s="25" t="s">
        <v>50</v>
      </c>
      <c r="K57" s="25" t="s">
        <v>515</v>
      </c>
      <c r="M57" s="28">
        <v>0</v>
      </c>
      <c r="N57" s="25" t="s">
        <v>21</v>
      </c>
      <c r="O57" s="26">
        <v>1</v>
      </c>
      <c r="P57" s="29">
        <v>6.0000000015000001</v>
      </c>
      <c r="Q57" s="25" t="str">
        <f>EVALUATE_LOCATION(InputData[[#This Row],[Section]],InputData[[#This Row],[Forma de Pago]],InputData[[#This Row],[Ubic.Pretendida]],InputData[[#This Row],[Nro pag]])</f>
        <v xml:space="preserve"> </v>
      </c>
      <c r="R57" s="25">
        <f>ROUND(InputData[[#This Row],[AltoCm]],0)</f>
        <v>6</v>
      </c>
      <c r="S57" s="25" t="str">
        <f>InputData[[#This Row],[Col]]&amp;"x"&amp;IF(LEN(InputData[[#This Row],[Alto]])=2,InputData[[#This Row],[Alto]],"0"&amp;InputData[[#This Row],[Alto]])</f>
        <v>1x06</v>
      </c>
    </row>
    <row r="58" spans="1:19" x14ac:dyDescent="0.2">
      <c r="A58" s="25" t="s">
        <v>19</v>
      </c>
      <c r="B58" s="25" t="s">
        <v>540</v>
      </c>
      <c r="C58" s="25" t="s">
        <v>538</v>
      </c>
      <c r="E58" s="25" t="s">
        <v>541</v>
      </c>
      <c r="F58" s="25" t="str">
        <f>LEFT(InputData[[#This Row],[Referencia]],32)</f>
        <v>VENDEDOR/A   -Con experiencia co</v>
      </c>
      <c r="G58" s="25" t="s">
        <v>359</v>
      </c>
      <c r="H58" s="25" t="s">
        <v>22</v>
      </c>
      <c r="I58" s="27">
        <v>246.19428571428574</v>
      </c>
      <c r="J58" s="25" t="s">
        <v>50</v>
      </c>
      <c r="K58" s="25" t="s">
        <v>515</v>
      </c>
      <c r="M58" s="28">
        <v>0</v>
      </c>
      <c r="N58" s="25" t="s">
        <v>21</v>
      </c>
      <c r="O58" s="26">
        <v>1</v>
      </c>
      <c r="P58" s="29">
        <v>7.9999999984722239</v>
      </c>
      <c r="Q58" s="25" t="str">
        <f>EVALUATE_LOCATION(InputData[[#This Row],[Section]],InputData[[#This Row],[Forma de Pago]],InputData[[#This Row],[Ubic.Pretendida]],InputData[[#This Row],[Nro pag]])</f>
        <v xml:space="preserve"> </v>
      </c>
      <c r="R58" s="25">
        <f>ROUND(InputData[[#This Row],[AltoCm]],0)</f>
        <v>8</v>
      </c>
      <c r="S58" s="25" t="str">
        <f>InputData[[#This Row],[Col]]&amp;"x"&amp;IF(LEN(InputData[[#This Row],[Alto]])=2,InputData[[#This Row],[Alto]],"0"&amp;InputData[[#This Row],[Alto]])</f>
        <v>1x08</v>
      </c>
    </row>
    <row r="59" spans="1:19" x14ac:dyDescent="0.2">
      <c r="A59" s="25" t="s">
        <v>19</v>
      </c>
      <c r="B59" s="25" t="s">
        <v>542</v>
      </c>
      <c r="C59" s="25" t="s">
        <v>543</v>
      </c>
      <c r="D59" s="25" t="s">
        <v>544</v>
      </c>
      <c r="E59" s="25" t="s">
        <v>545</v>
      </c>
      <c r="F59" s="25" t="str">
        <f>LEFT(InputData[[#This Row],[Referencia]],32)</f>
        <v>VENDEDOR DE SALON</v>
      </c>
      <c r="G59" s="25" t="s">
        <v>359</v>
      </c>
      <c r="H59" s="25" t="s">
        <v>20</v>
      </c>
      <c r="I59" s="27">
        <v>226.19</v>
      </c>
      <c r="J59" s="25" t="s">
        <v>50</v>
      </c>
      <c r="K59" s="25" t="s">
        <v>515</v>
      </c>
      <c r="M59" s="28">
        <v>0</v>
      </c>
      <c r="N59" s="25" t="s">
        <v>21</v>
      </c>
      <c r="O59" s="26">
        <v>1</v>
      </c>
      <c r="P59" s="29">
        <v>7.0000000017499984</v>
      </c>
      <c r="Q59" s="25" t="str">
        <f>EVALUATE_LOCATION(InputData[[#This Row],[Section]],InputData[[#This Row],[Forma de Pago]],InputData[[#This Row],[Ubic.Pretendida]],InputData[[#This Row],[Nro pag]])</f>
        <v xml:space="preserve"> </v>
      </c>
      <c r="R59" s="25">
        <f>ROUND(InputData[[#This Row],[AltoCm]],0)</f>
        <v>7</v>
      </c>
      <c r="S59" s="25" t="str">
        <f>InputData[[#This Row],[Col]]&amp;"x"&amp;IF(LEN(InputData[[#This Row],[Alto]])=2,InputData[[#This Row],[Alto]],"0"&amp;InputData[[#This Row],[Alto]])</f>
        <v>1x07</v>
      </c>
    </row>
    <row r="60" spans="1:19" x14ac:dyDescent="0.2">
      <c r="A60" s="25" t="s">
        <v>19</v>
      </c>
      <c r="B60" s="25" t="s">
        <v>546</v>
      </c>
      <c r="C60" s="25" t="s">
        <v>543</v>
      </c>
      <c r="D60" s="25" t="s">
        <v>547</v>
      </c>
      <c r="E60" s="25" t="s">
        <v>548</v>
      </c>
      <c r="F60" s="25" t="str">
        <f>LEFT(InputData[[#This Row],[Referencia]],32)</f>
        <v>VENDEDOR VIAJANTE</v>
      </c>
      <c r="G60" s="25" t="s">
        <v>359</v>
      </c>
      <c r="H60" s="25" t="s">
        <v>20</v>
      </c>
      <c r="I60" s="27">
        <v>226.19</v>
      </c>
      <c r="J60" s="25" t="s">
        <v>50</v>
      </c>
      <c r="K60" s="25" t="s">
        <v>515</v>
      </c>
      <c r="M60" s="28">
        <v>0</v>
      </c>
      <c r="N60" s="25" t="s">
        <v>21</v>
      </c>
      <c r="O60" s="26">
        <v>1</v>
      </c>
      <c r="P60" s="29">
        <v>7.0000000017499984</v>
      </c>
      <c r="Q60" s="25" t="str">
        <f>EVALUATE_LOCATION(InputData[[#This Row],[Section]],InputData[[#This Row],[Forma de Pago]],InputData[[#This Row],[Ubic.Pretendida]],InputData[[#This Row],[Nro pag]])</f>
        <v xml:space="preserve"> </v>
      </c>
      <c r="R60" s="25">
        <f>ROUND(InputData[[#This Row],[AltoCm]],0)</f>
        <v>7</v>
      </c>
      <c r="S60" s="25" t="str">
        <f>InputData[[#This Row],[Col]]&amp;"x"&amp;IF(LEN(InputData[[#This Row],[Alto]])=2,InputData[[#This Row],[Alto]],"0"&amp;InputData[[#This Row],[Alto]])</f>
        <v>1x07</v>
      </c>
    </row>
    <row r="61" spans="1:19" x14ac:dyDescent="0.2">
      <c r="A61" s="25" t="s">
        <v>19</v>
      </c>
      <c r="B61" s="25" t="s">
        <v>549</v>
      </c>
      <c r="C61" s="25" t="s">
        <v>538</v>
      </c>
      <c r="E61" s="25" t="s">
        <v>550</v>
      </c>
      <c r="F61" s="25" t="str">
        <f>LEFT(InputData[[#This Row],[Referencia]],32)</f>
        <v>CAPTADOR-A/VENDEDOR-A - Capacida</v>
      </c>
      <c r="G61" s="25" t="s">
        <v>359</v>
      </c>
      <c r="H61" s="25" t="s">
        <v>22</v>
      </c>
      <c r="I61" s="27">
        <v>304.70714285714286</v>
      </c>
      <c r="J61" s="25" t="s">
        <v>50</v>
      </c>
      <c r="K61" s="25" t="s">
        <v>515</v>
      </c>
      <c r="M61" s="28">
        <v>0</v>
      </c>
      <c r="N61" s="25" t="s">
        <v>21</v>
      </c>
      <c r="O61" s="26">
        <v>1</v>
      </c>
      <c r="P61" s="29">
        <v>9.999999998972223</v>
      </c>
      <c r="Q61" s="25" t="str">
        <f>EVALUATE_LOCATION(InputData[[#This Row],[Section]],InputData[[#This Row],[Forma de Pago]],InputData[[#This Row],[Ubic.Pretendida]],InputData[[#This Row],[Nro pag]])</f>
        <v xml:space="preserve"> </v>
      </c>
      <c r="R61" s="25">
        <f>ROUND(InputData[[#This Row],[AltoCm]],0)</f>
        <v>10</v>
      </c>
      <c r="S61" s="25" t="str">
        <f>InputData[[#This Row],[Col]]&amp;"x"&amp;IF(LEN(InputData[[#This Row],[Alto]])=2,InputData[[#This Row],[Alto]],"0"&amp;InputData[[#This Row],[Alto]])</f>
        <v>1x10</v>
      </c>
    </row>
    <row r="62" spans="1:19" x14ac:dyDescent="0.2">
      <c r="A62" s="25" t="s">
        <v>19</v>
      </c>
      <c r="B62" s="25" t="s">
        <v>551</v>
      </c>
      <c r="C62" s="25" t="s">
        <v>552</v>
      </c>
      <c r="E62" s="25" t="s">
        <v>553</v>
      </c>
      <c r="F62" s="25" t="str">
        <f>LEFT(InputData[[#This Row],[Referencia]],32)</f>
        <v>NECESITO LIC. en Adm. De Empresa</v>
      </c>
      <c r="G62" s="25" t="s">
        <v>359</v>
      </c>
      <c r="H62" s="25" t="s">
        <v>22</v>
      </c>
      <c r="I62" s="27">
        <v>61.548571428571435</v>
      </c>
      <c r="J62" s="25" t="s">
        <v>50</v>
      </c>
      <c r="K62" s="25" t="s">
        <v>515</v>
      </c>
      <c r="M62" s="28">
        <v>0</v>
      </c>
      <c r="N62" s="25" t="s">
        <v>21</v>
      </c>
      <c r="O62" s="26">
        <v>1</v>
      </c>
      <c r="P62" s="29">
        <v>2.0000000005</v>
      </c>
      <c r="Q62" s="25" t="str">
        <f>EVALUATE_LOCATION(InputData[[#This Row],[Section]],InputData[[#This Row],[Forma de Pago]],InputData[[#This Row],[Ubic.Pretendida]],InputData[[#This Row],[Nro pag]])</f>
        <v xml:space="preserve"> </v>
      </c>
      <c r="R62" s="25">
        <f>ROUND(InputData[[#This Row],[AltoCm]],0)</f>
        <v>2</v>
      </c>
      <c r="S62" s="25" t="str">
        <f>InputData[[#This Row],[Col]]&amp;"x"&amp;IF(LEN(InputData[[#This Row],[Alto]])=2,InputData[[#This Row],[Alto]],"0"&amp;InputData[[#This Row],[Alto]])</f>
        <v>1x02</v>
      </c>
    </row>
    <row r="63" spans="1:19" x14ac:dyDescent="0.2">
      <c r="A63" s="25" t="s">
        <v>19</v>
      </c>
      <c r="B63" s="25" t="s">
        <v>554</v>
      </c>
      <c r="C63" s="25" t="s">
        <v>555</v>
      </c>
      <c r="D63" s="25" t="s">
        <v>556</v>
      </c>
      <c r="E63" s="25" t="s">
        <v>557</v>
      </c>
      <c r="F63" s="25" t="str">
        <f>LEFT(InputData[[#This Row],[Referencia]],32)</f>
        <v>EMPRESA NECESITA AYUDANTE DE DEP</v>
      </c>
      <c r="G63" s="25" t="s">
        <v>359</v>
      </c>
      <c r="H63" s="25" t="s">
        <v>20</v>
      </c>
      <c r="I63" s="27">
        <v>96.940000000000026</v>
      </c>
      <c r="J63" s="25" t="s">
        <v>50</v>
      </c>
      <c r="K63" s="25" t="s">
        <v>515</v>
      </c>
      <c r="M63" s="28">
        <v>0</v>
      </c>
      <c r="N63" s="25" t="s">
        <v>21</v>
      </c>
      <c r="O63" s="26">
        <v>1</v>
      </c>
      <c r="P63" s="29">
        <v>3.0000000007500001</v>
      </c>
      <c r="Q63" s="25" t="str">
        <f>EVALUATE_LOCATION(InputData[[#This Row],[Section]],InputData[[#This Row],[Forma de Pago]],InputData[[#This Row],[Ubic.Pretendida]],InputData[[#This Row],[Nro pag]])</f>
        <v xml:space="preserve"> </v>
      </c>
      <c r="R63" s="25">
        <f>ROUND(InputData[[#This Row],[AltoCm]],0)</f>
        <v>3</v>
      </c>
      <c r="S63" s="25" t="str">
        <f>InputData[[#This Row],[Col]]&amp;"x"&amp;IF(LEN(InputData[[#This Row],[Alto]])=2,InputData[[#This Row],[Alto]],"0"&amp;InputData[[#This Row],[Alto]])</f>
        <v>1x03</v>
      </c>
    </row>
    <row r="64" spans="1:19" x14ac:dyDescent="0.2">
      <c r="A64" s="25" t="s">
        <v>19</v>
      </c>
      <c r="B64" s="25" t="s">
        <v>558</v>
      </c>
      <c r="C64" s="25" t="s">
        <v>446</v>
      </c>
      <c r="E64" s="25" t="s">
        <v>559</v>
      </c>
      <c r="F64" s="25" t="str">
        <f>LEFT(InputData[[#This Row],[Referencia]],32)</f>
        <v>JUBILACIÓN PARA PERSONAL DE SERV</v>
      </c>
      <c r="G64" s="25" t="s">
        <v>359</v>
      </c>
      <c r="H64" s="25" t="s">
        <v>22</v>
      </c>
      <c r="I64" s="27">
        <v>60.317666666666668</v>
      </c>
      <c r="J64" s="25" t="s">
        <v>50</v>
      </c>
      <c r="K64" s="25" t="s">
        <v>560</v>
      </c>
      <c r="M64" s="28">
        <v>0</v>
      </c>
      <c r="N64" s="25" t="s">
        <v>21</v>
      </c>
      <c r="O64" s="26">
        <v>1</v>
      </c>
      <c r="P64" s="29">
        <v>2.0000000005</v>
      </c>
      <c r="Q64" s="25" t="str">
        <f>EVALUATE_LOCATION(InputData[[#This Row],[Section]],InputData[[#This Row],[Forma de Pago]],InputData[[#This Row],[Ubic.Pretendida]],InputData[[#This Row],[Nro pag]])</f>
        <v xml:space="preserve"> </v>
      </c>
      <c r="R64" s="25">
        <f>ROUND(InputData[[#This Row],[AltoCm]],0)</f>
        <v>2</v>
      </c>
      <c r="S64" s="25" t="str">
        <f>InputData[[#This Row],[Col]]&amp;"x"&amp;IF(LEN(InputData[[#This Row],[Alto]])=2,InputData[[#This Row],[Alto]],"0"&amp;InputData[[#This Row],[Alto]])</f>
        <v>1x02</v>
      </c>
    </row>
    <row r="65" spans="1:19" x14ac:dyDescent="0.2">
      <c r="A65" s="25" t="s">
        <v>19</v>
      </c>
      <c r="B65" s="25" t="s">
        <v>561</v>
      </c>
      <c r="C65" s="25" t="s">
        <v>562</v>
      </c>
      <c r="E65" s="25" t="s">
        <v>563</v>
      </c>
      <c r="F65" s="25" t="str">
        <f>LEFT(InputData[[#This Row],[Referencia]],32)</f>
        <v>ALQUILO BAÑOS QUIMICOS, DESAGOTE</v>
      </c>
      <c r="G65" s="25" t="s">
        <v>359</v>
      </c>
      <c r="H65" s="25" t="s">
        <v>22</v>
      </c>
      <c r="I65" s="27">
        <v>64.626000000000005</v>
      </c>
      <c r="J65" s="25" t="s">
        <v>50</v>
      </c>
      <c r="K65" s="25" t="s">
        <v>564</v>
      </c>
      <c r="M65" s="28">
        <v>0</v>
      </c>
      <c r="N65" s="25" t="s">
        <v>21</v>
      </c>
      <c r="O65" s="26">
        <v>1</v>
      </c>
      <c r="P65" s="29">
        <v>3.0000000007500001</v>
      </c>
      <c r="Q65" s="25" t="str">
        <f>EVALUATE_LOCATION(InputData[[#This Row],[Section]],InputData[[#This Row],[Forma de Pago]],InputData[[#This Row],[Ubic.Pretendida]],InputData[[#This Row],[Nro pag]])</f>
        <v xml:space="preserve"> </v>
      </c>
      <c r="R65" s="25">
        <f>ROUND(InputData[[#This Row],[AltoCm]],0)</f>
        <v>3</v>
      </c>
      <c r="S65" s="25" t="str">
        <f>InputData[[#This Row],[Col]]&amp;"x"&amp;IF(LEN(InputData[[#This Row],[Alto]])=2,InputData[[#This Row],[Alto]],"0"&amp;InputData[[#This Row],[Alto]])</f>
        <v>1x03</v>
      </c>
    </row>
    <row r="66" spans="1:19" x14ac:dyDescent="0.2">
      <c r="A66" s="25" t="s">
        <v>19</v>
      </c>
      <c r="B66" s="25" t="s">
        <v>565</v>
      </c>
      <c r="C66" s="25" t="s">
        <v>566</v>
      </c>
      <c r="E66" s="25" t="s">
        <v>567</v>
      </c>
      <c r="F66" s="25" t="str">
        <f>LEFT(InputData[[#This Row],[Referencia]],32)</f>
        <v>IMPERBEABILIZACION          DE T</v>
      </c>
      <c r="G66" s="25" t="s">
        <v>359</v>
      </c>
      <c r="H66" s="25" t="s">
        <v>22</v>
      </c>
      <c r="I66" s="27">
        <v>123.09714285714287</v>
      </c>
      <c r="J66" s="25" t="s">
        <v>50</v>
      </c>
      <c r="K66" s="25" t="s">
        <v>564</v>
      </c>
      <c r="M66" s="28">
        <v>0</v>
      </c>
      <c r="N66" s="25" t="s">
        <v>21</v>
      </c>
      <c r="O66" s="26">
        <v>1</v>
      </c>
      <c r="P66" s="29">
        <v>4.0000000010000001</v>
      </c>
      <c r="Q66" s="25" t="str">
        <f>EVALUATE_LOCATION(InputData[[#This Row],[Section]],InputData[[#This Row],[Forma de Pago]],InputData[[#This Row],[Ubic.Pretendida]],InputData[[#This Row],[Nro pag]])</f>
        <v xml:space="preserve"> </v>
      </c>
      <c r="R66" s="25">
        <f>ROUND(InputData[[#This Row],[AltoCm]],0)</f>
        <v>4</v>
      </c>
      <c r="S66" s="25" t="str">
        <f>InputData[[#This Row],[Col]]&amp;"x"&amp;IF(LEN(InputData[[#This Row],[Alto]])=2,InputData[[#This Row],[Alto]],"0"&amp;InputData[[#This Row],[Alto]])</f>
        <v>1x04</v>
      </c>
    </row>
    <row r="67" spans="1:19" x14ac:dyDescent="0.2">
      <c r="A67" s="25" t="s">
        <v>19</v>
      </c>
      <c r="B67" s="25" t="s">
        <v>568</v>
      </c>
      <c r="C67" s="25" t="s">
        <v>446</v>
      </c>
      <c r="E67" s="25" t="s">
        <v>569</v>
      </c>
      <c r="F67" s="25" t="str">
        <f>LEFT(InputData[[#This Row],[Referencia]],32)</f>
        <v>JUBILACION - PENSION Ama de Casa</v>
      </c>
      <c r="G67" s="25" t="s">
        <v>359</v>
      </c>
      <c r="H67" s="25" t="s">
        <v>22</v>
      </c>
      <c r="I67" s="27">
        <v>180.95266666666666</v>
      </c>
      <c r="J67" s="25" t="s">
        <v>50</v>
      </c>
      <c r="K67" s="25" t="s">
        <v>564</v>
      </c>
      <c r="M67" s="28">
        <v>0</v>
      </c>
      <c r="N67" s="25" t="s">
        <v>21</v>
      </c>
      <c r="O67" s="26">
        <v>1</v>
      </c>
      <c r="P67" s="29">
        <v>6.0000000015000001</v>
      </c>
      <c r="Q67" s="25" t="str">
        <f>EVALUATE_LOCATION(InputData[[#This Row],[Section]],InputData[[#This Row],[Forma de Pago]],InputData[[#This Row],[Ubic.Pretendida]],InputData[[#This Row],[Nro pag]])</f>
        <v xml:space="preserve"> </v>
      </c>
      <c r="R67" s="25">
        <f>ROUND(InputData[[#This Row],[AltoCm]],0)</f>
        <v>6</v>
      </c>
      <c r="S67" s="25" t="str">
        <f>InputData[[#This Row],[Col]]&amp;"x"&amp;IF(LEN(InputData[[#This Row],[Alto]])=2,InputData[[#This Row],[Alto]],"0"&amp;InputData[[#This Row],[Alto]])</f>
        <v>1x06</v>
      </c>
    </row>
    <row r="68" spans="1:19" x14ac:dyDescent="0.2">
      <c r="A68" s="25" t="s">
        <v>19</v>
      </c>
      <c r="B68" s="25" t="s">
        <v>570</v>
      </c>
      <c r="C68" s="25" t="s">
        <v>562</v>
      </c>
      <c r="E68" s="25" t="s">
        <v>571</v>
      </c>
      <c r="F68" s="25" t="str">
        <f>LEFT(InputData[[#This Row],[Referencia]],32)</f>
        <v xml:space="preserve">ALQUILO MAQUINA RETROPALA -Zona </v>
      </c>
      <c r="G68" s="25" t="s">
        <v>359</v>
      </c>
      <c r="H68" s="25" t="s">
        <v>22</v>
      </c>
      <c r="I68" s="27">
        <v>86.167999999999992</v>
      </c>
      <c r="J68" s="25" t="s">
        <v>50</v>
      </c>
      <c r="K68" s="25" t="s">
        <v>572</v>
      </c>
      <c r="M68" s="28">
        <v>0</v>
      </c>
      <c r="N68" s="25" t="s">
        <v>21</v>
      </c>
      <c r="O68" s="26">
        <v>1</v>
      </c>
      <c r="P68" s="29">
        <v>4.0000000010000001</v>
      </c>
      <c r="Q68" s="25" t="str">
        <f>EVALUATE_LOCATION(InputData[[#This Row],[Section]],InputData[[#This Row],[Forma de Pago]],InputData[[#This Row],[Ubic.Pretendida]],InputData[[#This Row],[Nro pag]])</f>
        <v xml:space="preserve"> </v>
      </c>
      <c r="R68" s="25">
        <f>ROUND(InputData[[#This Row],[AltoCm]],0)</f>
        <v>4</v>
      </c>
      <c r="S68" s="25" t="str">
        <f>InputData[[#This Row],[Col]]&amp;"x"&amp;IF(LEN(InputData[[#This Row],[Alto]])=2,InputData[[#This Row],[Alto]],"0"&amp;InputData[[#This Row],[Alto]])</f>
        <v>1x04</v>
      </c>
    </row>
    <row r="69" spans="1:19" x14ac:dyDescent="0.2">
      <c r="A69" s="25" t="s">
        <v>19</v>
      </c>
      <c r="B69" s="25" t="s">
        <v>573</v>
      </c>
      <c r="C69" s="25" t="s">
        <v>446</v>
      </c>
      <c r="E69" s="25" t="s">
        <v>574</v>
      </c>
      <c r="F69" s="25" t="str">
        <f>LEFT(InputData[[#This Row],[Referencia]],32)</f>
        <v>ALQUILA: MESAS &amp; SILLAS Manteles</v>
      </c>
      <c r="G69" s="25" t="s">
        <v>359</v>
      </c>
      <c r="H69" s="25" t="s">
        <v>22</v>
      </c>
      <c r="I69" s="27">
        <v>120.63500000000001</v>
      </c>
      <c r="J69" s="25" t="s">
        <v>50</v>
      </c>
      <c r="K69" s="25" t="s">
        <v>575</v>
      </c>
      <c r="M69" s="28">
        <v>0</v>
      </c>
      <c r="N69" s="25" t="s">
        <v>21</v>
      </c>
      <c r="O69" s="26">
        <v>1</v>
      </c>
      <c r="P69" s="29">
        <v>4.0000000010000001</v>
      </c>
      <c r="Q69" s="25" t="str">
        <f>EVALUATE_LOCATION(InputData[[#This Row],[Section]],InputData[[#This Row],[Forma de Pago]],InputData[[#This Row],[Ubic.Pretendida]],InputData[[#This Row],[Nro pag]])</f>
        <v xml:space="preserve"> </v>
      </c>
      <c r="R69" s="25">
        <f>ROUND(InputData[[#This Row],[AltoCm]],0)</f>
        <v>4</v>
      </c>
      <c r="S69" s="25" t="str">
        <f>InputData[[#This Row],[Col]]&amp;"x"&amp;IF(LEN(InputData[[#This Row],[Alto]])=2,InputData[[#This Row],[Alto]],"0"&amp;InputData[[#This Row],[Alto]])</f>
        <v>1x04</v>
      </c>
    </row>
    <row r="70" spans="1:19" x14ac:dyDescent="0.2">
      <c r="A70" s="25" t="s">
        <v>19</v>
      </c>
      <c r="B70" s="25" t="s">
        <v>576</v>
      </c>
      <c r="C70" s="25" t="s">
        <v>577</v>
      </c>
      <c r="D70" s="25" t="s">
        <v>578</v>
      </c>
      <c r="E70" s="25" t="s">
        <v>579</v>
      </c>
      <c r="F70" s="25" t="str">
        <f>LEFT(InputData[[#This Row],[Referencia]],32)</f>
        <v>HORMIGONERA + DE 20 AÑOS</v>
      </c>
      <c r="G70" s="25" t="s">
        <v>359</v>
      </c>
      <c r="H70" s="25" t="s">
        <v>20</v>
      </c>
      <c r="I70" s="27">
        <v>150.79366666666664</v>
      </c>
      <c r="J70" s="25" t="s">
        <v>50</v>
      </c>
      <c r="K70" s="25" t="s">
        <v>580</v>
      </c>
      <c r="M70" s="28">
        <v>0</v>
      </c>
      <c r="N70" s="25" t="s">
        <v>21</v>
      </c>
      <c r="O70" s="26">
        <v>1</v>
      </c>
      <c r="P70" s="29">
        <v>5.0000000012500001</v>
      </c>
      <c r="Q70" s="25" t="str">
        <f>EVALUATE_LOCATION(InputData[[#This Row],[Section]],InputData[[#This Row],[Forma de Pago]],InputData[[#This Row],[Ubic.Pretendida]],InputData[[#This Row],[Nro pag]])</f>
        <v xml:space="preserve"> </v>
      </c>
      <c r="R70" s="25">
        <f>ROUND(InputData[[#This Row],[AltoCm]],0)</f>
        <v>5</v>
      </c>
      <c r="S70" s="25" t="str">
        <f>InputData[[#This Row],[Col]]&amp;"x"&amp;IF(LEN(InputData[[#This Row],[Alto]])=2,InputData[[#This Row],[Alto]],"0"&amp;InputData[[#This Row],[Alto]])</f>
        <v>1x05</v>
      </c>
    </row>
    <row r="71" spans="1:19" x14ac:dyDescent="0.2">
      <c r="A71" s="25" t="s">
        <v>19</v>
      </c>
      <c r="B71" s="25" t="s">
        <v>581</v>
      </c>
      <c r="C71" s="25" t="s">
        <v>582</v>
      </c>
      <c r="D71" s="25" t="s">
        <v>583</v>
      </c>
      <c r="E71" s="25" t="s">
        <v>584</v>
      </c>
      <c r="F71" s="25" t="str">
        <f>LEFT(InputData[[#This Row],[Referencia]],32)</f>
        <v>HORMIGONERA -VENTA DE HORMIGON E</v>
      </c>
      <c r="G71" s="25" t="s">
        <v>359</v>
      </c>
      <c r="H71" s="25" t="s">
        <v>20</v>
      </c>
      <c r="I71" s="27">
        <v>150.79366666666664</v>
      </c>
      <c r="J71" s="25" t="s">
        <v>50</v>
      </c>
      <c r="K71" s="25" t="s">
        <v>580</v>
      </c>
      <c r="M71" s="28">
        <v>0</v>
      </c>
      <c r="N71" s="25" t="s">
        <v>21</v>
      </c>
      <c r="O71" s="26">
        <v>1</v>
      </c>
      <c r="P71" s="29">
        <v>5.0000000012500001</v>
      </c>
      <c r="Q71" s="25" t="str">
        <f>EVALUATE_LOCATION(InputData[[#This Row],[Section]],InputData[[#This Row],[Forma de Pago]],InputData[[#This Row],[Ubic.Pretendida]],InputData[[#This Row],[Nro pag]])</f>
        <v xml:space="preserve"> </v>
      </c>
      <c r="R71" s="25">
        <f>ROUND(InputData[[#This Row],[AltoCm]],0)</f>
        <v>5</v>
      </c>
      <c r="S71" s="25" t="str">
        <f>InputData[[#This Row],[Col]]&amp;"x"&amp;IF(LEN(InputData[[#This Row],[Alto]])=2,InputData[[#This Row],[Alto]],"0"&amp;InputData[[#This Row],[Alto]])</f>
        <v>1x05</v>
      </c>
    </row>
    <row r="72" spans="1:19" x14ac:dyDescent="0.2">
      <c r="A72" s="25" t="s">
        <v>19</v>
      </c>
      <c r="B72" s="25" t="s">
        <v>585</v>
      </c>
      <c r="C72" s="25" t="s">
        <v>582</v>
      </c>
      <c r="D72" s="25" t="s">
        <v>586</v>
      </c>
      <c r="E72" s="25" t="s">
        <v>587</v>
      </c>
      <c r="F72" s="25" t="str">
        <f>LEFT(InputData[[#This Row],[Referencia]],32)</f>
        <v xml:space="preserve">HORMIGONERA  JUJUY S.R.L. VENTA </v>
      </c>
      <c r="G72" s="25" t="s">
        <v>359</v>
      </c>
      <c r="H72" s="25" t="s">
        <v>20</v>
      </c>
      <c r="I72" s="27">
        <v>150.79366666666664</v>
      </c>
      <c r="J72" s="25" t="s">
        <v>50</v>
      </c>
      <c r="K72" s="25" t="s">
        <v>580</v>
      </c>
      <c r="M72" s="28">
        <v>0</v>
      </c>
      <c r="N72" s="25" t="s">
        <v>21</v>
      </c>
      <c r="O72" s="26">
        <v>1</v>
      </c>
      <c r="P72" s="29">
        <v>5.0000000012500001</v>
      </c>
      <c r="Q72" s="25" t="str">
        <f>EVALUATE_LOCATION(InputData[[#This Row],[Section]],InputData[[#This Row],[Forma de Pago]],InputData[[#This Row],[Ubic.Pretendida]],InputData[[#This Row],[Nro pag]])</f>
        <v xml:space="preserve"> </v>
      </c>
      <c r="R72" s="25">
        <f>ROUND(InputData[[#This Row],[AltoCm]],0)</f>
        <v>5</v>
      </c>
      <c r="S72" s="25" t="str">
        <f>InputData[[#This Row],[Col]]&amp;"x"&amp;IF(LEN(InputData[[#This Row],[Alto]])=2,InputData[[#This Row],[Alto]],"0"&amp;InputData[[#This Row],[Alto]])</f>
        <v>1x05</v>
      </c>
    </row>
    <row r="73" spans="1:19" x14ac:dyDescent="0.2">
      <c r="A73" s="25" t="s">
        <v>19</v>
      </c>
      <c r="B73" s="25" t="s">
        <v>588</v>
      </c>
      <c r="C73" s="25" t="s">
        <v>589</v>
      </c>
      <c r="E73" s="25" t="s">
        <v>590</v>
      </c>
      <c r="F73" s="25" t="str">
        <f>LEFT(InputData[[#This Row],[Referencia]],32)</f>
        <v>EDICTO - - JUZGADO DE PRIMERA IN</v>
      </c>
      <c r="G73" s="25" t="s">
        <v>161</v>
      </c>
      <c r="H73" s="25" t="s">
        <v>22</v>
      </c>
      <c r="I73" s="27">
        <v>141.88333333333333</v>
      </c>
      <c r="J73" s="25" t="s">
        <v>50</v>
      </c>
      <c r="K73" s="25" t="s">
        <v>184</v>
      </c>
      <c r="M73" s="28">
        <v>0</v>
      </c>
      <c r="N73" s="25" t="s">
        <v>21</v>
      </c>
      <c r="O73" s="26">
        <v>1</v>
      </c>
      <c r="P73" s="29">
        <v>9.999999998972223</v>
      </c>
      <c r="Q73" s="25" t="str">
        <f>EVALUATE_LOCATION(InputData[[#This Row],[Section]],InputData[[#This Row],[Forma de Pago]],InputData[[#This Row],[Ubic.Pretendida]],InputData[[#This Row],[Nro pag]])</f>
        <v xml:space="preserve"> </v>
      </c>
      <c r="R73" s="25">
        <f>ROUND(InputData[[#This Row],[AltoCm]],0)</f>
        <v>10</v>
      </c>
      <c r="S73" s="25" t="str">
        <f>InputData[[#This Row],[Col]]&amp;"x"&amp;IF(LEN(InputData[[#This Row],[Alto]])=2,InputData[[#This Row],[Alto]],"0"&amp;InputData[[#This Row],[Alto]])</f>
        <v>1x10</v>
      </c>
    </row>
    <row r="74" spans="1:19" x14ac:dyDescent="0.2">
      <c r="A74" s="25" t="s">
        <v>19</v>
      </c>
      <c r="B74" s="25" t="s">
        <v>591</v>
      </c>
      <c r="C74" s="25" t="s">
        <v>592</v>
      </c>
      <c r="E74" s="25" t="s">
        <v>593</v>
      </c>
      <c r="F74" s="25" t="str">
        <f>LEFT(InputData[[#This Row],[Referencia]],32)</f>
        <v>EDICTO Juzgado Multifuero  Peric</v>
      </c>
      <c r="G74" s="25" t="s">
        <v>161</v>
      </c>
      <c r="H74" s="25" t="s">
        <v>22</v>
      </c>
      <c r="I74" s="27">
        <v>141.88333333333333</v>
      </c>
      <c r="J74" s="25" t="s">
        <v>50</v>
      </c>
      <c r="K74" s="25" t="s">
        <v>184</v>
      </c>
      <c r="M74" s="28">
        <v>0</v>
      </c>
      <c r="N74" s="25" t="s">
        <v>21</v>
      </c>
      <c r="O74" s="26">
        <v>1</v>
      </c>
      <c r="P74" s="29">
        <v>9.999999998972223</v>
      </c>
      <c r="Q74" s="25" t="str">
        <f>EVALUATE_LOCATION(InputData[[#This Row],[Section]],InputData[[#This Row],[Forma de Pago]],InputData[[#This Row],[Ubic.Pretendida]],InputData[[#This Row],[Nro pag]])</f>
        <v xml:space="preserve"> </v>
      </c>
      <c r="R74" s="25">
        <f>ROUND(InputData[[#This Row],[AltoCm]],0)</f>
        <v>10</v>
      </c>
      <c r="S74" s="25" t="str">
        <f>InputData[[#This Row],[Col]]&amp;"x"&amp;IF(LEN(InputData[[#This Row],[Alto]])=2,InputData[[#This Row],[Alto]],"0"&amp;InputData[[#This Row],[Alto]])</f>
        <v>1x10</v>
      </c>
    </row>
    <row r="75" spans="1:19" x14ac:dyDescent="0.2">
      <c r="A75" s="25" t="s">
        <v>19</v>
      </c>
      <c r="B75" s="25" t="s">
        <v>594</v>
      </c>
      <c r="C75" s="25" t="s">
        <v>595</v>
      </c>
      <c r="E75" s="25" t="s">
        <v>596</v>
      </c>
      <c r="F75" s="25" t="str">
        <f>LEFT(InputData[[#This Row],[Referencia]],32)</f>
        <v xml:space="preserve">  ------------------------------</v>
      </c>
      <c r="G75" s="25" t="s">
        <v>161</v>
      </c>
      <c r="H75" s="25" t="s">
        <v>22</v>
      </c>
      <c r="I75" s="27">
        <v>141.88333333333333</v>
      </c>
      <c r="J75" s="25" t="s">
        <v>50</v>
      </c>
      <c r="K75" s="25" t="s">
        <v>184</v>
      </c>
      <c r="M75" s="28">
        <v>0</v>
      </c>
      <c r="N75" s="25" t="s">
        <v>21</v>
      </c>
      <c r="O75" s="26">
        <v>1</v>
      </c>
      <c r="P75" s="29">
        <v>9.999999998972223</v>
      </c>
      <c r="Q75" s="25" t="str">
        <f>EVALUATE_LOCATION(InputData[[#This Row],[Section]],InputData[[#This Row],[Forma de Pago]],InputData[[#This Row],[Ubic.Pretendida]],InputData[[#This Row],[Nro pag]])</f>
        <v xml:space="preserve"> </v>
      </c>
      <c r="R75" s="25">
        <f>ROUND(InputData[[#This Row],[AltoCm]],0)</f>
        <v>10</v>
      </c>
      <c r="S75" s="25" t="str">
        <f>InputData[[#This Row],[Col]]&amp;"x"&amp;IF(LEN(InputData[[#This Row],[Alto]])=2,InputData[[#This Row],[Alto]],"0"&amp;InputData[[#This Row],[Alto]])</f>
        <v>1x10</v>
      </c>
    </row>
    <row r="76" spans="1:19" x14ac:dyDescent="0.2">
      <c r="A76" s="25" t="s">
        <v>19</v>
      </c>
      <c r="B76" s="25" t="s">
        <v>597</v>
      </c>
      <c r="C76" s="25" t="s">
        <v>595</v>
      </c>
      <c r="E76" s="25" t="s">
        <v>598</v>
      </c>
      <c r="F76" s="25" t="str">
        <f>LEFT(InputData[[#This Row],[Referencia]],32)</f>
        <v>Ref. Expte. Nº D-039670/2022 car</v>
      </c>
      <c r="G76" s="25" t="s">
        <v>161</v>
      </c>
      <c r="H76" s="25" t="s">
        <v>22</v>
      </c>
      <c r="I76" s="27">
        <v>141.88333333333333</v>
      </c>
      <c r="J76" s="25" t="s">
        <v>50</v>
      </c>
      <c r="K76" s="25" t="s">
        <v>184</v>
      </c>
      <c r="M76" s="28">
        <v>0</v>
      </c>
      <c r="N76" s="25" t="s">
        <v>21</v>
      </c>
      <c r="O76" s="26">
        <v>1</v>
      </c>
      <c r="P76" s="29">
        <v>9.999999998972223</v>
      </c>
      <c r="Q76" s="25" t="str">
        <f>EVALUATE_LOCATION(InputData[[#This Row],[Section]],InputData[[#This Row],[Forma de Pago]],InputData[[#This Row],[Ubic.Pretendida]],InputData[[#This Row],[Nro pag]])</f>
        <v xml:space="preserve"> </v>
      </c>
      <c r="R76" s="25">
        <f>ROUND(InputData[[#This Row],[AltoCm]],0)</f>
        <v>10</v>
      </c>
      <c r="S76" s="25" t="str">
        <f>InputData[[#This Row],[Col]]&amp;"x"&amp;IF(LEN(InputData[[#This Row],[Alto]])=2,InputData[[#This Row],[Alto]],"0"&amp;InputData[[#This Row],[Alto]])</f>
        <v>1x10</v>
      </c>
    </row>
    <row r="77" spans="1:19" x14ac:dyDescent="0.2">
      <c r="A77" s="25" t="s">
        <v>19</v>
      </c>
      <c r="B77" s="25" t="s">
        <v>599</v>
      </c>
      <c r="C77" s="25" t="s">
        <v>600</v>
      </c>
      <c r="E77" s="25" t="s">
        <v>601</v>
      </c>
      <c r="F77" s="25" t="str">
        <f>LEFT(InputData[[#This Row],[Referencia]],32)</f>
        <v xml:space="preserve">EDICTO - - - JUZGADO DE PRIMERA </v>
      </c>
      <c r="G77" s="25" t="s">
        <v>161</v>
      </c>
      <c r="H77" s="25" t="s">
        <v>22</v>
      </c>
      <c r="I77" s="27">
        <v>141.88333333333333</v>
      </c>
      <c r="J77" s="25" t="s">
        <v>50</v>
      </c>
      <c r="K77" s="25" t="s">
        <v>184</v>
      </c>
      <c r="M77" s="28">
        <v>0</v>
      </c>
      <c r="N77" s="25" t="s">
        <v>21</v>
      </c>
      <c r="O77" s="26">
        <v>1</v>
      </c>
      <c r="P77" s="29">
        <v>9.999999998972223</v>
      </c>
      <c r="Q77" s="25" t="str">
        <f>EVALUATE_LOCATION(InputData[[#This Row],[Section]],InputData[[#This Row],[Forma de Pago]],InputData[[#This Row],[Ubic.Pretendida]],InputData[[#This Row],[Nro pag]])</f>
        <v xml:space="preserve"> </v>
      </c>
      <c r="R77" s="25">
        <f>ROUND(InputData[[#This Row],[AltoCm]],0)</f>
        <v>10</v>
      </c>
      <c r="S77" s="25" t="str">
        <f>InputData[[#This Row],[Col]]&amp;"x"&amp;IF(LEN(InputData[[#This Row],[Alto]])=2,InputData[[#This Row],[Alto]],"0"&amp;InputData[[#This Row],[Alto]])</f>
        <v>1x10</v>
      </c>
    </row>
    <row r="78" spans="1:19" x14ac:dyDescent="0.2">
      <c r="A78" s="25" t="s">
        <v>19</v>
      </c>
      <c r="B78" s="25" t="s">
        <v>602</v>
      </c>
      <c r="C78" s="25" t="s">
        <v>600</v>
      </c>
      <c r="E78" s="25" t="s">
        <v>601</v>
      </c>
      <c r="F78" s="25" t="str">
        <f>LEFT(InputData[[#This Row],[Referencia]],32)</f>
        <v xml:space="preserve">EDICTO - - - JUZGADO DE PRIMERA </v>
      </c>
      <c r="G78" s="25" t="s">
        <v>161</v>
      </c>
      <c r="H78" s="25" t="s">
        <v>22</v>
      </c>
      <c r="I78" s="27">
        <v>141.88333333333333</v>
      </c>
      <c r="J78" s="25" t="s">
        <v>50</v>
      </c>
      <c r="K78" s="25" t="s">
        <v>184</v>
      </c>
      <c r="M78" s="28">
        <v>0</v>
      </c>
      <c r="N78" s="25" t="s">
        <v>21</v>
      </c>
      <c r="O78" s="26">
        <v>1</v>
      </c>
      <c r="P78" s="29">
        <v>9.999999998972223</v>
      </c>
      <c r="Q78" s="25" t="str">
        <f>EVALUATE_LOCATION(InputData[[#This Row],[Section]],InputData[[#This Row],[Forma de Pago]],InputData[[#This Row],[Ubic.Pretendida]],InputData[[#This Row],[Nro pag]])</f>
        <v xml:space="preserve"> </v>
      </c>
      <c r="R78" s="25">
        <f>ROUND(InputData[[#This Row],[AltoCm]],0)</f>
        <v>10</v>
      </c>
      <c r="S78" s="25" t="str">
        <f>InputData[[#This Row],[Col]]&amp;"x"&amp;IF(LEN(InputData[[#This Row],[Alto]])=2,InputData[[#This Row],[Alto]],"0"&amp;InputData[[#This Row],[Alto]])</f>
        <v>1x10</v>
      </c>
    </row>
    <row r="79" spans="1:19" x14ac:dyDescent="0.2">
      <c r="A79" s="25" t="s">
        <v>19</v>
      </c>
      <c r="B79" s="25" t="s">
        <v>603</v>
      </c>
      <c r="C79" s="25" t="s">
        <v>604</v>
      </c>
      <c r="E79" s="25" t="s">
        <v>605</v>
      </c>
      <c r="F79" s="25" t="str">
        <f>LEFT(InputData[[#This Row],[Referencia]],32)</f>
        <v>============== = = = = = =  EDIC</v>
      </c>
      <c r="G79" s="25" t="s">
        <v>161</v>
      </c>
      <c r="H79" s="25" t="s">
        <v>22</v>
      </c>
      <c r="I79" s="27">
        <v>141.88333333333333</v>
      </c>
      <c r="J79" s="25" t="s">
        <v>50</v>
      </c>
      <c r="K79" s="25" t="s">
        <v>184</v>
      </c>
      <c r="M79" s="28">
        <v>0</v>
      </c>
      <c r="N79" s="25" t="s">
        <v>21</v>
      </c>
      <c r="O79" s="26">
        <v>1</v>
      </c>
      <c r="P79" s="29">
        <v>9.999999998972223</v>
      </c>
      <c r="Q79" s="25" t="str">
        <f>EVALUATE_LOCATION(InputData[[#This Row],[Section]],InputData[[#This Row],[Forma de Pago]],InputData[[#This Row],[Ubic.Pretendida]],InputData[[#This Row],[Nro pag]])</f>
        <v xml:space="preserve"> </v>
      </c>
      <c r="R79" s="25">
        <f>ROUND(InputData[[#This Row],[AltoCm]],0)</f>
        <v>10</v>
      </c>
      <c r="S79" s="25" t="str">
        <f>InputData[[#This Row],[Col]]&amp;"x"&amp;IF(LEN(InputData[[#This Row],[Alto]])=2,InputData[[#This Row],[Alto]],"0"&amp;InputData[[#This Row],[Alto]])</f>
        <v>1x10</v>
      </c>
    </row>
    <row r="80" spans="1:19" x14ac:dyDescent="0.2">
      <c r="A80" s="25" t="s">
        <v>19</v>
      </c>
      <c r="B80" s="25" t="s">
        <v>606</v>
      </c>
      <c r="C80" s="25" t="s">
        <v>607</v>
      </c>
      <c r="E80" s="25" t="s">
        <v>608</v>
      </c>
      <c r="F80" s="25" t="str">
        <f>LEFT(InputData[[#This Row],[Referencia]],32)</f>
        <v>Ref. Expte. Nº C-203942/2022 car</v>
      </c>
      <c r="G80" s="25" t="s">
        <v>161</v>
      </c>
      <c r="H80" s="25" t="s">
        <v>22</v>
      </c>
      <c r="I80" s="27">
        <v>141.88333333333333</v>
      </c>
      <c r="J80" s="25" t="s">
        <v>50</v>
      </c>
      <c r="K80" s="25" t="s">
        <v>184</v>
      </c>
      <c r="M80" s="28">
        <v>0</v>
      </c>
      <c r="N80" s="25" t="s">
        <v>21</v>
      </c>
      <c r="O80" s="26">
        <v>1</v>
      </c>
      <c r="P80" s="29">
        <v>9.999999998972223</v>
      </c>
      <c r="Q80" s="25" t="str">
        <f>EVALUATE_LOCATION(InputData[[#This Row],[Section]],InputData[[#This Row],[Forma de Pago]],InputData[[#This Row],[Ubic.Pretendida]],InputData[[#This Row],[Nro pag]])</f>
        <v xml:space="preserve"> </v>
      </c>
      <c r="R80" s="25">
        <f>ROUND(InputData[[#This Row],[AltoCm]],0)</f>
        <v>10</v>
      </c>
      <c r="S80" s="25" t="str">
        <f>InputData[[#This Row],[Col]]&amp;"x"&amp;IF(LEN(InputData[[#This Row],[Alto]])=2,InputData[[#This Row],[Alto]],"0"&amp;InputData[[#This Row],[Alto]])</f>
        <v>1x10</v>
      </c>
    </row>
    <row r="81" spans="1:19" x14ac:dyDescent="0.2">
      <c r="A81" s="25" t="s">
        <v>19</v>
      </c>
      <c r="B81" s="25" t="s">
        <v>609</v>
      </c>
      <c r="C81" s="25" t="s">
        <v>610</v>
      </c>
      <c r="E81" s="25" t="s">
        <v>611</v>
      </c>
      <c r="F81" s="25" t="str">
        <f>LEFT(InputData[[#This Row],[Referencia]],32)</f>
        <v>EDICTO SUCESORIO  Juzgado Multif</v>
      </c>
      <c r="G81" s="25" t="s">
        <v>161</v>
      </c>
      <c r="H81" s="25" t="s">
        <v>22</v>
      </c>
      <c r="I81" s="27">
        <v>141.88333333333333</v>
      </c>
      <c r="J81" s="25" t="s">
        <v>50</v>
      </c>
      <c r="K81" s="25" t="s">
        <v>184</v>
      </c>
      <c r="M81" s="28">
        <v>0</v>
      </c>
      <c r="N81" s="25" t="s">
        <v>21</v>
      </c>
      <c r="O81" s="26">
        <v>1</v>
      </c>
      <c r="P81" s="29">
        <v>9.999999998972223</v>
      </c>
      <c r="Q81" s="25" t="str">
        <f>EVALUATE_LOCATION(InputData[[#This Row],[Section]],InputData[[#This Row],[Forma de Pago]],InputData[[#This Row],[Ubic.Pretendida]],InputData[[#This Row],[Nro pag]])</f>
        <v xml:space="preserve"> </v>
      </c>
      <c r="R81" s="25">
        <f>ROUND(InputData[[#This Row],[AltoCm]],0)</f>
        <v>10</v>
      </c>
      <c r="S81" s="25" t="str">
        <f>InputData[[#This Row],[Col]]&amp;"x"&amp;IF(LEN(InputData[[#This Row],[Alto]])=2,InputData[[#This Row],[Alto]],"0"&amp;InputData[[#This Row],[Alto]])</f>
        <v>1x10</v>
      </c>
    </row>
    <row r="82" spans="1:19" x14ac:dyDescent="0.2">
      <c r="A82" s="25" t="s">
        <v>19</v>
      </c>
      <c r="B82" s="25" t="s">
        <v>612</v>
      </c>
      <c r="C82" s="25" t="s">
        <v>613</v>
      </c>
      <c r="E82" s="25" t="s">
        <v>614</v>
      </c>
      <c r="F82" s="25" t="str">
        <f>LEFT(InputData[[#This Row],[Referencia]],32)</f>
        <v xml:space="preserve"> EDICTO SUCESORIO  = = = = = = =</v>
      </c>
      <c r="G82" s="25" t="s">
        <v>161</v>
      </c>
      <c r="H82" s="25" t="s">
        <v>22</v>
      </c>
      <c r="I82" s="27">
        <v>141.88333333333333</v>
      </c>
      <c r="J82" s="25" t="s">
        <v>50</v>
      </c>
      <c r="K82" s="25" t="s">
        <v>184</v>
      </c>
      <c r="M82" s="28">
        <v>0</v>
      </c>
      <c r="N82" s="25" t="s">
        <v>21</v>
      </c>
      <c r="O82" s="26">
        <v>1</v>
      </c>
      <c r="P82" s="29">
        <v>9.999999998972223</v>
      </c>
      <c r="Q82" s="25" t="str">
        <f>EVALUATE_LOCATION(InputData[[#This Row],[Section]],InputData[[#This Row],[Forma de Pago]],InputData[[#This Row],[Ubic.Pretendida]],InputData[[#This Row],[Nro pag]])</f>
        <v xml:space="preserve"> </v>
      </c>
      <c r="R82" s="25">
        <f>ROUND(InputData[[#This Row],[AltoCm]],0)</f>
        <v>10</v>
      </c>
      <c r="S82" s="25" t="str">
        <f>InputData[[#This Row],[Col]]&amp;"x"&amp;IF(LEN(InputData[[#This Row],[Alto]])=2,InputData[[#This Row],[Alto]],"0"&amp;InputData[[#This Row],[Alto]])</f>
        <v>1x10</v>
      </c>
    </row>
    <row r="83" spans="1:19" x14ac:dyDescent="0.2">
      <c r="A83" s="25" t="s">
        <v>19</v>
      </c>
      <c r="B83" s="25" t="s">
        <v>615</v>
      </c>
      <c r="C83" s="25" t="s">
        <v>616</v>
      </c>
      <c r="E83" s="25" t="s">
        <v>617</v>
      </c>
      <c r="F83" s="25" t="str">
        <f>LEFT(InputData[[#This Row],[Referencia]],32)</f>
        <v>EDICTO EL JUZGADO DE PRIMERA INS</v>
      </c>
      <c r="G83" s="25" t="s">
        <v>161</v>
      </c>
      <c r="H83" s="25" t="s">
        <v>22</v>
      </c>
      <c r="I83" s="27">
        <v>141.88333333333333</v>
      </c>
      <c r="J83" s="25" t="s">
        <v>50</v>
      </c>
      <c r="K83" s="25" t="s">
        <v>184</v>
      </c>
      <c r="M83" s="28">
        <v>0</v>
      </c>
      <c r="N83" s="25" t="s">
        <v>21</v>
      </c>
      <c r="O83" s="26">
        <v>1</v>
      </c>
      <c r="P83" s="29">
        <v>9.999999998972223</v>
      </c>
      <c r="Q83" s="25" t="str">
        <f>EVALUATE_LOCATION(InputData[[#This Row],[Section]],InputData[[#This Row],[Forma de Pago]],InputData[[#This Row],[Ubic.Pretendida]],InputData[[#This Row],[Nro pag]])</f>
        <v xml:space="preserve"> </v>
      </c>
      <c r="R83" s="25">
        <f>ROUND(InputData[[#This Row],[AltoCm]],0)</f>
        <v>10</v>
      </c>
      <c r="S83" s="25" t="str">
        <f>InputData[[#This Row],[Col]]&amp;"x"&amp;IF(LEN(InputData[[#This Row],[Alto]])=2,InputData[[#This Row],[Alto]],"0"&amp;InputData[[#This Row],[Alto]])</f>
        <v>1x10</v>
      </c>
    </row>
    <row r="84" spans="1:19" x14ac:dyDescent="0.2">
      <c r="A84" s="25" t="s">
        <v>19</v>
      </c>
      <c r="B84" s="25" t="s">
        <v>618</v>
      </c>
      <c r="C84" s="25" t="s">
        <v>619</v>
      </c>
      <c r="E84" s="25" t="s">
        <v>620</v>
      </c>
      <c r="F84" s="25" t="str">
        <f>LEFT(InputData[[#This Row],[Referencia]],32)</f>
        <v>Ref. Expte. Nº D-041772/2022 car</v>
      </c>
      <c r="G84" s="25" t="s">
        <v>161</v>
      </c>
      <c r="H84" s="25" t="s">
        <v>22</v>
      </c>
      <c r="I84" s="27">
        <v>141.88333333333333</v>
      </c>
      <c r="J84" s="25" t="s">
        <v>50</v>
      </c>
      <c r="K84" s="25" t="s">
        <v>184</v>
      </c>
      <c r="M84" s="28">
        <v>0</v>
      </c>
      <c r="N84" s="25" t="s">
        <v>21</v>
      </c>
      <c r="O84" s="26">
        <v>1</v>
      </c>
      <c r="P84" s="29">
        <v>9.999999998972223</v>
      </c>
      <c r="Q84" s="25" t="str">
        <f>EVALUATE_LOCATION(InputData[[#This Row],[Section]],InputData[[#This Row],[Forma de Pago]],InputData[[#This Row],[Ubic.Pretendida]],InputData[[#This Row],[Nro pag]])</f>
        <v xml:space="preserve"> </v>
      </c>
      <c r="R84" s="25">
        <f>ROUND(InputData[[#This Row],[AltoCm]],0)</f>
        <v>10</v>
      </c>
      <c r="S84" s="25" t="str">
        <f>InputData[[#This Row],[Col]]&amp;"x"&amp;IF(LEN(InputData[[#This Row],[Alto]])=2,InputData[[#This Row],[Alto]],"0"&amp;InputData[[#This Row],[Alto]])</f>
        <v>1x10</v>
      </c>
    </row>
    <row r="85" spans="1:19" x14ac:dyDescent="0.2">
      <c r="A85" s="25" t="s">
        <v>19</v>
      </c>
      <c r="B85" s="25" t="s">
        <v>621</v>
      </c>
      <c r="C85" s="25" t="s">
        <v>619</v>
      </c>
      <c r="E85" s="25" t="s">
        <v>622</v>
      </c>
      <c r="F85" s="25" t="str">
        <f>LEFT(InputData[[#This Row],[Referencia]],32)</f>
        <v>=====================EDICTO SUCE</v>
      </c>
      <c r="G85" s="25" t="s">
        <v>161</v>
      </c>
      <c r="H85" s="25" t="s">
        <v>22</v>
      </c>
      <c r="I85" s="27">
        <v>141.88333333333333</v>
      </c>
      <c r="J85" s="25" t="s">
        <v>50</v>
      </c>
      <c r="K85" s="25" t="s">
        <v>184</v>
      </c>
      <c r="M85" s="28">
        <v>0</v>
      </c>
      <c r="N85" s="25" t="s">
        <v>21</v>
      </c>
      <c r="O85" s="26">
        <v>1</v>
      </c>
      <c r="P85" s="29">
        <v>9.999999998972223</v>
      </c>
      <c r="Q85" s="25" t="str">
        <f>EVALUATE_LOCATION(InputData[[#This Row],[Section]],InputData[[#This Row],[Forma de Pago]],InputData[[#This Row],[Ubic.Pretendida]],InputData[[#This Row],[Nro pag]])</f>
        <v xml:space="preserve"> </v>
      </c>
      <c r="R85" s="25">
        <f>ROUND(InputData[[#This Row],[AltoCm]],0)</f>
        <v>10</v>
      </c>
      <c r="S85" s="25" t="str">
        <f>InputData[[#This Row],[Col]]&amp;"x"&amp;IF(LEN(InputData[[#This Row],[Alto]])=2,InputData[[#This Row],[Alto]],"0"&amp;InputData[[#This Row],[Alto]])</f>
        <v>1x10</v>
      </c>
    </row>
    <row r="86" spans="1:19" x14ac:dyDescent="0.2">
      <c r="A86" s="25" t="s">
        <v>19</v>
      </c>
      <c r="B86" s="25" t="s">
        <v>623</v>
      </c>
      <c r="C86" s="25" t="s">
        <v>619</v>
      </c>
      <c r="E86" s="25" t="s">
        <v>624</v>
      </c>
      <c r="F86" s="25" t="str">
        <f>LEFT(InputData[[#This Row],[Referencia]],32)</f>
        <v>=====================EDICTO SUCE</v>
      </c>
      <c r="G86" s="25" t="s">
        <v>161</v>
      </c>
      <c r="H86" s="25" t="s">
        <v>22</v>
      </c>
      <c r="I86" s="27">
        <v>141.88333333333333</v>
      </c>
      <c r="J86" s="25" t="s">
        <v>50</v>
      </c>
      <c r="K86" s="25" t="s">
        <v>184</v>
      </c>
      <c r="M86" s="28">
        <v>0</v>
      </c>
      <c r="N86" s="25" t="s">
        <v>21</v>
      </c>
      <c r="O86" s="26">
        <v>1</v>
      </c>
      <c r="P86" s="29">
        <v>9.999999998972223</v>
      </c>
      <c r="Q86" s="25" t="str">
        <f>EVALUATE_LOCATION(InputData[[#This Row],[Section]],InputData[[#This Row],[Forma de Pago]],InputData[[#This Row],[Ubic.Pretendida]],InputData[[#This Row],[Nro pag]])</f>
        <v xml:space="preserve"> </v>
      </c>
      <c r="R86" s="25">
        <f>ROUND(InputData[[#This Row],[AltoCm]],0)</f>
        <v>10</v>
      </c>
      <c r="S86" s="25" t="str">
        <f>InputData[[#This Row],[Col]]&amp;"x"&amp;IF(LEN(InputData[[#This Row],[Alto]])=2,InputData[[#This Row],[Alto]],"0"&amp;InputData[[#This Row],[Alto]])</f>
        <v>1x10</v>
      </c>
    </row>
    <row r="87" spans="1:19" x14ac:dyDescent="0.2">
      <c r="A87" s="25" t="s">
        <v>19</v>
      </c>
      <c r="B87" s="25" t="s">
        <v>625</v>
      </c>
      <c r="C87" s="25" t="s">
        <v>626</v>
      </c>
      <c r="D87" s="25" t="s">
        <v>627</v>
      </c>
      <c r="E87" s="25" t="s">
        <v>628</v>
      </c>
      <c r="F87" s="25" t="str">
        <f>LEFT(InputData[[#This Row],[Referencia]],32)</f>
        <v>EDICTO     JUZGADO MULTIFUERO DE</v>
      </c>
      <c r="G87" s="25" t="s">
        <v>161</v>
      </c>
      <c r="H87" s="25" t="s">
        <v>20</v>
      </c>
      <c r="I87" s="27">
        <v>113.50666666666667</v>
      </c>
      <c r="J87" s="25" t="s">
        <v>50</v>
      </c>
      <c r="K87" s="25" t="s">
        <v>184</v>
      </c>
      <c r="M87" s="28">
        <v>0</v>
      </c>
      <c r="N87" s="25" t="s">
        <v>21</v>
      </c>
      <c r="O87" s="26">
        <v>1</v>
      </c>
      <c r="P87" s="29">
        <v>7.9999999984722239</v>
      </c>
      <c r="Q87" s="25" t="str">
        <f>EVALUATE_LOCATION(InputData[[#This Row],[Section]],InputData[[#This Row],[Forma de Pago]],InputData[[#This Row],[Ubic.Pretendida]],InputData[[#This Row],[Nro pag]])</f>
        <v xml:space="preserve"> </v>
      </c>
      <c r="R87" s="25">
        <f>ROUND(InputData[[#This Row],[AltoCm]],0)</f>
        <v>8</v>
      </c>
      <c r="S87" s="25" t="str">
        <f>InputData[[#This Row],[Col]]&amp;"x"&amp;IF(LEN(InputData[[#This Row],[Alto]])=2,InputData[[#This Row],[Alto]],"0"&amp;InputData[[#This Row],[Alto]])</f>
        <v>1x08</v>
      </c>
    </row>
    <row r="88" spans="1:19" x14ac:dyDescent="0.2">
      <c r="A88" s="25" t="s">
        <v>19</v>
      </c>
      <c r="B88" s="25" t="s">
        <v>200</v>
      </c>
      <c r="C88" s="25" t="s">
        <v>201</v>
      </c>
      <c r="E88" s="25" t="s">
        <v>202</v>
      </c>
      <c r="F88" s="25" t="str">
        <f>LEFT(InputData[[#This Row],[Referencia]],32)</f>
        <v>EDICTO  Dr. JORGE DANIEL ALSINA,</v>
      </c>
      <c r="G88" s="25" t="s">
        <v>161</v>
      </c>
      <c r="H88" s="25" t="s">
        <v>22</v>
      </c>
      <c r="I88" s="27">
        <v>567.52666666666664</v>
      </c>
      <c r="J88" s="25" t="s">
        <v>50</v>
      </c>
      <c r="K88" s="25" t="s">
        <v>184</v>
      </c>
      <c r="M88" s="28">
        <v>0</v>
      </c>
      <c r="N88" s="25" t="s">
        <v>21</v>
      </c>
      <c r="O88" s="26">
        <v>2</v>
      </c>
      <c r="P88" s="29">
        <v>20.000000001472223</v>
      </c>
      <c r="Q88" s="25" t="str">
        <f>EVALUATE_LOCATION(InputData[[#This Row],[Section]],InputData[[#This Row],[Forma de Pago]],InputData[[#This Row],[Ubic.Pretendida]],InputData[[#This Row],[Nro pag]])</f>
        <v xml:space="preserve"> </v>
      </c>
      <c r="R88" s="25">
        <f>ROUND(InputData[[#This Row],[AltoCm]],0)</f>
        <v>20</v>
      </c>
      <c r="S88" s="25" t="str">
        <f>InputData[[#This Row],[Col]]&amp;"x"&amp;IF(LEN(InputData[[#This Row],[Alto]])=2,InputData[[#This Row],[Alto]],"0"&amp;InputData[[#This Row],[Alto]])</f>
        <v>2x20</v>
      </c>
    </row>
    <row r="89" spans="1:19" x14ac:dyDescent="0.2">
      <c r="A89" s="25" t="s">
        <v>19</v>
      </c>
      <c r="B89" s="25" t="s">
        <v>629</v>
      </c>
      <c r="C89" s="25" t="s">
        <v>630</v>
      </c>
      <c r="E89" s="25" t="s">
        <v>631</v>
      </c>
      <c r="F89" s="25" t="str">
        <f>LEFT(InputData[[#This Row],[Referencia]],32)</f>
        <v>EDICTO SUCESORIO  ------ JUZGADO</v>
      </c>
      <c r="G89" s="25" t="s">
        <v>161</v>
      </c>
      <c r="H89" s="25" t="s">
        <v>22</v>
      </c>
      <c r="I89" s="27">
        <v>141.88333333333333</v>
      </c>
      <c r="J89" s="25" t="s">
        <v>50</v>
      </c>
      <c r="K89" s="25" t="s">
        <v>184</v>
      </c>
      <c r="M89" s="28">
        <v>0</v>
      </c>
      <c r="N89" s="25" t="s">
        <v>21</v>
      </c>
      <c r="O89" s="26">
        <v>1</v>
      </c>
      <c r="P89" s="29">
        <v>9.999999998972223</v>
      </c>
      <c r="Q89" s="25" t="str">
        <f>EVALUATE_LOCATION(InputData[[#This Row],[Section]],InputData[[#This Row],[Forma de Pago]],InputData[[#This Row],[Ubic.Pretendida]],InputData[[#This Row],[Nro pag]])</f>
        <v xml:space="preserve"> </v>
      </c>
      <c r="R89" s="25">
        <f>ROUND(InputData[[#This Row],[AltoCm]],0)</f>
        <v>10</v>
      </c>
      <c r="S89" s="25" t="str">
        <f>InputData[[#This Row],[Col]]&amp;"x"&amp;IF(LEN(InputData[[#This Row],[Alto]])=2,InputData[[#This Row],[Alto]],"0"&amp;InputData[[#This Row],[Alto]])</f>
        <v>1x10</v>
      </c>
    </row>
    <row r="90" spans="1:19" x14ac:dyDescent="0.2">
      <c r="A90" s="25" t="s">
        <v>19</v>
      </c>
      <c r="B90" s="25" t="s">
        <v>632</v>
      </c>
      <c r="C90" s="25" t="s">
        <v>633</v>
      </c>
      <c r="E90" s="25" t="s">
        <v>634</v>
      </c>
      <c r="F90" s="25" t="str">
        <f>LEFT(InputData[[#This Row],[Referencia]],32)</f>
        <v xml:space="preserve"> Ref. Expte. Nº C-204020/2022 ca</v>
      </c>
      <c r="G90" s="25" t="s">
        <v>161</v>
      </c>
      <c r="H90" s="25" t="s">
        <v>22</v>
      </c>
      <c r="I90" s="27">
        <v>141.88333333333333</v>
      </c>
      <c r="J90" s="25" t="s">
        <v>50</v>
      </c>
      <c r="K90" s="25" t="s">
        <v>184</v>
      </c>
      <c r="M90" s="28">
        <v>0</v>
      </c>
      <c r="N90" s="25" t="s">
        <v>21</v>
      </c>
      <c r="O90" s="26">
        <v>1</v>
      </c>
      <c r="P90" s="29">
        <v>9.999999998972223</v>
      </c>
      <c r="Q90" s="25" t="str">
        <f>EVALUATE_LOCATION(InputData[[#This Row],[Section]],InputData[[#This Row],[Forma de Pago]],InputData[[#This Row],[Ubic.Pretendida]],InputData[[#This Row],[Nro pag]])</f>
        <v xml:space="preserve"> </v>
      </c>
      <c r="R90" s="25">
        <f>ROUND(InputData[[#This Row],[AltoCm]],0)</f>
        <v>10</v>
      </c>
      <c r="S90" s="25" t="str">
        <f>InputData[[#This Row],[Col]]&amp;"x"&amp;IF(LEN(InputData[[#This Row],[Alto]])=2,InputData[[#This Row],[Alto]],"0"&amp;InputData[[#This Row],[Alto]])</f>
        <v>1x10</v>
      </c>
    </row>
    <row r="91" spans="1:19" x14ac:dyDescent="0.2">
      <c r="A91" s="25" t="s">
        <v>19</v>
      </c>
      <c r="B91" s="25" t="s">
        <v>203</v>
      </c>
      <c r="C91" s="25" t="s">
        <v>204</v>
      </c>
      <c r="E91" s="25" t="s">
        <v>205</v>
      </c>
      <c r="F91" s="25" t="str">
        <f>LEFT(InputData[[#This Row],[Referencia]],32)</f>
        <v>EDICTO DE CITACION   LA COORDINA</v>
      </c>
      <c r="G91" s="25" t="s">
        <v>161</v>
      </c>
      <c r="H91" s="25" t="s">
        <v>22</v>
      </c>
      <c r="I91" s="27">
        <v>283.76333333333332</v>
      </c>
      <c r="J91" s="25" t="s">
        <v>50</v>
      </c>
      <c r="K91" s="25" t="s">
        <v>184</v>
      </c>
      <c r="M91" s="28">
        <v>0</v>
      </c>
      <c r="N91" s="25" t="s">
        <v>21</v>
      </c>
      <c r="O91" s="26">
        <v>2</v>
      </c>
      <c r="P91" s="29">
        <v>9.999999998972223</v>
      </c>
      <c r="Q91" s="25" t="str">
        <f>EVALUATE_LOCATION(InputData[[#This Row],[Section]],InputData[[#This Row],[Forma de Pago]],InputData[[#This Row],[Ubic.Pretendida]],InputData[[#This Row],[Nro pag]])</f>
        <v xml:space="preserve"> </v>
      </c>
      <c r="R91" s="25">
        <f>ROUND(InputData[[#This Row],[AltoCm]],0)</f>
        <v>10</v>
      </c>
      <c r="S91" s="25" t="str">
        <f>InputData[[#This Row],[Col]]&amp;"x"&amp;IF(LEN(InputData[[#This Row],[Alto]])=2,InputData[[#This Row],[Alto]],"0"&amp;InputData[[#This Row],[Alto]])</f>
        <v>2x10</v>
      </c>
    </row>
    <row r="92" spans="1:19" x14ac:dyDescent="0.2">
      <c r="A92" s="25" t="s">
        <v>19</v>
      </c>
      <c r="B92" s="25" t="s">
        <v>635</v>
      </c>
      <c r="C92" s="25" t="s">
        <v>626</v>
      </c>
      <c r="D92" s="25" t="s">
        <v>636</v>
      </c>
      <c r="E92" s="25" t="s">
        <v>637</v>
      </c>
      <c r="F92" s="25" t="str">
        <f>LEFT(InputData[[#This Row],[Referencia]],32)</f>
        <v>--------------------------------</v>
      </c>
      <c r="G92" s="25" t="s">
        <v>161</v>
      </c>
      <c r="H92" s="25" t="s">
        <v>20</v>
      </c>
      <c r="I92" s="27">
        <v>113.50666666666667</v>
      </c>
      <c r="J92" s="25" t="s">
        <v>50</v>
      </c>
      <c r="K92" s="25" t="s">
        <v>184</v>
      </c>
      <c r="M92" s="28">
        <v>0</v>
      </c>
      <c r="N92" s="25" t="s">
        <v>21</v>
      </c>
      <c r="O92" s="26">
        <v>1</v>
      </c>
      <c r="P92" s="29">
        <v>7.9999999984722239</v>
      </c>
      <c r="Q92" s="25" t="str">
        <f>EVALUATE_LOCATION(InputData[[#This Row],[Section]],InputData[[#This Row],[Forma de Pago]],InputData[[#This Row],[Ubic.Pretendida]],InputData[[#This Row],[Nro pag]])</f>
        <v xml:space="preserve"> </v>
      </c>
      <c r="R92" s="25">
        <f>ROUND(InputData[[#This Row],[AltoCm]],0)</f>
        <v>8</v>
      </c>
      <c r="S92" s="25" t="str">
        <f>InputData[[#This Row],[Col]]&amp;"x"&amp;IF(LEN(InputData[[#This Row],[Alto]])=2,InputData[[#This Row],[Alto]],"0"&amp;InputData[[#This Row],[Alto]])</f>
        <v>1x08</v>
      </c>
    </row>
    <row r="93" spans="1:19" x14ac:dyDescent="0.2">
      <c r="A93" s="25" t="s">
        <v>19</v>
      </c>
      <c r="B93" s="25" t="s">
        <v>638</v>
      </c>
      <c r="C93" s="25" t="s">
        <v>639</v>
      </c>
      <c r="E93" s="25" t="s">
        <v>640</v>
      </c>
      <c r="F93" s="25" t="str">
        <f>LEFT(InputData[[#This Row],[Referencia]],32)</f>
        <v xml:space="preserve">EDICTO SUCESORIO  = = = JUZGADO </v>
      </c>
      <c r="G93" s="25" t="s">
        <v>161</v>
      </c>
      <c r="H93" s="25" t="s">
        <v>22</v>
      </c>
      <c r="I93" s="27">
        <v>141.88333333333333</v>
      </c>
      <c r="J93" s="25" t="s">
        <v>50</v>
      </c>
      <c r="K93" s="25" t="s">
        <v>184</v>
      </c>
      <c r="M93" s="28">
        <v>0</v>
      </c>
      <c r="N93" s="25" t="s">
        <v>21</v>
      </c>
      <c r="O93" s="26">
        <v>1</v>
      </c>
      <c r="P93" s="29">
        <v>9.999999998972223</v>
      </c>
      <c r="Q93" s="25" t="str">
        <f>EVALUATE_LOCATION(InputData[[#This Row],[Section]],InputData[[#This Row],[Forma de Pago]],InputData[[#This Row],[Ubic.Pretendida]],InputData[[#This Row],[Nro pag]])</f>
        <v xml:space="preserve"> </v>
      </c>
      <c r="R93" s="25">
        <f>ROUND(InputData[[#This Row],[AltoCm]],0)</f>
        <v>10</v>
      </c>
      <c r="S93" s="25" t="str">
        <f>InputData[[#This Row],[Col]]&amp;"x"&amp;IF(LEN(InputData[[#This Row],[Alto]])=2,InputData[[#This Row],[Alto]],"0"&amp;InputData[[#This Row],[Alto]])</f>
        <v>1x10</v>
      </c>
    </row>
    <row r="94" spans="1:19" x14ac:dyDescent="0.2">
      <c r="A94" s="25" t="s">
        <v>19</v>
      </c>
      <c r="B94" s="25" t="s">
        <v>641</v>
      </c>
      <c r="C94" s="25" t="s">
        <v>642</v>
      </c>
      <c r="E94" s="25" t="s">
        <v>643</v>
      </c>
      <c r="F94" s="25" t="str">
        <f>LEFT(InputData[[#This Row],[Referencia]],32)</f>
        <v xml:space="preserve">      E D ICTOS=== Juzgado de Pr</v>
      </c>
      <c r="G94" s="25" t="s">
        <v>161</v>
      </c>
      <c r="H94" s="25" t="s">
        <v>22</v>
      </c>
      <c r="I94" s="27">
        <v>141.88333333333333</v>
      </c>
      <c r="J94" s="25" t="s">
        <v>50</v>
      </c>
      <c r="K94" s="25" t="s">
        <v>184</v>
      </c>
      <c r="M94" s="28">
        <v>0</v>
      </c>
      <c r="N94" s="25" t="s">
        <v>21</v>
      </c>
      <c r="O94" s="26">
        <v>1</v>
      </c>
      <c r="P94" s="29">
        <v>9.999999998972223</v>
      </c>
      <c r="Q94" s="25" t="str">
        <f>EVALUATE_LOCATION(InputData[[#This Row],[Section]],InputData[[#This Row],[Forma de Pago]],InputData[[#This Row],[Ubic.Pretendida]],InputData[[#This Row],[Nro pag]])</f>
        <v xml:space="preserve"> </v>
      </c>
      <c r="R94" s="25">
        <f>ROUND(InputData[[#This Row],[AltoCm]],0)</f>
        <v>10</v>
      </c>
      <c r="S94" s="25" t="str">
        <f>InputData[[#This Row],[Col]]&amp;"x"&amp;IF(LEN(InputData[[#This Row],[Alto]])=2,InputData[[#This Row],[Alto]],"0"&amp;InputData[[#This Row],[Alto]])</f>
        <v>1x10</v>
      </c>
    </row>
    <row r="95" spans="1:19" x14ac:dyDescent="0.2">
      <c r="A95" s="25" t="s">
        <v>19</v>
      </c>
      <c r="B95" s="25" t="s">
        <v>644</v>
      </c>
      <c r="C95" s="25" t="s">
        <v>645</v>
      </c>
      <c r="E95" s="25" t="s">
        <v>646</v>
      </c>
      <c r="F95" s="25" t="str">
        <f>LEFT(InputData[[#This Row],[Referencia]],32)</f>
        <v xml:space="preserve">                                </v>
      </c>
      <c r="G95" s="25" t="s">
        <v>161</v>
      </c>
      <c r="H95" s="25" t="s">
        <v>22</v>
      </c>
      <c r="I95" s="27">
        <v>141.88333333333333</v>
      </c>
      <c r="J95" s="25" t="s">
        <v>50</v>
      </c>
      <c r="K95" s="25" t="s">
        <v>184</v>
      </c>
      <c r="M95" s="28">
        <v>0</v>
      </c>
      <c r="N95" s="25" t="s">
        <v>21</v>
      </c>
      <c r="O95" s="26">
        <v>1</v>
      </c>
      <c r="P95" s="29">
        <v>9.999999998972223</v>
      </c>
      <c r="Q95" s="25" t="str">
        <f>EVALUATE_LOCATION(InputData[[#This Row],[Section]],InputData[[#This Row],[Forma de Pago]],InputData[[#This Row],[Ubic.Pretendida]],InputData[[#This Row],[Nro pag]])</f>
        <v xml:space="preserve"> </v>
      </c>
      <c r="R95" s="25">
        <f>ROUND(InputData[[#This Row],[AltoCm]],0)</f>
        <v>10</v>
      </c>
      <c r="S95" s="25" t="str">
        <f>InputData[[#This Row],[Col]]&amp;"x"&amp;IF(LEN(InputData[[#This Row],[Alto]])=2,InputData[[#This Row],[Alto]],"0"&amp;InputData[[#This Row],[Alto]])</f>
        <v>1x10</v>
      </c>
    </row>
    <row r="96" spans="1:19" x14ac:dyDescent="0.2">
      <c r="A96" s="25" t="s">
        <v>19</v>
      </c>
      <c r="B96" s="25" t="s">
        <v>647</v>
      </c>
      <c r="C96" s="25" t="s">
        <v>645</v>
      </c>
      <c r="E96" s="25" t="s">
        <v>648</v>
      </c>
      <c r="F96" s="25" t="str">
        <f>LEFT(InputData[[#This Row],[Referencia]],32)</f>
        <v xml:space="preserve">           EDICTO  SUCESORIO  - </v>
      </c>
      <c r="G96" s="25" t="s">
        <v>161</v>
      </c>
      <c r="H96" s="25" t="s">
        <v>22</v>
      </c>
      <c r="I96" s="27">
        <v>141.88333333333333</v>
      </c>
      <c r="J96" s="25" t="s">
        <v>50</v>
      </c>
      <c r="K96" s="25" t="s">
        <v>184</v>
      </c>
      <c r="M96" s="28">
        <v>0</v>
      </c>
      <c r="N96" s="25" t="s">
        <v>21</v>
      </c>
      <c r="O96" s="26">
        <v>1</v>
      </c>
      <c r="P96" s="29">
        <v>9.999999998972223</v>
      </c>
      <c r="Q96" s="25" t="str">
        <f>EVALUATE_LOCATION(InputData[[#This Row],[Section]],InputData[[#This Row],[Forma de Pago]],InputData[[#This Row],[Ubic.Pretendida]],InputData[[#This Row],[Nro pag]])</f>
        <v xml:space="preserve"> </v>
      </c>
      <c r="R96" s="25">
        <f>ROUND(InputData[[#This Row],[AltoCm]],0)</f>
        <v>10</v>
      </c>
      <c r="S96" s="25" t="str">
        <f>InputData[[#This Row],[Col]]&amp;"x"&amp;IF(LEN(InputData[[#This Row],[Alto]])=2,InputData[[#This Row],[Alto]],"0"&amp;InputData[[#This Row],[Alto]])</f>
        <v>1x10</v>
      </c>
    </row>
    <row r="97" spans="1:19" x14ac:dyDescent="0.2">
      <c r="A97" s="25" t="s">
        <v>19</v>
      </c>
      <c r="B97" s="25" t="s">
        <v>649</v>
      </c>
      <c r="C97" s="25" t="s">
        <v>650</v>
      </c>
      <c r="E97" s="25" t="s">
        <v>651</v>
      </c>
      <c r="F97" s="25" t="str">
        <f>LEFT(InputData[[#This Row],[Referencia]],32)</f>
        <v>--------------------------------</v>
      </c>
      <c r="G97" s="25" t="s">
        <v>161</v>
      </c>
      <c r="H97" s="25" t="s">
        <v>22</v>
      </c>
      <c r="I97" s="27">
        <v>141.88333333333333</v>
      </c>
      <c r="J97" s="25" t="s">
        <v>50</v>
      </c>
      <c r="K97" s="25" t="s">
        <v>184</v>
      </c>
      <c r="M97" s="28">
        <v>0</v>
      </c>
      <c r="N97" s="25" t="s">
        <v>21</v>
      </c>
      <c r="O97" s="26">
        <v>1</v>
      </c>
      <c r="P97" s="29">
        <v>9.999999998972223</v>
      </c>
      <c r="Q97" s="25" t="str">
        <f>EVALUATE_LOCATION(InputData[[#This Row],[Section]],InputData[[#This Row],[Forma de Pago]],InputData[[#This Row],[Ubic.Pretendida]],InputData[[#This Row],[Nro pag]])</f>
        <v xml:space="preserve"> </v>
      </c>
      <c r="R97" s="25">
        <f>ROUND(InputData[[#This Row],[AltoCm]],0)</f>
        <v>10</v>
      </c>
      <c r="S97" s="25" t="str">
        <f>InputData[[#This Row],[Col]]&amp;"x"&amp;IF(LEN(InputData[[#This Row],[Alto]])=2,InputData[[#This Row],[Alto]],"0"&amp;InputData[[#This Row],[Alto]])</f>
        <v>1x10</v>
      </c>
    </row>
    <row r="98" spans="1:19" x14ac:dyDescent="0.2">
      <c r="A98" s="25" t="s">
        <v>19</v>
      </c>
      <c r="B98" s="25" t="s">
        <v>652</v>
      </c>
      <c r="C98" s="25" t="s">
        <v>653</v>
      </c>
      <c r="E98" s="25" t="s">
        <v>654</v>
      </c>
      <c r="F98" s="25" t="str">
        <f>LEFT(InputData[[#This Row],[Referencia]],32)</f>
        <v xml:space="preserve">EDICTO SUCESORIO .-.-JUZGADO DE </v>
      </c>
      <c r="G98" s="25" t="s">
        <v>161</v>
      </c>
      <c r="H98" s="25" t="s">
        <v>22</v>
      </c>
      <c r="I98" s="27">
        <v>141.88333333333333</v>
      </c>
      <c r="J98" s="25" t="s">
        <v>50</v>
      </c>
      <c r="K98" s="25" t="s">
        <v>184</v>
      </c>
      <c r="M98" s="28">
        <v>0</v>
      </c>
      <c r="N98" s="25" t="s">
        <v>21</v>
      </c>
      <c r="O98" s="26">
        <v>1</v>
      </c>
      <c r="P98" s="29">
        <v>9.999999998972223</v>
      </c>
      <c r="Q98" s="25" t="str">
        <f>EVALUATE_LOCATION(InputData[[#This Row],[Section]],InputData[[#This Row],[Forma de Pago]],InputData[[#This Row],[Ubic.Pretendida]],InputData[[#This Row],[Nro pag]])</f>
        <v xml:space="preserve"> </v>
      </c>
      <c r="R98" s="25">
        <f>ROUND(InputData[[#This Row],[AltoCm]],0)</f>
        <v>10</v>
      </c>
      <c r="S98" s="25" t="str">
        <f>InputData[[#This Row],[Col]]&amp;"x"&amp;IF(LEN(InputData[[#This Row],[Alto]])=2,InputData[[#This Row],[Alto]],"0"&amp;InputData[[#This Row],[Alto]])</f>
        <v>1x10</v>
      </c>
    </row>
    <row r="99" spans="1:19" x14ac:dyDescent="0.2">
      <c r="A99" s="25" t="s">
        <v>19</v>
      </c>
      <c r="B99" s="25" t="s">
        <v>655</v>
      </c>
      <c r="C99" s="25" t="s">
        <v>626</v>
      </c>
      <c r="D99" s="25" t="s">
        <v>656</v>
      </c>
      <c r="E99" s="25" t="s">
        <v>657</v>
      </c>
      <c r="F99" s="25" t="str">
        <f>LEFT(InputData[[#This Row],[Referencia]],32)</f>
        <v>EDICTO     JUZGADO MULTIFUERO DE</v>
      </c>
      <c r="G99" s="25" t="s">
        <v>161</v>
      </c>
      <c r="H99" s="25" t="s">
        <v>20</v>
      </c>
      <c r="I99" s="27">
        <v>113.50666666666667</v>
      </c>
      <c r="J99" s="25" t="s">
        <v>50</v>
      </c>
      <c r="K99" s="25" t="s">
        <v>184</v>
      </c>
      <c r="M99" s="28">
        <v>0</v>
      </c>
      <c r="N99" s="25" t="s">
        <v>21</v>
      </c>
      <c r="O99" s="26">
        <v>1</v>
      </c>
      <c r="P99" s="29">
        <v>7.9999999984722239</v>
      </c>
      <c r="Q99" s="25" t="str">
        <f>EVALUATE_LOCATION(InputData[[#This Row],[Section]],InputData[[#This Row],[Forma de Pago]],InputData[[#This Row],[Ubic.Pretendida]],InputData[[#This Row],[Nro pag]])</f>
        <v xml:space="preserve"> </v>
      </c>
      <c r="R99" s="25">
        <f>ROUND(InputData[[#This Row],[AltoCm]],0)</f>
        <v>8</v>
      </c>
      <c r="S99" s="25" t="str">
        <f>InputData[[#This Row],[Col]]&amp;"x"&amp;IF(LEN(InputData[[#This Row],[Alto]])=2,InputData[[#This Row],[Alto]],"0"&amp;InputData[[#This Row],[Alto]])</f>
        <v>1x08</v>
      </c>
    </row>
    <row r="100" spans="1:19" x14ac:dyDescent="0.2">
      <c r="A100" s="25" t="s">
        <v>19</v>
      </c>
      <c r="B100" s="25" t="s">
        <v>658</v>
      </c>
      <c r="C100" s="25" t="s">
        <v>659</v>
      </c>
      <c r="D100" s="25" t="s">
        <v>660</v>
      </c>
      <c r="E100" s="25" t="s">
        <v>661</v>
      </c>
      <c r="F100" s="25" t="str">
        <f>LEFT(InputData[[#This Row],[Referencia]],32)</f>
        <v>EFECTIVO  EFECTIVO EN EL ACTO CO</v>
      </c>
      <c r="G100" s="25" t="s">
        <v>359</v>
      </c>
      <c r="H100" s="25" t="s">
        <v>20</v>
      </c>
      <c r="I100" s="27">
        <v>387.75566666666668</v>
      </c>
      <c r="J100" s="25" t="s">
        <v>9</v>
      </c>
      <c r="K100" s="25" t="s">
        <v>662</v>
      </c>
      <c r="M100" s="28">
        <v>0</v>
      </c>
      <c r="N100" s="25" t="s">
        <v>21</v>
      </c>
      <c r="O100" s="26">
        <v>1</v>
      </c>
      <c r="P100" s="29">
        <v>9.999999998972223</v>
      </c>
      <c r="Q100" s="25" t="str">
        <f>EVALUATE_LOCATION(InputData[[#This Row],[Section]],InputData[[#This Row],[Forma de Pago]],InputData[[#This Row],[Ubic.Pretendida]],InputData[[#This Row],[Nro pag]])</f>
        <v xml:space="preserve"> </v>
      </c>
      <c r="R100" s="25">
        <f>ROUND(InputData[[#This Row],[AltoCm]],0)</f>
        <v>10</v>
      </c>
      <c r="S100" s="25" t="str">
        <f>InputData[[#This Row],[Col]]&amp;"x"&amp;IF(LEN(InputData[[#This Row],[Alto]])=2,InputData[[#This Row],[Alto]],"0"&amp;InputData[[#This Row],[Alto]])</f>
        <v>1x10</v>
      </c>
    </row>
    <row r="101" spans="1:19" x14ac:dyDescent="0.2">
      <c r="A101" s="25" t="s">
        <v>19</v>
      </c>
      <c r="B101" s="25" t="s">
        <v>663</v>
      </c>
      <c r="C101" s="25" t="s">
        <v>479</v>
      </c>
      <c r="D101" s="25" t="s">
        <v>664</v>
      </c>
      <c r="E101" s="25" t="s">
        <v>665</v>
      </c>
      <c r="F101" s="25" t="str">
        <f>LEFT(InputData[[#This Row],[Referencia]],32)</f>
        <v>MARCALAIN VENTAS ALQUILERES</v>
      </c>
      <c r="G101" s="25" t="s">
        <v>359</v>
      </c>
      <c r="H101" s="25" t="s">
        <v>22</v>
      </c>
      <c r="I101" s="27">
        <v>184.64535714285714</v>
      </c>
      <c r="J101" s="25" t="s">
        <v>50</v>
      </c>
      <c r="K101" s="25" t="s">
        <v>666</v>
      </c>
      <c r="M101" s="28">
        <v>0</v>
      </c>
      <c r="N101" s="25" t="s">
        <v>21</v>
      </c>
      <c r="O101" s="26">
        <v>1</v>
      </c>
      <c r="P101" s="29">
        <v>6.0000000015000001</v>
      </c>
      <c r="Q101" s="25" t="str">
        <f>EVALUATE_LOCATION(InputData[[#This Row],[Section]],InputData[[#This Row],[Forma de Pago]],InputData[[#This Row],[Ubic.Pretendida]],InputData[[#This Row],[Nro pag]])</f>
        <v xml:space="preserve"> </v>
      </c>
      <c r="R101" s="25">
        <f>ROUND(InputData[[#This Row],[AltoCm]],0)</f>
        <v>6</v>
      </c>
      <c r="S101" s="25" t="str">
        <f>InputData[[#This Row],[Col]]&amp;"x"&amp;IF(LEN(InputData[[#This Row],[Alto]])=2,InputData[[#This Row],[Alto]],"0"&amp;InputData[[#This Row],[Alto]])</f>
        <v>1x06</v>
      </c>
    </row>
    <row r="102" spans="1:19" x14ac:dyDescent="0.2">
      <c r="A102" s="25" t="s">
        <v>19</v>
      </c>
      <c r="B102" s="25" t="s">
        <v>667</v>
      </c>
      <c r="C102" s="25" t="s">
        <v>668</v>
      </c>
      <c r="E102" s="25" t="s">
        <v>669</v>
      </c>
      <c r="F102" s="25" t="str">
        <f>LEFT(InputData[[#This Row],[Referencia]],32)</f>
        <v>AS SOLUCIONES INMOBILIARIA  SE R</v>
      </c>
      <c r="G102" s="25" t="s">
        <v>359</v>
      </c>
      <c r="H102" s="25" t="s">
        <v>22</v>
      </c>
      <c r="I102" s="27">
        <v>60.317666666666668</v>
      </c>
      <c r="J102" s="25" t="s">
        <v>50</v>
      </c>
      <c r="K102" s="25" t="s">
        <v>666</v>
      </c>
      <c r="M102" s="28">
        <v>0</v>
      </c>
      <c r="N102" s="25" t="s">
        <v>21</v>
      </c>
      <c r="O102" s="26">
        <v>1</v>
      </c>
      <c r="P102" s="29">
        <v>2.0000000005</v>
      </c>
      <c r="Q102" s="25" t="str">
        <f>EVALUATE_LOCATION(InputData[[#This Row],[Section]],InputData[[#This Row],[Forma de Pago]],InputData[[#This Row],[Ubic.Pretendida]],InputData[[#This Row],[Nro pag]])</f>
        <v xml:space="preserve"> </v>
      </c>
      <c r="R102" s="25">
        <f>ROUND(InputData[[#This Row],[AltoCm]],0)</f>
        <v>2</v>
      </c>
      <c r="S102" s="25" t="str">
        <f>InputData[[#This Row],[Col]]&amp;"x"&amp;IF(LEN(InputData[[#This Row],[Alto]])=2,InputData[[#This Row],[Alto]],"0"&amp;InputData[[#This Row],[Alto]])</f>
        <v>1x02</v>
      </c>
    </row>
    <row r="103" spans="1:19" x14ac:dyDescent="0.2">
      <c r="A103" s="25" t="s">
        <v>19</v>
      </c>
      <c r="B103" s="25" t="s">
        <v>670</v>
      </c>
      <c r="C103" s="25" t="s">
        <v>671</v>
      </c>
      <c r="E103" s="25" t="s">
        <v>672</v>
      </c>
      <c r="F103" s="25" t="str">
        <f>LEFT(InputData[[#This Row],[Referencia]],32)</f>
        <v>CRISTIAN L. VILAR TASADOR PROFES</v>
      </c>
      <c r="G103" s="25" t="s">
        <v>359</v>
      </c>
      <c r="H103" s="25" t="s">
        <v>22</v>
      </c>
      <c r="I103" s="27">
        <v>60.317666666666668</v>
      </c>
      <c r="J103" s="25" t="s">
        <v>50</v>
      </c>
      <c r="K103" s="25" t="s">
        <v>666</v>
      </c>
      <c r="M103" s="28">
        <v>0</v>
      </c>
      <c r="N103" s="25" t="s">
        <v>21</v>
      </c>
      <c r="O103" s="26">
        <v>1</v>
      </c>
      <c r="P103" s="29">
        <v>2.0000000005</v>
      </c>
      <c r="Q103" s="25" t="str">
        <f>EVALUATE_LOCATION(InputData[[#This Row],[Section]],InputData[[#This Row],[Forma de Pago]],InputData[[#This Row],[Ubic.Pretendida]],InputData[[#This Row],[Nro pag]])</f>
        <v xml:space="preserve"> </v>
      </c>
      <c r="R103" s="25">
        <f>ROUND(InputData[[#This Row],[AltoCm]],0)</f>
        <v>2</v>
      </c>
      <c r="S103" s="25" t="str">
        <f>InputData[[#This Row],[Col]]&amp;"x"&amp;IF(LEN(InputData[[#This Row],[Alto]])=2,InputData[[#This Row],[Alto]],"0"&amp;InputData[[#This Row],[Alto]])</f>
        <v>1x02</v>
      </c>
    </row>
    <row r="104" spans="1:19" x14ac:dyDescent="0.2">
      <c r="A104" s="25" t="s">
        <v>19</v>
      </c>
      <c r="B104" s="25" t="s">
        <v>673</v>
      </c>
      <c r="C104" s="25" t="s">
        <v>674</v>
      </c>
      <c r="E104" s="25" t="s">
        <v>675</v>
      </c>
      <c r="F104" s="25" t="str">
        <f>LEFT(InputData[[#This Row],[Referencia]],32)</f>
        <v>PERITO TASADOR Profesional Matri</v>
      </c>
      <c r="G104" s="25" t="s">
        <v>359</v>
      </c>
      <c r="H104" s="25" t="s">
        <v>22</v>
      </c>
      <c r="I104" s="27">
        <v>60.317666666666668</v>
      </c>
      <c r="J104" s="25" t="s">
        <v>50</v>
      </c>
      <c r="K104" s="25" t="s">
        <v>666</v>
      </c>
      <c r="M104" s="28">
        <v>0</v>
      </c>
      <c r="N104" s="25" t="s">
        <v>21</v>
      </c>
      <c r="O104" s="26">
        <v>1</v>
      </c>
      <c r="P104" s="29">
        <v>2.0000000005</v>
      </c>
      <c r="Q104" s="25" t="str">
        <f>EVALUATE_LOCATION(InputData[[#This Row],[Section]],InputData[[#This Row],[Forma de Pago]],InputData[[#This Row],[Ubic.Pretendida]],InputData[[#This Row],[Nro pag]])</f>
        <v xml:space="preserve"> </v>
      </c>
      <c r="R104" s="25">
        <f>ROUND(InputData[[#This Row],[AltoCm]],0)</f>
        <v>2</v>
      </c>
      <c r="S104" s="25" t="str">
        <f>InputData[[#This Row],[Col]]&amp;"x"&amp;IF(LEN(InputData[[#This Row],[Alto]])=2,InputData[[#This Row],[Alto]],"0"&amp;InputData[[#This Row],[Alto]])</f>
        <v>1x02</v>
      </c>
    </row>
    <row r="105" spans="1:19" x14ac:dyDescent="0.2">
      <c r="A105" s="25" t="s">
        <v>19</v>
      </c>
      <c r="B105" s="25" t="s">
        <v>676</v>
      </c>
      <c r="C105" s="25" t="s">
        <v>677</v>
      </c>
      <c r="D105" s="25" t="s">
        <v>678</v>
      </c>
      <c r="E105" s="25" t="s">
        <v>679</v>
      </c>
      <c r="F105" s="25" t="str">
        <f>LEFT(InputData[[#This Row],[Referencia]],32)</f>
        <v>JULIO PANERO</v>
      </c>
      <c r="G105" s="25" t="s">
        <v>359</v>
      </c>
      <c r="H105" s="25" t="s">
        <v>20</v>
      </c>
      <c r="I105" s="27">
        <v>63.189999999999991</v>
      </c>
      <c r="J105" s="25" t="s">
        <v>50</v>
      </c>
      <c r="K105" s="25" t="s">
        <v>666</v>
      </c>
      <c r="M105" s="28">
        <v>0</v>
      </c>
      <c r="N105" s="25" t="s">
        <v>21</v>
      </c>
      <c r="O105" s="26">
        <v>1</v>
      </c>
      <c r="P105" s="29">
        <v>2.0000000005</v>
      </c>
      <c r="Q105" s="25" t="str">
        <f>EVALUATE_LOCATION(InputData[[#This Row],[Section]],InputData[[#This Row],[Forma de Pago]],InputData[[#This Row],[Ubic.Pretendida]],InputData[[#This Row],[Nro pag]])</f>
        <v xml:space="preserve"> </v>
      </c>
      <c r="R105" s="25">
        <f>ROUND(InputData[[#This Row],[AltoCm]],0)</f>
        <v>2</v>
      </c>
      <c r="S105" s="25" t="str">
        <f>InputData[[#This Row],[Col]]&amp;"x"&amp;IF(LEN(InputData[[#This Row],[Alto]])=2,InputData[[#This Row],[Alto]],"0"&amp;InputData[[#This Row],[Alto]])</f>
        <v>1x02</v>
      </c>
    </row>
    <row r="106" spans="1:19" x14ac:dyDescent="0.2">
      <c r="A106" s="25" t="s">
        <v>19</v>
      </c>
      <c r="B106" s="25" t="s">
        <v>680</v>
      </c>
      <c r="C106" s="25" t="s">
        <v>681</v>
      </c>
      <c r="D106" s="25" t="s">
        <v>682</v>
      </c>
      <c r="E106" s="25" t="s">
        <v>683</v>
      </c>
      <c r="F106" s="25" t="str">
        <f>LEFT(InputData[[#This Row],[Referencia]],32)</f>
        <v>SUSANA MARINO</v>
      </c>
      <c r="G106" s="25" t="s">
        <v>359</v>
      </c>
      <c r="H106" s="25" t="s">
        <v>20</v>
      </c>
      <c r="I106" s="27">
        <v>197.67941176470589</v>
      </c>
      <c r="J106" s="25" t="s">
        <v>50</v>
      </c>
      <c r="K106" s="25" t="s">
        <v>666</v>
      </c>
      <c r="M106" s="28">
        <v>0</v>
      </c>
      <c r="N106" s="25" t="s">
        <v>21</v>
      </c>
      <c r="O106" s="26">
        <v>1</v>
      </c>
      <c r="P106" s="29">
        <v>6.0000000015000001</v>
      </c>
      <c r="Q106" s="25" t="str">
        <f>EVALUATE_LOCATION(InputData[[#This Row],[Section]],InputData[[#This Row],[Forma de Pago]],InputData[[#This Row],[Ubic.Pretendida]],InputData[[#This Row],[Nro pag]])</f>
        <v xml:space="preserve"> </v>
      </c>
      <c r="R106" s="25">
        <f>ROUND(InputData[[#This Row],[AltoCm]],0)</f>
        <v>6</v>
      </c>
      <c r="S106" s="25" t="str">
        <f>InputData[[#This Row],[Col]]&amp;"x"&amp;IF(LEN(InputData[[#This Row],[Alto]])=2,InputData[[#This Row],[Alto]],"0"&amp;InputData[[#This Row],[Alto]])</f>
        <v>1x06</v>
      </c>
    </row>
    <row r="107" spans="1:19" x14ac:dyDescent="0.2">
      <c r="A107" s="25" t="s">
        <v>19</v>
      </c>
      <c r="B107" s="25" t="s">
        <v>684</v>
      </c>
      <c r="C107" s="25" t="s">
        <v>439</v>
      </c>
      <c r="D107" s="25" t="s">
        <v>685</v>
      </c>
      <c r="E107" s="25" t="s">
        <v>686</v>
      </c>
      <c r="F107" s="25" t="str">
        <f>LEFT(InputData[[#This Row],[Referencia]],32)</f>
        <v>CABALLERO PROPIEDADES</v>
      </c>
      <c r="G107" s="25" t="s">
        <v>359</v>
      </c>
      <c r="H107" s="25" t="s">
        <v>20</v>
      </c>
      <c r="I107" s="27">
        <v>153.87142857142857</v>
      </c>
      <c r="J107" s="25" t="s">
        <v>50</v>
      </c>
      <c r="K107" s="25" t="s">
        <v>666</v>
      </c>
      <c r="M107" s="28">
        <v>0</v>
      </c>
      <c r="N107" s="25" t="s">
        <v>21</v>
      </c>
      <c r="O107" s="26">
        <v>1</v>
      </c>
      <c r="P107" s="29">
        <v>5.0000000012500001</v>
      </c>
      <c r="Q107" s="25" t="str">
        <f>EVALUATE_LOCATION(InputData[[#This Row],[Section]],InputData[[#This Row],[Forma de Pago]],InputData[[#This Row],[Ubic.Pretendida]],InputData[[#This Row],[Nro pag]])</f>
        <v xml:space="preserve"> </v>
      </c>
      <c r="R107" s="25">
        <f>ROUND(InputData[[#This Row],[AltoCm]],0)</f>
        <v>5</v>
      </c>
      <c r="S107" s="25" t="str">
        <f>InputData[[#This Row],[Col]]&amp;"x"&amp;IF(LEN(InputData[[#This Row],[Alto]])=2,InputData[[#This Row],[Alto]],"0"&amp;InputData[[#This Row],[Alto]])</f>
        <v>1x05</v>
      </c>
    </row>
    <row r="108" spans="1:19" x14ac:dyDescent="0.2">
      <c r="A108" s="25" t="s">
        <v>19</v>
      </c>
      <c r="B108" s="25" t="s">
        <v>687</v>
      </c>
      <c r="C108" s="25" t="s">
        <v>451</v>
      </c>
      <c r="D108" s="25" t="s">
        <v>688</v>
      </c>
      <c r="E108" s="25" t="s">
        <v>689</v>
      </c>
      <c r="F108" s="25" t="str">
        <f>LEFT(InputData[[#This Row],[Referencia]],32)</f>
        <v>DESCANSA TRANQUILO</v>
      </c>
      <c r="G108" s="25" t="s">
        <v>359</v>
      </c>
      <c r="H108" s="25" t="s">
        <v>20</v>
      </c>
      <c r="I108" s="27">
        <v>301.58800000000002</v>
      </c>
      <c r="J108" s="25" t="s">
        <v>50</v>
      </c>
      <c r="K108" s="25" t="s">
        <v>666</v>
      </c>
      <c r="M108" s="28">
        <v>0</v>
      </c>
      <c r="N108" s="25" t="s">
        <v>21</v>
      </c>
      <c r="O108" s="26">
        <v>1</v>
      </c>
      <c r="P108" s="29">
        <v>9.999999998972223</v>
      </c>
      <c r="Q108" s="25" t="str">
        <f>EVALUATE_LOCATION(InputData[[#This Row],[Section]],InputData[[#This Row],[Forma de Pago]],InputData[[#This Row],[Ubic.Pretendida]],InputData[[#This Row],[Nro pag]])</f>
        <v xml:space="preserve"> </v>
      </c>
      <c r="R108" s="25">
        <f>ROUND(InputData[[#This Row],[AltoCm]],0)</f>
        <v>10</v>
      </c>
      <c r="S108" s="25" t="str">
        <f>InputData[[#This Row],[Col]]&amp;"x"&amp;IF(LEN(InputData[[#This Row],[Alto]])=2,InputData[[#This Row],[Alto]],"0"&amp;InputData[[#This Row],[Alto]])</f>
        <v>1x10</v>
      </c>
    </row>
    <row r="109" spans="1:19" x14ac:dyDescent="0.2">
      <c r="A109" s="25" t="s">
        <v>19</v>
      </c>
      <c r="B109" s="25" t="s">
        <v>226</v>
      </c>
      <c r="C109" s="25" t="s">
        <v>227</v>
      </c>
      <c r="E109" s="25" t="s">
        <v>228</v>
      </c>
      <c r="F109" s="25" t="str">
        <f>LEFT(InputData[[#This Row],[Referencia]],32)</f>
        <v>ASOCIACIÓN CIVIL ROTARY CLUB JUJ</v>
      </c>
      <c r="G109" s="25" t="s">
        <v>85</v>
      </c>
      <c r="H109" s="25" t="s">
        <v>22</v>
      </c>
      <c r="I109" s="27">
        <v>662.3366666666667</v>
      </c>
      <c r="J109" s="25" t="s">
        <v>50</v>
      </c>
      <c r="K109" s="25" t="s">
        <v>86</v>
      </c>
      <c r="M109" s="28">
        <v>0</v>
      </c>
      <c r="N109" s="25" t="s">
        <v>21</v>
      </c>
      <c r="O109" s="26">
        <v>2</v>
      </c>
      <c r="P109" s="29">
        <v>9.999999998972223</v>
      </c>
      <c r="Q109" s="25" t="str">
        <f>EVALUATE_LOCATION(InputData[[#This Row],[Section]],InputData[[#This Row],[Forma de Pago]],InputData[[#This Row],[Ubic.Pretendida]],InputData[[#This Row],[Nro pag]])</f>
        <v xml:space="preserve"> </v>
      </c>
      <c r="R109" s="25">
        <f>ROUND(InputData[[#This Row],[AltoCm]],0)</f>
        <v>10</v>
      </c>
      <c r="S109" s="25" t="str">
        <f>InputData[[#This Row],[Col]]&amp;"x"&amp;IF(LEN(InputData[[#This Row],[Alto]])=2,InputData[[#This Row],[Alto]],"0"&amp;InputData[[#This Row],[Alto]])</f>
        <v>2x10</v>
      </c>
    </row>
    <row r="110" spans="1:19" x14ac:dyDescent="0.2">
      <c r="A110" s="25" t="s">
        <v>19</v>
      </c>
      <c r="B110" s="25" t="s">
        <v>206</v>
      </c>
      <c r="C110" s="25" t="s">
        <v>185</v>
      </c>
      <c r="E110" s="25" t="s">
        <v>186</v>
      </c>
      <c r="F110" s="25" t="str">
        <f>LEFT(InputData[[#This Row],[Referencia]],32)</f>
        <v xml:space="preserve">A.CI.SE.PA Asociación Civil del </v>
      </c>
      <c r="G110" s="25" t="s">
        <v>85</v>
      </c>
      <c r="H110" s="25" t="s">
        <v>22</v>
      </c>
      <c r="I110" s="27">
        <v>794.8033333333334</v>
      </c>
      <c r="J110" s="25" t="s">
        <v>50</v>
      </c>
      <c r="K110" s="25" t="s">
        <v>86</v>
      </c>
      <c r="M110" s="28">
        <v>0</v>
      </c>
      <c r="N110" s="25" t="s">
        <v>21</v>
      </c>
      <c r="O110" s="26">
        <v>2</v>
      </c>
      <c r="P110" s="29">
        <v>11.999999999472221</v>
      </c>
      <c r="Q110" s="25" t="str">
        <f>EVALUATE_LOCATION(InputData[[#This Row],[Section]],InputData[[#This Row],[Forma de Pago]],InputData[[#This Row],[Ubic.Pretendida]],InputData[[#This Row],[Nro pag]])</f>
        <v xml:space="preserve"> </v>
      </c>
      <c r="R110" s="25">
        <f>ROUND(InputData[[#This Row],[AltoCm]],0)</f>
        <v>12</v>
      </c>
      <c r="S110" s="25" t="str">
        <f>InputData[[#This Row],[Col]]&amp;"x"&amp;IF(LEN(InputData[[#This Row],[Alto]])=2,InputData[[#This Row],[Alto]],"0"&amp;InputData[[#This Row],[Alto]])</f>
        <v>2x12</v>
      </c>
    </row>
    <row r="111" spans="1:19" x14ac:dyDescent="0.2">
      <c r="A111" s="25" t="s">
        <v>19</v>
      </c>
      <c r="B111" s="25" t="s">
        <v>207</v>
      </c>
      <c r="C111" s="25" t="s">
        <v>208</v>
      </c>
      <c r="E111" s="25" t="s">
        <v>209</v>
      </c>
      <c r="F111" s="25" t="str">
        <f>LEFT(InputData[[#This Row],[Referencia]],32)</f>
        <v>CENTRO VECINAL CONSTITUCIÓN DE P</v>
      </c>
      <c r="G111" s="25" t="s">
        <v>85</v>
      </c>
      <c r="H111" s="25" t="s">
        <v>22</v>
      </c>
      <c r="I111" s="27">
        <v>662.3366666666667</v>
      </c>
      <c r="J111" s="25" t="s">
        <v>50</v>
      </c>
      <c r="K111" s="25" t="s">
        <v>86</v>
      </c>
      <c r="M111" s="28">
        <v>0</v>
      </c>
      <c r="N111" s="25" t="s">
        <v>21</v>
      </c>
      <c r="O111" s="26">
        <v>2</v>
      </c>
      <c r="P111" s="29">
        <v>9.999999998972223</v>
      </c>
      <c r="Q111" s="25" t="str">
        <f>EVALUATE_LOCATION(InputData[[#This Row],[Section]],InputData[[#This Row],[Forma de Pago]],InputData[[#This Row],[Ubic.Pretendida]],InputData[[#This Row],[Nro pag]])</f>
        <v xml:space="preserve"> </v>
      </c>
      <c r="R111" s="25">
        <f>ROUND(InputData[[#This Row],[AltoCm]],0)</f>
        <v>10</v>
      </c>
      <c r="S111" s="25" t="str">
        <f>InputData[[#This Row],[Col]]&amp;"x"&amp;IF(LEN(InputData[[#This Row],[Alto]])=2,InputData[[#This Row],[Alto]],"0"&amp;InputData[[#This Row],[Alto]])</f>
        <v>2x10</v>
      </c>
    </row>
    <row r="112" spans="1:19" x14ac:dyDescent="0.2">
      <c r="A112" s="25" t="s">
        <v>19</v>
      </c>
      <c r="B112" s="25" t="s">
        <v>229</v>
      </c>
      <c r="C112" s="25" t="s">
        <v>230</v>
      </c>
      <c r="E112" s="25" t="s">
        <v>231</v>
      </c>
      <c r="F112" s="25" t="str">
        <f>LEFT(InputData[[#This Row],[Referencia]],32)</f>
        <v xml:space="preserve">INSTITUTO DE EDUCACION SUPERIOR </v>
      </c>
      <c r="G112" s="25" t="s">
        <v>85</v>
      </c>
      <c r="H112" s="25" t="s">
        <v>22</v>
      </c>
      <c r="I112" s="27">
        <v>1059.74</v>
      </c>
      <c r="J112" s="25" t="s">
        <v>50</v>
      </c>
      <c r="K112" s="25" t="s">
        <v>86</v>
      </c>
      <c r="M112" s="28">
        <v>0</v>
      </c>
      <c r="N112" s="25" t="s">
        <v>21</v>
      </c>
      <c r="O112" s="26">
        <v>2</v>
      </c>
      <c r="P112" s="29">
        <v>16.000000000472223</v>
      </c>
      <c r="Q112" s="25" t="str">
        <f>EVALUATE_LOCATION(InputData[[#This Row],[Section]],InputData[[#This Row],[Forma de Pago]],InputData[[#This Row],[Ubic.Pretendida]],InputData[[#This Row],[Nro pag]])</f>
        <v xml:space="preserve"> </v>
      </c>
      <c r="R112" s="25">
        <f>ROUND(InputData[[#This Row],[AltoCm]],0)</f>
        <v>16</v>
      </c>
      <c r="S112" s="25" t="str">
        <f>InputData[[#This Row],[Col]]&amp;"x"&amp;IF(LEN(InputData[[#This Row],[Alto]])=2,InputData[[#This Row],[Alto]],"0"&amp;InputData[[#This Row],[Alto]])</f>
        <v>2x16</v>
      </c>
    </row>
    <row r="113" spans="1:19" x14ac:dyDescent="0.2">
      <c r="A113" s="25" t="s">
        <v>19</v>
      </c>
      <c r="B113" s="25" t="s">
        <v>232</v>
      </c>
      <c r="C113" s="25" t="s">
        <v>233</v>
      </c>
      <c r="E113" s="25" t="s">
        <v>234</v>
      </c>
      <c r="F113" s="25" t="str">
        <f>LEFT(InputData[[#This Row],[Referencia]],32)</f>
        <v xml:space="preserve">LA COOPERATIVA DE TRABAJO MANOS </v>
      </c>
      <c r="G113" s="25" t="s">
        <v>85</v>
      </c>
      <c r="H113" s="25" t="s">
        <v>22</v>
      </c>
      <c r="I113" s="27">
        <v>529.87</v>
      </c>
      <c r="J113" s="25" t="s">
        <v>50</v>
      </c>
      <c r="K113" s="25" t="s">
        <v>86</v>
      </c>
      <c r="M113" s="28">
        <v>0</v>
      </c>
      <c r="N113" s="25" t="s">
        <v>21</v>
      </c>
      <c r="O113" s="26">
        <v>2</v>
      </c>
      <c r="P113" s="29">
        <v>7.9999999984722239</v>
      </c>
      <c r="Q113" s="25" t="str">
        <f>EVALUATE_LOCATION(InputData[[#This Row],[Section]],InputData[[#This Row],[Forma de Pago]],InputData[[#This Row],[Ubic.Pretendida]],InputData[[#This Row],[Nro pag]])</f>
        <v xml:space="preserve"> </v>
      </c>
      <c r="R113" s="25">
        <f>ROUND(InputData[[#This Row],[AltoCm]],0)</f>
        <v>8</v>
      </c>
      <c r="S113" s="25" t="str">
        <f>InputData[[#This Row],[Col]]&amp;"x"&amp;IF(LEN(InputData[[#This Row],[Alto]])=2,InputData[[#This Row],[Alto]],"0"&amp;InputData[[#This Row],[Alto]])</f>
        <v>2x08</v>
      </c>
    </row>
    <row r="114" spans="1:19" x14ac:dyDescent="0.2">
      <c r="A114" s="25" t="s">
        <v>19</v>
      </c>
      <c r="B114" s="25" t="s">
        <v>690</v>
      </c>
      <c r="C114" s="25" t="s">
        <v>410</v>
      </c>
      <c r="E114" s="25" t="s">
        <v>691</v>
      </c>
      <c r="F114" s="25" t="str">
        <f>LEFT(InputData[[#This Row],[Referencia]],32)</f>
        <v>DUEÑO ALQUILA galpón en la Ciuda</v>
      </c>
      <c r="G114" s="25" t="s">
        <v>359</v>
      </c>
      <c r="H114" s="25" t="s">
        <v>22</v>
      </c>
      <c r="I114" s="27">
        <v>90.475999999999999</v>
      </c>
      <c r="J114" s="25" t="s">
        <v>50</v>
      </c>
      <c r="K114" s="25" t="s">
        <v>692</v>
      </c>
      <c r="M114" s="28">
        <v>0</v>
      </c>
      <c r="N114" s="25" t="s">
        <v>21</v>
      </c>
      <c r="O114" s="26">
        <v>1</v>
      </c>
      <c r="P114" s="29">
        <v>3.0000000007500001</v>
      </c>
      <c r="Q114" s="25" t="str">
        <f>EVALUATE_LOCATION(InputData[[#This Row],[Section]],InputData[[#This Row],[Forma de Pago]],InputData[[#This Row],[Ubic.Pretendida]],InputData[[#This Row],[Nro pag]])</f>
        <v xml:space="preserve"> </v>
      </c>
      <c r="R114" s="25">
        <f>ROUND(InputData[[#This Row],[AltoCm]],0)</f>
        <v>3</v>
      </c>
      <c r="S114" s="25" t="str">
        <f>InputData[[#This Row],[Col]]&amp;"x"&amp;IF(LEN(InputData[[#This Row],[Alto]])=2,InputData[[#This Row],[Alto]],"0"&amp;InputData[[#This Row],[Alto]])</f>
        <v>1x03</v>
      </c>
    </row>
    <row r="115" spans="1:19" x14ac:dyDescent="0.2">
      <c r="A115" s="25" t="s">
        <v>19</v>
      </c>
      <c r="B115" s="25" t="s">
        <v>693</v>
      </c>
      <c r="C115" s="25" t="s">
        <v>428</v>
      </c>
      <c r="E115" s="25" t="s">
        <v>694</v>
      </c>
      <c r="F115" s="25" t="str">
        <f>LEFT(InputData[[#This Row],[Referencia]],32)</f>
        <v>CIUDAD PERICO  ALQUILO: OFICINAS</v>
      </c>
      <c r="G115" s="25" t="s">
        <v>359</v>
      </c>
      <c r="H115" s="25" t="s">
        <v>22</v>
      </c>
      <c r="I115" s="27">
        <v>90.475999999999999</v>
      </c>
      <c r="J115" s="25" t="s">
        <v>50</v>
      </c>
      <c r="K115" s="25" t="s">
        <v>695</v>
      </c>
      <c r="M115" s="28">
        <v>0</v>
      </c>
      <c r="N115" s="25" t="s">
        <v>21</v>
      </c>
      <c r="O115" s="26">
        <v>1</v>
      </c>
      <c r="P115" s="29">
        <v>3.0000000007500001</v>
      </c>
      <c r="Q115" s="25" t="str">
        <f>EVALUATE_LOCATION(InputData[[#This Row],[Section]],InputData[[#This Row],[Forma de Pago]],InputData[[#This Row],[Ubic.Pretendida]],InputData[[#This Row],[Nro pag]])</f>
        <v xml:space="preserve"> </v>
      </c>
      <c r="R115" s="25">
        <f>ROUND(InputData[[#This Row],[AltoCm]],0)</f>
        <v>3</v>
      </c>
      <c r="S115" s="25" t="str">
        <f>InputData[[#This Row],[Col]]&amp;"x"&amp;IF(LEN(InputData[[#This Row],[Alto]])=2,InputData[[#This Row],[Alto]],"0"&amp;InputData[[#This Row],[Alto]])</f>
        <v>1x03</v>
      </c>
    </row>
    <row r="116" spans="1:19" x14ac:dyDescent="0.2">
      <c r="A116" s="25" t="s">
        <v>19</v>
      </c>
      <c r="B116" s="25" t="s">
        <v>696</v>
      </c>
      <c r="C116" s="25" t="s">
        <v>152</v>
      </c>
      <c r="E116" s="25" t="s">
        <v>697</v>
      </c>
      <c r="F116" s="25" t="str">
        <f>LEFT(InputData[[#This Row],[Referencia]],32)</f>
        <v xml:space="preserve">ALQUILO DPTO  TEMPORAL AMOBLADO </v>
      </c>
      <c r="G116" s="25" t="s">
        <v>359</v>
      </c>
      <c r="H116" s="25" t="s">
        <v>22</v>
      </c>
      <c r="I116" s="27">
        <v>60.317666666666668</v>
      </c>
      <c r="J116" s="25" t="s">
        <v>50</v>
      </c>
      <c r="K116" s="25" t="s">
        <v>698</v>
      </c>
      <c r="M116" s="28">
        <v>0</v>
      </c>
      <c r="N116" s="25" t="s">
        <v>21</v>
      </c>
      <c r="O116" s="26">
        <v>1</v>
      </c>
      <c r="P116" s="29">
        <v>2.0000000005</v>
      </c>
      <c r="Q116" s="25" t="str">
        <f>EVALUATE_LOCATION(InputData[[#This Row],[Section]],InputData[[#This Row],[Forma de Pago]],InputData[[#This Row],[Ubic.Pretendida]],InputData[[#This Row],[Nro pag]])</f>
        <v xml:space="preserve"> </v>
      </c>
      <c r="R116" s="25">
        <f>ROUND(InputData[[#This Row],[AltoCm]],0)</f>
        <v>2</v>
      </c>
      <c r="S116" s="25" t="str">
        <f>InputData[[#This Row],[Col]]&amp;"x"&amp;IF(LEN(InputData[[#This Row],[Alto]])=2,InputData[[#This Row],[Alto]],"0"&amp;InputData[[#This Row],[Alto]])</f>
        <v>1x02</v>
      </c>
    </row>
    <row r="117" spans="1:19" x14ac:dyDescent="0.2">
      <c r="A117" s="25" t="s">
        <v>19</v>
      </c>
      <c r="B117" s="25" t="s">
        <v>699</v>
      </c>
      <c r="C117" s="25" t="s">
        <v>700</v>
      </c>
      <c r="D117" s="25" t="s">
        <v>701</v>
      </c>
      <c r="E117" s="25" t="s">
        <v>702</v>
      </c>
      <c r="F117" s="25" t="str">
        <f>LEFT(InputData[[#This Row],[Referencia]],32)</f>
        <v>ALQUILO DEPTO</v>
      </c>
      <c r="G117" s="25" t="s">
        <v>359</v>
      </c>
      <c r="H117" s="25" t="s">
        <v>20</v>
      </c>
      <c r="I117" s="27">
        <v>150.79366666666664</v>
      </c>
      <c r="J117" s="25" t="s">
        <v>50</v>
      </c>
      <c r="K117" s="25" t="s">
        <v>698</v>
      </c>
      <c r="M117" s="28">
        <v>0</v>
      </c>
      <c r="N117" s="25" t="s">
        <v>21</v>
      </c>
      <c r="O117" s="26">
        <v>1</v>
      </c>
      <c r="P117" s="29">
        <v>5.0000000012500001</v>
      </c>
      <c r="Q117" s="25" t="str">
        <f>EVALUATE_LOCATION(InputData[[#This Row],[Section]],InputData[[#This Row],[Forma de Pago]],InputData[[#This Row],[Ubic.Pretendida]],InputData[[#This Row],[Nro pag]])</f>
        <v xml:space="preserve"> </v>
      </c>
      <c r="R117" s="25">
        <f>ROUND(InputData[[#This Row],[AltoCm]],0)</f>
        <v>5</v>
      </c>
      <c r="S117" s="25" t="str">
        <f>InputData[[#This Row],[Col]]&amp;"x"&amp;IF(LEN(InputData[[#This Row],[Alto]])=2,InputData[[#This Row],[Alto]],"0"&amp;InputData[[#This Row],[Alto]])</f>
        <v>1x05</v>
      </c>
    </row>
    <row r="118" spans="1:19" x14ac:dyDescent="0.2">
      <c r="A118" s="25" t="s">
        <v>19</v>
      </c>
      <c r="B118" s="25" t="s">
        <v>703</v>
      </c>
      <c r="C118" s="25" t="s">
        <v>439</v>
      </c>
      <c r="D118" s="25" t="s">
        <v>704</v>
      </c>
      <c r="E118" s="25" t="s">
        <v>705</v>
      </c>
      <c r="F118" s="25" t="str">
        <f>LEFT(InputData[[#This Row],[Referencia]],32)</f>
        <v>CABALLERO ALQUILA CASAS</v>
      </c>
      <c r="G118" s="25" t="s">
        <v>359</v>
      </c>
      <c r="H118" s="25" t="s">
        <v>20</v>
      </c>
      <c r="I118" s="27">
        <v>246.19428571428574</v>
      </c>
      <c r="J118" s="25" t="s">
        <v>50</v>
      </c>
      <c r="K118" s="25" t="s">
        <v>698</v>
      </c>
      <c r="M118" s="28">
        <v>0</v>
      </c>
      <c r="N118" s="25" t="s">
        <v>21</v>
      </c>
      <c r="O118" s="26">
        <v>1</v>
      </c>
      <c r="P118" s="29">
        <v>7.9999999984722239</v>
      </c>
      <c r="Q118" s="25" t="str">
        <f>EVALUATE_LOCATION(InputData[[#This Row],[Section]],InputData[[#This Row],[Forma de Pago]],InputData[[#This Row],[Ubic.Pretendida]],InputData[[#This Row],[Nro pag]])</f>
        <v xml:space="preserve"> </v>
      </c>
      <c r="R118" s="25">
        <f>ROUND(InputData[[#This Row],[AltoCm]],0)</f>
        <v>8</v>
      </c>
      <c r="S118" s="25" t="str">
        <f>InputData[[#This Row],[Col]]&amp;"x"&amp;IF(LEN(InputData[[#This Row],[Alto]])=2,InputData[[#This Row],[Alto]],"0"&amp;InputData[[#This Row],[Alto]])</f>
        <v>1x08</v>
      </c>
    </row>
    <row r="119" spans="1:19" x14ac:dyDescent="0.2">
      <c r="A119" s="25" t="s">
        <v>19</v>
      </c>
      <c r="B119" s="25" t="s">
        <v>706</v>
      </c>
      <c r="C119" s="25" t="s">
        <v>439</v>
      </c>
      <c r="D119" s="25" t="s">
        <v>707</v>
      </c>
      <c r="E119" s="25" t="s">
        <v>708</v>
      </c>
      <c r="F119" s="25" t="str">
        <f>LEFT(InputData[[#This Row],[Referencia]],32)</f>
        <v>CABALLERO ALQUILA A EMPRESAS CHA</v>
      </c>
      <c r="G119" s="25" t="s">
        <v>359</v>
      </c>
      <c r="H119" s="25" t="s">
        <v>20</v>
      </c>
      <c r="I119" s="27">
        <v>153.87142857142857</v>
      </c>
      <c r="J119" s="25" t="s">
        <v>50</v>
      </c>
      <c r="K119" s="25" t="s">
        <v>698</v>
      </c>
      <c r="M119" s="28">
        <v>0</v>
      </c>
      <c r="N119" s="25" t="s">
        <v>21</v>
      </c>
      <c r="O119" s="26">
        <v>1</v>
      </c>
      <c r="P119" s="29">
        <v>5.0000000012500001</v>
      </c>
      <c r="Q119" s="25" t="str">
        <f>EVALUATE_LOCATION(InputData[[#This Row],[Section]],InputData[[#This Row],[Forma de Pago]],InputData[[#This Row],[Ubic.Pretendida]],InputData[[#This Row],[Nro pag]])</f>
        <v xml:space="preserve"> </v>
      </c>
      <c r="R119" s="25">
        <f>ROUND(InputData[[#This Row],[AltoCm]],0)</f>
        <v>5</v>
      </c>
      <c r="S119" s="25" t="str">
        <f>InputData[[#This Row],[Col]]&amp;"x"&amp;IF(LEN(InputData[[#This Row],[Alto]])=2,InputData[[#This Row],[Alto]],"0"&amp;InputData[[#This Row],[Alto]])</f>
        <v>1x05</v>
      </c>
    </row>
    <row r="120" spans="1:19" x14ac:dyDescent="0.2">
      <c r="A120" s="25" t="s">
        <v>19</v>
      </c>
      <c r="B120" s="25" t="s">
        <v>709</v>
      </c>
      <c r="C120" s="25" t="s">
        <v>710</v>
      </c>
      <c r="E120" s="25" t="s">
        <v>711</v>
      </c>
      <c r="F120" s="25" t="str">
        <f>LEFT(InputData[[#This Row],[Referencia]],32)</f>
        <v>GRACIAS SAN EXPEDITO POR LOS FAV</v>
      </c>
      <c r="G120" s="25" t="s">
        <v>359</v>
      </c>
      <c r="H120" s="25" t="s">
        <v>22</v>
      </c>
      <c r="I120" s="27">
        <v>129.25</v>
      </c>
      <c r="J120" s="25" t="s">
        <v>50</v>
      </c>
      <c r="K120" s="25" t="s">
        <v>712</v>
      </c>
      <c r="M120" s="28">
        <v>0</v>
      </c>
      <c r="N120" s="25" t="s">
        <v>32</v>
      </c>
      <c r="O120" s="26">
        <v>1</v>
      </c>
      <c r="P120" s="29">
        <v>3.0000000007500001</v>
      </c>
      <c r="Q120" s="25" t="str">
        <f>EVALUATE_LOCATION(InputData[[#This Row],[Section]],InputData[[#This Row],[Forma de Pago]],InputData[[#This Row],[Ubic.Pretendida]],InputData[[#This Row],[Nro pag]])</f>
        <v xml:space="preserve"> </v>
      </c>
      <c r="R120" s="25">
        <f>ROUND(InputData[[#This Row],[AltoCm]],0)</f>
        <v>3</v>
      </c>
      <c r="S120" s="25" t="str">
        <f>InputData[[#This Row],[Col]]&amp;"x"&amp;IF(LEN(InputData[[#This Row],[Alto]])=2,InputData[[#This Row],[Alto]],"0"&amp;InputData[[#This Row],[Alto]])</f>
        <v>1x03</v>
      </c>
    </row>
    <row r="121" spans="1:19" x14ac:dyDescent="0.2">
      <c r="A121" s="25" t="s">
        <v>19</v>
      </c>
      <c r="B121" s="25" t="s">
        <v>713</v>
      </c>
      <c r="C121" s="25" t="s">
        <v>710</v>
      </c>
      <c r="E121" s="25" t="s">
        <v>714</v>
      </c>
      <c r="F121" s="25" t="str">
        <f>LEFT(InputData[[#This Row],[Referencia]],32)</f>
        <v>GRACIAS  SEÑOR JESUCRISTO POR LO</v>
      </c>
      <c r="G121" s="25" t="s">
        <v>359</v>
      </c>
      <c r="H121" s="25" t="s">
        <v>22</v>
      </c>
      <c r="I121" s="27">
        <v>129.25</v>
      </c>
      <c r="J121" s="25" t="s">
        <v>50</v>
      </c>
      <c r="K121" s="25" t="s">
        <v>712</v>
      </c>
      <c r="M121" s="28">
        <v>0</v>
      </c>
      <c r="N121" s="25" t="s">
        <v>32</v>
      </c>
      <c r="O121" s="26">
        <v>1</v>
      </c>
      <c r="P121" s="29">
        <v>3.0000000007500001</v>
      </c>
      <c r="Q121" s="25" t="str">
        <f>EVALUATE_LOCATION(InputData[[#This Row],[Section]],InputData[[#This Row],[Forma de Pago]],InputData[[#This Row],[Ubic.Pretendida]],InputData[[#This Row],[Nro pag]])</f>
        <v xml:space="preserve"> </v>
      </c>
      <c r="R121" s="25">
        <f>ROUND(InputData[[#This Row],[AltoCm]],0)</f>
        <v>3</v>
      </c>
      <c r="S121" s="25" t="str">
        <f>InputData[[#This Row],[Col]]&amp;"x"&amp;IF(LEN(InputData[[#This Row],[Alto]])=2,InputData[[#This Row],[Alto]],"0"&amp;InputData[[#This Row],[Alto]])</f>
        <v>1x03</v>
      </c>
    </row>
    <row r="122" spans="1:19" x14ac:dyDescent="0.2">
      <c r="A122" s="25" t="s">
        <v>19</v>
      </c>
      <c r="B122" s="25" t="s">
        <v>715</v>
      </c>
      <c r="C122" s="25" t="s">
        <v>710</v>
      </c>
      <c r="E122" s="25" t="s">
        <v>716</v>
      </c>
      <c r="F122" s="25" t="str">
        <f>LEFT(InputData[[#This Row],[Referencia]],32)</f>
        <v>GRACIAS  VIRGEN DEL VALLE POR LO</v>
      </c>
      <c r="G122" s="25" t="s">
        <v>359</v>
      </c>
      <c r="H122" s="25" t="s">
        <v>22</v>
      </c>
      <c r="I122" s="27">
        <v>129.25</v>
      </c>
      <c r="J122" s="25" t="s">
        <v>50</v>
      </c>
      <c r="K122" s="25" t="s">
        <v>712</v>
      </c>
      <c r="M122" s="28">
        <v>0</v>
      </c>
      <c r="N122" s="25" t="s">
        <v>32</v>
      </c>
      <c r="O122" s="26">
        <v>1</v>
      </c>
      <c r="P122" s="29">
        <v>3.0000000007500001</v>
      </c>
      <c r="Q122" s="25" t="str">
        <f>EVALUATE_LOCATION(InputData[[#This Row],[Section]],InputData[[#This Row],[Forma de Pago]],InputData[[#This Row],[Ubic.Pretendida]],InputData[[#This Row],[Nro pag]])</f>
        <v xml:space="preserve"> </v>
      </c>
      <c r="R122" s="25">
        <f>ROUND(InputData[[#This Row],[AltoCm]],0)</f>
        <v>3</v>
      </c>
      <c r="S122" s="25" t="str">
        <f>InputData[[#This Row],[Col]]&amp;"x"&amp;IF(LEN(InputData[[#This Row],[Alto]])=2,InputData[[#This Row],[Alto]],"0"&amp;InputData[[#This Row],[Alto]])</f>
        <v>1x03</v>
      </c>
    </row>
    <row r="123" spans="1:19" x14ac:dyDescent="0.2">
      <c r="A123" s="25" t="s">
        <v>19</v>
      </c>
      <c r="B123" s="25" t="s">
        <v>87</v>
      </c>
      <c r="C123" s="25" t="s">
        <v>88</v>
      </c>
      <c r="E123" s="25" t="s">
        <v>89</v>
      </c>
      <c r="F123" s="25" t="str">
        <f>LEFT(InputData[[#This Row],[Referencia]],32)</f>
        <v>Nadie supera mis trabajos porque</v>
      </c>
      <c r="G123" s="25" t="s">
        <v>52</v>
      </c>
      <c r="H123" s="25" t="s">
        <v>22</v>
      </c>
      <c r="I123" s="27">
        <v>430.83966666666669</v>
      </c>
      <c r="J123" s="25" t="s">
        <v>50</v>
      </c>
      <c r="K123" s="25" t="s">
        <v>53</v>
      </c>
      <c r="M123" s="28">
        <v>0</v>
      </c>
      <c r="N123" s="25" t="s">
        <v>21</v>
      </c>
      <c r="O123" s="26">
        <v>2</v>
      </c>
      <c r="P123" s="29">
        <v>5.0000000012500001</v>
      </c>
      <c r="Q123" s="25" t="str">
        <f>EVALUATE_LOCATION(InputData[[#This Row],[Section]],InputData[[#This Row],[Forma de Pago]],InputData[[#This Row],[Ubic.Pretendida]],InputData[[#This Row],[Nro pag]])</f>
        <v xml:space="preserve"> </v>
      </c>
      <c r="R123" s="25">
        <f>ROUND(InputData[[#This Row],[AltoCm]],0)</f>
        <v>5</v>
      </c>
      <c r="S123" s="25" t="str">
        <f>InputData[[#This Row],[Col]]&amp;"x"&amp;IF(LEN(InputData[[#This Row],[Alto]])=2,InputData[[#This Row],[Alto]],"0"&amp;InputData[[#This Row],[Alto]])</f>
        <v>2x05</v>
      </c>
    </row>
    <row r="124" spans="1:19" x14ac:dyDescent="0.2">
      <c r="A124" s="25" t="s">
        <v>19</v>
      </c>
      <c r="B124" s="25" t="s">
        <v>125</v>
      </c>
      <c r="C124" s="25" t="s">
        <v>126</v>
      </c>
      <c r="E124" s="25" t="s">
        <v>127</v>
      </c>
      <c r="F124" s="25" t="str">
        <f>LEFT(InputData[[#This Row],[Referencia]],32)</f>
        <v>/////////////////JESUS TAROT////</v>
      </c>
      <c r="G124" s="25" t="s">
        <v>52</v>
      </c>
      <c r="H124" s="25" t="s">
        <v>22</v>
      </c>
      <c r="I124" s="27">
        <v>452.38149999999996</v>
      </c>
      <c r="J124" s="25" t="s">
        <v>50</v>
      </c>
      <c r="K124" s="25" t="s">
        <v>53</v>
      </c>
      <c r="M124" s="28">
        <v>0</v>
      </c>
      <c r="N124" s="25" t="s">
        <v>21</v>
      </c>
      <c r="O124" s="26">
        <v>3</v>
      </c>
      <c r="P124" s="29">
        <v>5.0000000012500001</v>
      </c>
      <c r="Q124" s="25" t="str">
        <f>EVALUATE_LOCATION(InputData[[#This Row],[Section]],InputData[[#This Row],[Forma de Pago]],InputData[[#This Row],[Ubic.Pretendida]],InputData[[#This Row],[Nro pag]])</f>
        <v xml:space="preserve"> </v>
      </c>
      <c r="R124" s="25">
        <f>ROUND(InputData[[#This Row],[AltoCm]],0)</f>
        <v>5</v>
      </c>
      <c r="S124" s="25" t="str">
        <f>InputData[[#This Row],[Col]]&amp;"x"&amp;IF(LEN(InputData[[#This Row],[Alto]])=2,InputData[[#This Row],[Alto]],"0"&amp;InputData[[#This Row],[Alto]])</f>
        <v>3x05</v>
      </c>
    </row>
    <row r="125" spans="1:19" x14ac:dyDescent="0.2">
      <c r="A125" s="25" t="s">
        <v>19</v>
      </c>
      <c r="B125" s="25" t="s">
        <v>133</v>
      </c>
      <c r="C125" s="25" t="s">
        <v>134</v>
      </c>
      <c r="E125" s="25" t="s">
        <v>135</v>
      </c>
      <c r="F125" s="25" t="str">
        <f>LEFT(InputData[[#This Row],[Referencia]],32)</f>
        <v>ELENA - ESPIRITISTA</v>
      </c>
      <c r="G125" s="25" t="s">
        <v>52</v>
      </c>
      <c r="H125" s="25" t="s">
        <v>22</v>
      </c>
      <c r="I125" s="27">
        <v>430.83928571428572</v>
      </c>
      <c r="J125" s="25" t="s">
        <v>50</v>
      </c>
      <c r="K125" s="25" t="s">
        <v>53</v>
      </c>
      <c r="M125" s="28">
        <v>0</v>
      </c>
      <c r="N125" s="25" t="s">
        <v>21</v>
      </c>
      <c r="O125" s="26">
        <v>2</v>
      </c>
      <c r="P125" s="29">
        <v>7.0000000017499984</v>
      </c>
      <c r="Q125" s="25" t="str">
        <f>EVALUATE_LOCATION(InputData[[#This Row],[Section]],InputData[[#This Row],[Forma de Pago]],InputData[[#This Row],[Ubic.Pretendida]],InputData[[#This Row],[Nro pag]])</f>
        <v xml:space="preserve"> </v>
      </c>
      <c r="R125" s="25">
        <f>ROUND(InputData[[#This Row],[AltoCm]],0)</f>
        <v>7</v>
      </c>
      <c r="S125" s="25" t="str">
        <f>InputData[[#This Row],[Col]]&amp;"x"&amp;IF(LEN(InputData[[#This Row],[Alto]])=2,InputData[[#This Row],[Alto]],"0"&amp;InputData[[#This Row],[Alto]])</f>
        <v>2x07</v>
      </c>
    </row>
    <row r="126" spans="1:19" x14ac:dyDescent="0.2">
      <c r="A126" s="25" t="s">
        <v>19</v>
      </c>
      <c r="B126" s="25" t="s">
        <v>153</v>
      </c>
      <c r="C126" s="25" t="s">
        <v>136</v>
      </c>
      <c r="E126" s="25" t="s">
        <v>137</v>
      </c>
      <c r="F126" s="25" t="str">
        <f>LEFT(InputData[[#This Row],[Referencia]],32)</f>
        <v>COSEJERO y HECHICERO DEL AMOR JA</v>
      </c>
      <c r="G126" s="25" t="s">
        <v>52</v>
      </c>
      <c r="H126" s="25" t="s">
        <v>22</v>
      </c>
      <c r="I126" s="27">
        <v>452.38133333333337</v>
      </c>
      <c r="J126" s="25" t="s">
        <v>50</v>
      </c>
      <c r="K126" s="25" t="s">
        <v>53</v>
      </c>
      <c r="M126" s="28">
        <v>0</v>
      </c>
      <c r="N126" s="25" t="s">
        <v>21</v>
      </c>
      <c r="O126" s="26">
        <v>3</v>
      </c>
      <c r="P126" s="29">
        <v>5.0000000012500001</v>
      </c>
      <c r="Q126" s="25" t="str">
        <f>EVALUATE_LOCATION(InputData[[#This Row],[Section]],InputData[[#This Row],[Forma de Pago]],InputData[[#This Row],[Ubic.Pretendida]],InputData[[#This Row],[Nro pag]])</f>
        <v xml:space="preserve"> </v>
      </c>
      <c r="R126" s="25">
        <f>ROUND(InputData[[#This Row],[AltoCm]],0)</f>
        <v>5</v>
      </c>
      <c r="S126" s="25" t="str">
        <f>InputData[[#This Row],[Col]]&amp;"x"&amp;IF(LEN(InputData[[#This Row],[Alto]])=2,InputData[[#This Row],[Alto]],"0"&amp;InputData[[#This Row],[Alto]])</f>
        <v>3x05</v>
      </c>
    </row>
    <row r="127" spans="1:19" x14ac:dyDescent="0.2">
      <c r="A127" s="25" t="s">
        <v>19</v>
      </c>
      <c r="B127" s="25" t="s">
        <v>175</v>
      </c>
      <c r="C127" s="25" t="s">
        <v>176</v>
      </c>
      <c r="E127" s="25" t="s">
        <v>177</v>
      </c>
      <c r="F127" s="25" t="str">
        <f>LEFT(InputData[[#This Row],[Referencia]],32)</f>
        <v xml:space="preserve">SE SOLICITA PARA PUESTO TECNICO </v>
      </c>
      <c r="G127" s="25" t="s">
        <v>52</v>
      </c>
      <c r="H127" s="25" t="s">
        <v>22</v>
      </c>
      <c r="I127" s="27">
        <v>301.58800000000002</v>
      </c>
      <c r="J127" s="25" t="s">
        <v>50</v>
      </c>
      <c r="K127" s="25" t="s">
        <v>53</v>
      </c>
      <c r="M127" s="28">
        <v>0</v>
      </c>
      <c r="N127" s="25" t="s">
        <v>21</v>
      </c>
      <c r="O127" s="26">
        <v>2</v>
      </c>
      <c r="P127" s="29">
        <v>5.0000000012500001</v>
      </c>
      <c r="Q127" s="25" t="str">
        <f>EVALUATE_LOCATION(InputData[[#This Row],[Section]],InputData[[#This Row],[Forma de Pago]],InputData[[#This Row],[Ubic.Pretendida]],InputData[[#This Row],[Nro pag]])</f>
        <v xml:space="preserve"> </v>
      </c>
      <c r="R127" s="25">
        <f>ROUND(InputData[[#This Row],[AltoCm]],0)</f>
        <v>5</v>
      </c>
      <c r="S127" s="25" t="str">
        <f>InputData[[#This Row],[Col]]&amp;"x"&amp;IF(LEN(InputData[[#This Row],[Alto]])=2,InputData[[#This Row],[Alto]],"0"&amp;InputData[[#This Row],[Alto]])</f>
        <v>2x05</v>
      </c>
    </row>
    <row r="128" spans="1:19" x14ac:dyDescent="0.2">
      <c r="A128" s="25" t="s">
        <v>23</v>
      </c>
      <c r="B128" s="25" t="s">
        <v>235</v>
      </c>
      <c r="C128" s="25" t="s">
        <v>57</v>
      </c>
      <c r="E128" s="25" t="s">
        <v>236</v>
      </c>
      <c r="F128" s="25" t="str">
        <f>LEFT(InputData[[#This Row],[Referencia]],32)</f>
        <v>VUELVE AZULADO JUJUY FM</v>
      </c>
      <c r="G128" s="25" t="s">
        <v>24</v>
      </c>
      <c r="H128" s="25" t="s">
        <v>51</v>
      </c>
      <c r="I128" s="27">
        <v>1498.06</v>
      </c>
      <c r="J128" s="25" t="s">
        <v>9</v>
      </c>
      <c r="K128" s="25" t="s">
        <v>43</v>
      </c>
      <c r="L128" s="25" t="s">
        <v>43</v>
      </c>
      <c r="M128" s="28">
        <v>17</v>
      </c>
      <c r="N128" s="25" t="s">
        <v>21</v>
      </c>
      <c r="O128" s="26">
        <v>2</v>
      </c>
      <c r="P128" s="29">
        <v>9.8777777777777782</v>
      </c>
      <c r="Q128" s="25" t="str">
        <f>EVALUATE_LOCATION(InputData[[#This Row],[Section]],InputData[[#This Row],[Forma de Pago]],InputData[[#This Row],[Ubic.Pretendida]],InputData[[#This Row],[Nro pag]])</f>
        <v xml:space="preserve"> </v>
      </c>
      <c r="R128" s="25">
        <f>ROUND(InputData[[#This Row],[AltoCm]],0)</f>
        <v>10</v>
      </c>
      <c r="S128" s="25" t="str">
        <f>InputData[[#This Row],[Col]]&amp;"x"&amp;IF(LEN(InputData[[#This Row],[Alto]])=2,InputData[[#This Row],[Alto]],"0"&amp;InputData[[#This Row],[Alto]])</f>
        <v>2x10</v>
      </c>
    </row>
    <row r="129" spans="1:19" x14ac:dyDescent="0.2">
      <c r="A129" s="25" t="s">
        <v>23</v>
      </c>
      <c r="B129" s="25" t="s">
        <v>154</v>
      </c>
      <c r="C129" s="25" t="s">
        <v>152</v>
      </c>
      <c r="E129" s="25" t="s">
        <v>155</v>
      </c>
      <c r="F129" s="25" t="str">
        <f>LEFT(InputData[[#This Row],[Referencia]],32)</f>
        <v>SEX SHOP ///AVISO ARMADO////</v>
      </c>
      <c r="G129" s="25" t="s">
        <v>24</v>
      </c>
      <c r="H129" s="25" t="s">
        <v>22</v>
      </c>
      <c r="I129" s="27">
        <v>499.35</v>
      </c>
      <c r="J129" s="25" t="s">
        <v>9</v>
      </c>
      <c r="K129" s="25" t="s">
        <v>43</v>
      </c>
      <c r="L129" s="25" t="s">
        <v>43</v>
      </c>
      <c r="M129" s="28">
        <v>18</v>
      </c>
      <c r="N129" s="25" t="s">
        <v>21</v>
      </c>
      <c r="O129" s="26">
        <v>1</v>
      </c>
      <c r="P129" s="29">
        <v>6.3217777777777773</v>
      </c>
      <c r="Q129" s="25" t="str">
        <f>EVALUATE_LOCATION(InputData[[#This Row],[Section]],InputData[[#This Row],[Forma de Pago]],InputData[[#This Row],[Ubic.Pretendida]],InputData[[#This Row],[Nro pag]])</f>
        <v xml:space="preserve"> </v>
      </c>
      <c r="R129" s="25">
        <f>ROUND(InputData[[#This Row],[AltoCm]],0)</f>
        <v>6</v>
      </c>
      <c r="S129" s="25" t="str">
        <f>InputData[[#This Row],[Col]]&amp;"x"&amp;IF(LEN(InputData[[#This Row],[Alto]])=2,InputData[[#This Row],[Alto]],"0"&amp;InputData[[#This Row],[Alto]])</f>
        <v>1x06</v>
      </c>
    </row>
    <row r="130" spans="1:19" x14ac:dyDescent="0.2">
      <c r="A130" s="25" t="s">
        <v>23</v>
      </c>
      <c r="B130" s="25" t="s">
        <v>187</v>
      </c>
      <c r="C130" s="25" t="s">
        <v>57</v>
      </c>
      <c r="D130" s="25" t="s">
        <v>162</v>
      </c>
      <c r="E130" s="25" t="s">
        <v>163</v>
      </c>
      <c r="F130" s="25" t="str">
        <f>LEFT(InputData[[#This Row],[Referencia]],32)</f>
        <v>EL MATUTINO</v>
      </c>
      <c r="G130" s="25" t="s">
        <v>24</v>
      </c>
      <c r="H130" s="25" t="s">
        <v>51</v>
      </c>
      <c r="I130" s="27">
        <v>6241.91</v>
      </c>
      <c r="J130" s="25" t="s">
        <v>9</v>
      </c>
      <c r="K130" s="25" t="s">
        <v>43</v>
      </c>
      <c r="M130" s="28">
        <v>0</v>
      </c>
      <c r="N130" s="25" t="s">
        <v>21</v>
      </c>
      <c r="O130" s="26">
        <v>5</v>
      </c>
      <c r="P130" s="29">
        <v>16.989777777777778</v>
      </c>
      <c r="Q130" s="25" t="str">
        <f>EVALUATE_LOCATION(InputData[[#This Row],[Section]],InputData[[#This Row],[Forma de Pago]],InputData[[#This Row],[Ubic.Pretendida]],InputData[[#This Row],[Nro pag]])</f>
        <v xml:space="preserve"> </v>
      </c>
      <c r="R130" s="25">
        <f>ROUND(InputData[[#This Row],[AltoCm]],0)</f>
        <v>17</v>
      </c>
      <c r="S130" s="25" t="str">
        <f>InputData[[#This Row],[Col]]&amp;"x"&amp;IF(LEN(InputData[[#This Row],[Alto]])=2,InputData[[#This Row],[Alto]],"0"&amp;InputData[[#This Row],[Alto]])</f>
        <v>5x17</v>
      </c>
    </row>
    <row r="131" spans="1:19" x14ac:dyDescent="0.2">
      <c r="A131" s="25" t="s">
        <v>23</v>
      </c>
      <c r="B131" s="25" t="s">
        <v>237</v>
      </c>
      <c r="C131" s="25" t="s">
        <v>238</v>
      </c>
      <c r="D131" s="25" t="s">
        <v>239</v>
      </c>
      <c r="E131" s="25" t="s">
        <v>240</v>
      </c>
      <c r="F131" s="25" t="str">
        <f>LEFT(InputData[[#This Row],[Referencia]],32)</f>
        <v>FRIAR</v>
      </c>
      <c r="G131" s="25" t="s">
        <v>24</v>
      </c>
      <c r="H131" s="25" t="s">
        <v>20</v>
      </c>
      <c r="I131" s="27">
        <v>2768.15</v>
      </c>
      <c r="J131" s="25" t="s">
        <v>50</v>
      </c>
      <c r="K131" s="25" t="s">
        <v>43</v>
      </c>
      <c r="L131" s="25" t="s">
        <v>43</v>
      </c>
      <c r="M131" s="28">
        <v>21</v>
      </c>
      <c r="N131" s="25" t="s">
        <v>21</v>
      </c>
      <c r="O131" s="26">
        <v>5</v>
      </c>
      <c r="P131" s="29">
        <v>9.8777777777777782</v>
      </c>
      <c r="Q131" s="25" t="str">
        <f>EVALUATE_LOCATION(InputData[[#This Row],[Section]],InputData[[#This Row],[Forma de Pago]],InputData[[#This Row],[Ubic.Pretendida]],InputData[[#This Row],[Nro pag]])</f>
        <v xml:space="preserve"> </v>
      </c>
      <c r="R131" s="25">
        <f>ROUND(InputData[[#This Row],[AltoCm]],0)</f>
        <v>10</v>
      </c>
      <c r="S131" s="25" t="str">
        <f>InputData[[#This Row],[Col]]&amp;"x"&amp;IF(LEN(InputData[[#This Row],[Alto]])=2,InputData[[#This Row],[Alto]],"0"&amp;InputData[[#This Row],[Alto]])</f>
        <v>5x10</v>
      </c>
    </row>
    <row r="132" spans="1:19" x14ac:dyDescent="0.2">
      <c r="A132" s="25" t="s">
        <v>23</v>
      </c>
      <c r="B132" s="25" t="s">
        <v>138</v>
      </c>
      <c r="C132" s="25" t="s">
        <v>25</v>
      </c>
      <c r="D132" s="25" t="s">
        <v>139</v>
      </c>
      <c r="E132" s="25" t="s">
        <v>26</v>
      </c>
      <c r="F132" s="25" t="str">
        <f>LEFT(InputData[[#This Row],[Referencia]],32)</f>
        <v>LA COCHERIA SRL</v>
      </c>
      <c r="G132" s="25" t="s">
        <v>24</v>
      </c>
      <c r="H132" s="25" t="s">
        <v>20</v>
      </c>
      <c r="I132" s="27">
        <v>634.1</v>
      </c>
      <c r="J132" s="25" t="s">
        <v>9</v>
      </c>
      <c r="K132" s="25" t="s">
        <v>27</v>
      </c>
      <c r="L132" s="25" t="s">
        <v>27</v>
      </c>
      <c r="M132" s="28">
        <v>31</v>
      </c>
      <c r="N132" s="25" t="s">
        <v>21</v>
      </c>
      <c r="O132" s="26">
        <v>3</v>
      </c>
      <c r="P132" s="29">
        <v>2.7657777777777777</v>
      </c>
      <c r="Q132" s="25" t="str">
        <f>EVALUATE_LOCATION(InputData[[#This Row],[Section]],InputData[[#This Row],[Forma de Pago]],InputData[[#This Row],[Ubic.Pretendida]],InputData[[#This Row],[Nro pag]])</f>
        <v xml:space="preserve"> </v>
      </c>
      <c r="R132" s="25">
        <f>ROUND(InputData[[#This Row],[AltoCm]],0)</f>
        <v>3</v>
      </c>
      <c r="S132" s="25" t="str">
        <f>InputData[[#This Row],[Col]]&amp;"x"&amp;IF(LEN(InputData[[#This Row],[Alto]])=2,InputData[[#This Row],[Alto]],"0"&amp;InputData[[#This Row],[Alto]])</f>
        <v>3x03</v>
      </c>
    </row>
    <row r="133" spans="1:19" x14ac:dyDescent="0.2">
      <c r="A133" s="25" t="s">
        <v>23</v>
      </c>
      <c r="B133" s="25" t="s">
        <v>140</v>
      </c>
      <c r="C133" s="25" t="s">
        <v>58</v>
      </c>
      <c r="D133" s="25" t="s">
        <v>141</v>
      </c>
      <c r="E133" s="25" t="s">
        <v>59</v>
      </c>
      <c r="F133" s="25" t="str">
        <f>LEFT(InputData[[#This Row],[Referencia]],32)</f>
        <v>FARMACIA YRIGOYEN</v>
      </c>
      <c r="G133" s="25" t="s">
        <v>24</v>
      </c>
      <c r="H133" s="25" t="s">
        <v>20</v>
      </c>
      <c r="I133" s="27">
        <v>279.26</v>
      </c>
      <c r="J133" s="25" t="s">
        <v>9</v>
      </c>
      <c r="K133" s="25" t="s">
        <v>28</v>
      </c>
      <c r="M133" s="28">
        <v>0</v>
      </c>
      <c r="N133" s="25" t="s">
        <v>21</v>
      </c>
      <c r="O133" s="26">
        <v>2</v>
      </c>
      <c r="P133" s="29">
        <v>2.7657777777777777</v>
      </c>
      <c r="Q133" s="25" t="str">
        <f>EVALUATE_LOCATION(InputData[[#This Row],[Section]],InputData[[#This Row],[Forma de Pago]],InputData[[#This Row],[Ubic.Pretendida]],InputData[[#This Row],[Nro pag]])</f>
        <v xml:space="preserve"> </v>
      </c>
      <c r="R133" s="25">
        <f>ROUND(InputData[[#This Row],[AltoCm]],0)</f>
        <v>3</v>
      </c>
      <c r="S133" s="25" t="str">
        <f>InputData[[#This Row],[Col]]&amp;"x"&amp;IF(LEN(InputData[[#This Row],[Alto]])=2,InputData[[#This Row],[Alto]],"0"&amp;InputData[[#This Row],[Alto]])</f>
        <v>2x03</v>
      </c>
    </row>
    <row r="134" spans="1:19" x14ac:dyDescent="0.2">
      <c r="A134" s="25" t="s">
        <v>23</v>
      </c>
      <c r="B134" s="25" t="s">
        <v>142</v>
      </c>
      <c r="C134" s="25" t="s">
        <v>65</v>
      </c>
      <c r="D134" s="25" t="s">
        <v>143</v>
      </c>
      <c r="E134" s="25" t="s">
        <v>63</v>
      </c>
      <c r="F134" s="25" t="str">
        <f>LEFT(InputData[[#This Row],[Referencia]],32)</f>
        <v>WERCHOW OBITUARIO</v>
      </c>
      <c r="G134" s="25" t="s">
        <v>24</v>
      </c>
      <c r="H134" s="25" t="s">
        <v>20</v>
      </c>
      <c r="I134" s="27">
        <v>820.47</v>
      </c>
      <c r="J134" s="25" t="s">
        <v>9</v>
      </c>
      <c r="K134" s="25" t="s">
        <v>28</v>
      </c>
      <c r="L134" s="25" t="s">
        <v>28</v>
      </c>
      <c r="M134" s="28">
        <v>31</v>
      </c>
      <c r="N134" s="25" t="s">
        <v>21</v>
      </c>
      <c r="O134" s="26">
        <v>5</v>
      </c>
      <c r="P134" s="29">
        <v>2.7657777777777777</v>
      </c>
      <c r="Q134" s="25" t="str">
        <f>EVALUATE_LOCATION(InputData[[#This Row],[Section]],InputData[[#This Row],[Forma de Pago]],InputData[[#This Row],[Ubic.Pretendida]],InputData[[#This Row],[Nro pag]])</f>
        <v xml:space="preserve"> </v>
      </c>
      <c r="R134" s="25">
        <f>ROUND(InputData[[#This Row],[AltoCm]],0)</f>
        <v>3</v>
      </c>
      <c r="S134" s="25" t="str">
        <f>InputData[[#This Row],[Col]]&amp;"x"&amp;IF(LEN(InputData[[#This Row],[Alto]])=2,InputData[[#This Row],[Alto]],"0"&amp;InputData[[#This Row],[Alto]])</f>
        <v>5x03</v>
      </c>
    </row>
    <row r="135" spans="1:19" x14ac:dyDescent="0.2">
      <c r="A135" s="25" t="s">
        <v>23</v>
      </c>
      <c r="B135" s="25" t="s">
        <v>144</v>
      </c>
      <c r="C135" s="25" t="s">
        <v>66</v>
      </c>
      <c r="D135" s="25" t="s">
        <v>145</v>
      </c>
      <c r="E135" s="25" t="s">
        <v>67</v>
      </c>
      <c r="F135" s="25" t="str">
        <f>LEFT(InputData[[#This Row],[Referencia]],32)</f>
        <v>SERIVICIO SOCIALES FUTURO...</v>
      </c>
      <c r="G135" s="25" t="s">
        <v>24</v>
      </c>
      <c r="H135" s="25" t="s">
        <v>20</v>
      </c>
      <c r="I135" s="27">
        <v>586.27</v>
      </c>
      <c r="J135" s="25" t="s">
        <v>9</v>
      </c>
      <c r="K135" s="25" t="s">
        <v>28</v>
      </c>
      <c r="L135" s="25" t="s">
        <v>28</v>
      </c>
      <c r="M135" s="28">
        <v>31</v>
      </c>
      <c r="N135" s="25" t="s">
        <v>21</v>
      </c>
      <c r="O135" s="26">
        <v>5</v>
      </c>
      <c r="P135" s="29">
        <v>2.7657777777777777</v>
      </c>
      <c r="Q135" s="25" t="str">
        <f>EVALUATE_LOCATION(InputData[[#This Row],[Section]],InputData[[#This Row],[Forma de Pago]],InputData[[#This Row],[Ubic.Pretendida]],InputData[[#This Row],[Nro pag]])</f>
        <v xml:space="preserve"> </v>
      </c>
      <c r="R135" s="25">
        <f>ROUND(InputData[[#This Row],[AltoCm]],0)</f>
        <v>3</v>
      </c>
      <c r="S135" s="25" t="str">
        <f>InputData[[#This Row],[Col]]&amp;"x"&amp;IF(LEN(InputData[[#This Row],[Alto]])=2,InputData[[#This Row],[Alto]],"0"&amp;InputData[[#This Row],[Alto]])</f>
        <v>5x03</v>
      </c>
    </row>
    <row r="136" spans="1:19" x14ac:dyDescent="0.2">
      <c r="A136" s="25" t="s">
        <v>23</v>
      </c>
      <c r="B136" s="25" t="s">
        <v>241</v>
      </c>
      <c r="C136" s="25" t="s">
        <v>242</v>
      </c>
      <c r="D136" s="25" t="s">
        <v>243</v>
      </c>
      <c r="E136" s="25" t="s">
        <v>244</v>
      </c>
      <c r="F136" s="25" t="str">
        <f>LEFT(InputData[[#This Row],[Referencia]],32)</f>
        <v>LA BRESH - 10 DE SEPTIEMBRE</v>
      </c>
      <c r="G136" s="25" t="s">
        <v>24</v>
      </c>
      <c r="H136" s="25" t="s">
        <v>20</v>
      </c>
      <c r="I136" s="27">
        <v>3908.85</v>
      </c>
      <c r="J136" s="25" t="s">
        <v>9</v>
      </c>
      <c r="K136" s="25" t="s">
        <v>245</v>
      </c>
      <c r="L136" s="25" t="s">
        <v>245</v>
      </c>
      <c r="M136" s="28">
        <v>25</v>
      </c>
      <c r="N136" s="25" t="s">
        <v>21</v>
      </c>
      <c r="O136" s="26">
        <v>5</v>
      </c>
      <c r="P136" s="29">
        <v>13.433777777777777</v>
      </c>
      <c r="Q136" s="25" t="str">
        <f>EVALUATE_LOCATION(InputData[[#This Row],[Section]],InputData[[#This Row],[Forma de Pago]],InputData[[#This Row],[Ubic.Pretendida]],InputData[[#This Row],[Nro pag]])</f>
        <v xml:space="preserve"> </v>
      </c>
      <c r="R136" s="25">
        <f>ROUND(InputData[[#This Row],[AltoCm]],0)</f>
        <v>13</v>
      </c>
      <c r="S136" s="25" t="str">
        <f>InputData[[#This Row],[Col]]&amp;"x"&amp;IF(LEN(InputData[[#This Row],[Alto]])=2,InputData[[#This Row],[Alto]],"0"&amp;InputData[[#This Row],[Alto]])</f>
        <v>5x13</v>
      </c>
    </row>
    <row r="137" spans="1:19" x14ac:dyDescent="0.2">
      <c r="A137" s="25" t="s">
        <v>23</v>
      </c>
      <c r="B137" s="25" t="s">
        <v>246</v>
      </c>
      <c r="C137" s="25" t="s">
        <v>64</v>
      </c>
      <c r="D137" s="25" t="s">
        <v>42</v>
      </c>
      <c r="E137" s="25" t="s">
        <v>188</v>
      </c>
      <c r="F137" s="25" t="str">
        <f>LEFT(InputData[[#This Row],[Referencia]],32)</f>
        <v>GOBIERNO  LA DRA. TULIA SNOPEK D</v>
      </c>
      <c r="G137" s="25" t="s">
        <v>30</v>
      </c>
      <c r="H137" s="25" t="s">
        <v>20</v>
      </c>
      <c r="I137" s="27">
        <v>108538.46</v>
      </c>
      <c r="J137" s="25" t="s">
        <v>9</v>
      </c>
      <c r="K137" s="25" t="s">
        <v>189</v>
      </c>
      <c r="L137" s="25" t="s">
        <v>189</v>
      </c>
      <c r="M137" s="28">
        <v>7</v>
      </c>
      <c r="N137" s="25" t="s">
        <v>21</v>
      </c>
      <c r="O137" s="26">
        <v>5</v>
      </c>
      <c r="P137" s="29">
        <v>17.000000000722224</v>
      </c>
      <c r="Q137" s="25" t="str">
        <f>EVALUATE_LOCATION(InputData[[#This Row],[Section]],InputData[[#This Row],[Forma de Pago]],InputData[[#This Row],[Ubic.Pretendida]],InputData[[#This Row],[Nro pag]])</f>
        <v>&gt;DIFIERE&lt;</v>
      </c>
      <c r="R137" s="25">
        <f>ROUND(InputData[[#This Row],[AltoCm]],0)</f>
        <v>17</v>
      </c>
      <c r="S137" s="25" t="str">
        <f>InputData[[#This Row],[Col]]&amp;"x"&amp;IF(LEN(InputData[[#This Row],[Alto]])=2,InputData[[#This Row],[Alto]],"0"&amp;InputData[[#This Row],[Alto]])</f>
        <v>5x17</v>
      </c>
    </row>
    <row r="138" spans="1:19" x14ac:dyDescent="0.2">
      <c r="A138" s="25" t="s">
        <v>23</v>
      </c>
      <c r="B138" s="25" t="s">
        <v>247</v>
      </c>
      <c r="C138" s="25" t="s">
        <v>64</v>
      </c>
      <c r="D138" s="25" t="s">
        <v>42</v>
      </c>
      <c r="E138" s="25" t="s">
        <v>248</v>
      </c>
      <c r="F138" s="25" t="str">
        <f>LEFT(InputData[[#This Row],[Referencia]],32)</f>
        <v xml:space="preserve">GOBIERNO  SOLICITADA.. A través </v>
      </c>
      <c r="G138" s="25" t="s">
        <v>30</v>
      </c>
      <c r="H138" s="25" t="s">
        <v>20</v>
      </c>
      <c r="I138" s="27">
        <v>223461.54</v>
      </c>
      <c r="J138" s="25" t="s">
        <v>9</v>
      </c>
      <c r="K138" s="25" t="s">
        <v>189</v>
      </c>
      <c r="L138" s="25" t="s">
        <v>189</v>
      </c>
      <c r="M138" s="28">
        <v>3</v>
      </c>
      <c r="N138" s="25" t="s">
        <v>21</v>
      </c>
      <c r="O138" s="26">
        <v>5</v>
      </c>
      <c r="P138" s="29">
        <v>35.000000001694445</v>
      </c>
      <c r="Q138" s="25" t="str">
        <f>EVALUATE_LOCATION(InputData[[#This Row],[Section]],InputData[[#This Row],[Forma de Pago]],InputData[[#This Row],[Ubic.Pretendida]],InputData[[#This Row],[Nro pag]])</f>
        <v xml:space="preserve"> </v>
      </c>
      <c r="R138" s="25">
        <f>ROUND(InputData[[#This Row],[AltoCm]],0)</f>
        <v>35</v>
      </c>
      <c r="S138" s="25" t="str">
        <f>InputData[[#This Row],[Col]]&amp;"x"&amp;IF(LEN(InputData[[#This Row],[Alto]])=2,InputData[[#This Row],[Alto]],"0"&amp;InputData[[#This Row],[Alto]])</f>
        <v>5x35</v>
      </c>
    </row>
    <row r="139" spans="1:19" x14ac:dyDescent="0.2">
      <c r="A139" s="25" t="s">
        <v>23</v>
      </c>
      <c r="B139" s="25" t="s">
        <v>249</v>
      </c>
      <c r="C139" s="25" t="s">
        <v>250</v>
      </c>
      <c r="E139" s="25" t="s">
        <v>251</v>
      </c>
      <c r="F139" s="25" t="str">
        <f>LEFT(InputData[[#This Row],[Referencia]],32)</f>
        <v>TEMAS MEDICOS  SHALOM</v>
      </c>
      <c r="G139" s="25" t="s">
        <v>24</v>
      </c>
      <c r="H139" s="25" t="s">
        <v>22</v>
      </c>
      <c r="I139" s="27">
        <v>1733</v>
      </c>
      <c r="J139" s="25" t="s">
        <v>9</v>
      </c>
      <c r="K139" s="25" t="s">
        <v>160</v>
      </c>
      <c r="L139" s="25" t="s">
        <v>160</v>
      </c>
      <c r="M139" s="28">
        <v>6</v>
      </c>
      <c r="N139" s="25" t="s">
        <v>21</v>
      </c>
      <c r="O139" s="26">
        <v>2</v>
      </c>
      <c r="P139" s="29">
        <v>9.8777777777777782</v>
      </c>
      <c r="Q139" s="25" t="str">
        <f>EVALUATE_LOCATION(InputData[[#This Row],[Section]],InputData[[#This Row],[Forma de Pago]],InputData[[#This Row],[Ubic.Pretendida]],InputData[[#This Row],[Nro pag]])</f>
        <v xml:space="preserve"> </v>
      </c>
      <c r="R139" s="25">
        <f>ROUND(InputData[[#This Row],[AltoCm]],0)</f>
        <v>10</v>
      </c>
      <c r="S139" s="25" t="str">
        <f>InputData[[#This Row],[Col]]&amp;"x"&amp;IF(LEN(InputData[[#This Row],[Alto]])=2,InputData[[#This Row],[Alto]],"0"&amp;InputData[[#This Row],[Alto]])</f>
        <v>2x10</v>
      </c>
    </row>
    <row r="140" spans="1:19" x14ac:dyDescent="0.2">
      <c r="A140" s="25" t="s">
        <v>23</v>
      </c>
      <c r="B140" s="25" t="s">
        <v>252</v>
      </c>
      <c r="C140" s="25" t="s">
        <v>253</v>
      </c>
      <c r="D140" s="25" t="s">
        <v>254</v>
      </c>
      <c r="E140" s="25" t="s">
        <v>255</v>
      </c>
      <c r="F140" s="25" t="str">
        <f>LEFT(InputData[[#This Row],[Referencia]],32)</f>
        <v>NORTE SERVICIO SOCIALES ....</v>
      </c>
      <c r="G140" s="25" t="s">
        <v>24</v>
      </c>
      <c r="H140" s="25" t="s">
        <v>20</v>
      </c>
      <c r="I140" s="27">
        <v>615.55999999999995</v>
      </c>
      <c r="J140" s="25" t="s">
        <v>9</v>
      </c>
      <c r="K140" s="25" t="s">
        <v>256</v>
      </c>
      <c r="L140" s="25" t="s">
        <v>256</v>
      </c>
      <c r="M140" s="28">
        <v>31</v>
      </c>
      <c r="N140" s="25" t="s">
        <v>21</v>
      </c>
      <c r="O140" s="26">
        <v>3</v>
      </c>
      <c r="P140" s="29">
        <v>2.7657777777777777</v>
      </c>
      <c r="Q140" s="25" t="str">
        <f>EVALUATE_LOCATION(InputData[[#This Row],[Section]],InputData[[#This Row],[Forma de Pago]],InputData[[#This Row],[Ubic.Pretendida]],InputData[[#This Row],[Nro pag]])</f>
        <v xml:space="preserve"> </v>
      </c>
      <c r="R140" s="25">
        <f>ROUND(InputData[[#This Row],[AltoCm]],0)</f>
        <v>3</v>
      </c>
      <c r="S140" s="25" t="str">
        <f>InputData[[#This Row],[Col]]&amp;"x"&amp;IF(LEN(InputData[[#This Row],[Alto]])=2,InputData[[#This Row],[Alto]],"0"&amp;InputData[[#This Row],[Alto]])</f>
        <v>3x03</v>
      </c>
    </row>
    <row r="141" spans="1:19" x14ac:dyDescent="0.2">
      <c r="A141" s="25" t="s">
        <v>23</v>
      </c>
      <c r="B141" s="25" t="s">
        <v>257</v>
      </c>
      <c r="C141" s="25" t="s">
        <v>258</v>
      </c>
      <c r="D141" s="25" t="s">
        <v>259</v>
      </c>
      <c r="E141" s="25" t="s">
        <v>260</v>
      </c>
      <c r="F141" s="25" t="str">
        <f>LEFT(InputData[[#This Row],[Referencia]],32)</f>
        <v>NICO FIAMBRES</v>
      </c>
      <c r="G141" s="25" t="s">
        <v>24</v>
      </c>
      <c r="H141" s="25" t="s">
        <v>20</v>
      </c>
      <c r="I141" s="27">
        <v>16284</v>
      </c>
      <c r="J141" s="25" t="s">
        <v>9</v>
      </c>
      <c r="K141" s="25" t="s">
        <v>31</v>
      </c>
      <c r="L141" s="25" t="s">
        <v>31</v>
      </c>
      <c r="M141" s="28">
        <v>11</v>
      </c>
      <c r="N141" s="25" t="s">
        <v>21</v>
      </c>
      <c r="O141" s="26">
        <v>5</v>
      </c>
      <c r="P141" s="29">
        <v>34.769777777777783</v>
      </c>
      <c r="Q141" s="25" t="str">
        <f>EVALUATE_LOCATION(InputData[[#This Row],[Section]],InputData[[#This Row],[Forma de Pago]],InputData[[#This Row],[Ubic.Pretendida]],InputData[[#This Row],[Nro pag]])</f>
        <v xml:space="preserve"> </v>
      </c>
      <c r="R141" s="25">
        <f>ROUND(InputData[[#This Row],[AltoCm]],0)</f>
        <v>35</v>
      </c>
      <c r="S141" s="25" t="str">
        <f>InputData[[#This Row],[Col]]&amp;"x"&amp;IF(LEN(InputData[[#This Row],[Alto]])=2,InputData[[#This Row],[Alto]],"0"&amp;InputData[[#This Row],[Alto]])</f>
        <v>5x35</v>
      </c>
    </row>
    <row r="142" spans="1:19" x14ac:dyDescent="0.2">
      <c r="A142" s="25" t="s">
        <v>23</v>
      </c>
      <c r="B142" s="25" t="s">
        <v>146</v>
      </c>
      <c r="C142" s="25" t="s">
        <v>64</v>
      </c>
      <c r="D142" s="25" t="s">
        <v>42</v>
      </c>
      <c r="E142" s="25" t="s">
        <v>29</v>
      </c>
      <c r="F142" s="25" t="str">
        <f>LEFT(InputData[[#This Row],[Referencia]],32)</f>
        <v>TOMBOSUERTE...</v>
      </c>
      <c r="G142" s="25" t="s">
        <v>30</v>
      </c>
      <c r="H142" s="25" t="s">
        <v>20</v>
      </c>
      <c r="I142" s="27">
        <v>2381.9699999999998</v>
      </c>
      <c r="J142" s="25" t="s">
        <v>9</v>
      </c>
      <c r="K142" s="25" t="s">
        <v>31</v>
      </c>
      <c r="L142" s="25" t="s">
        <v>31</v>
      </c>
      <c r="M142" s="28">
        <v>19</v>
      </c>
      <c r="N142" s="25" t="s">
        <v>32</v>
      </c>
      <c r="O142" s="26">
        <v>5</v>
      </c>
      <c r="P142" s="29">
        <v>16.989999999555558</v>
      </c>
      <c r="Q142" s="25" t="str">
        <f>EVALUATE_LOCATION(InputData[[#This Row],[Section]],InputData[[#This Row],[Forma de Pago]],InputData[[#This Row],[Ubic.Pretendida]],InputData[[#This Row],[Nro pag]])</f>
        <v>&gt;DIFIERE&lt;</v>
      </c>
      <c r="R142" s="25">
        <f>ROUND(InputData[[#This Row],[AltoCm]],0)</f>
        <v>17</v>
      </c>
      <c r="S142" s="25" t="str">
        <f>InputData[[#This Row],[Col]]&amp;"x"&amp;IF(LEN(InputData[[#This Row],[Alto]])=2,InputData[[#This Row],[Alto]],"0"&amp;InputData[[#This Row],[Alto]])</f>
        <v>5x17</v>
      </c>
    </row>
    <row r="143" spans="1:19" x14ac:dyDescent="0.2">
      <c r="A143" s="25" t="s">
        <v>23</v>
      </c>
      <c r="B143" s="25" t="s">
        <v>261</v>
      </c>
      <c r="C143" s="25" t="s">
        <v>64</v>
      </c>
      <c r="D143" s="25" t="s">
        <v>42</v>
      </c>
      <c r="E143" s="25" t="s">
        <v>190</v>
      </c>
      <c r="F143" s="25" t="str">
        <f>LEFT(InputData[[#This Row],[Referencia]],32)</f>
        <v>GOBIERNO - CINE DE LAS ALTURASJU</v>
      </c>
      <c r="G143" s="25" t="s">
        <v>30</v>
      </c>
      <c r="H143" s="25" t="s">
        <v>20</v>
      </c>
      <c r="I143" s="27">
        <v>108538.46</v>
      </c>
      <c r="J143" s="25" t="s">
        <v>9</v>
      </c>
      <c r="K143" s="25" t="s">
        <v>31</v>
      </c>
      <c r="L143" s="25" t="s">
        <v>31</v>
      </c>
      <c r="M143" s="28">
        <v>7</v>
      </c>
      <c r="N143" s="25" t="s">
        <v>21</v>
      </c>
      <c r="O143" s="26">
        <v>5</v>
      </c>
      <c r="P143" s="29">
        <v>17.000000000722224</v>
      </c>
      <c r="Q143" s="25" t="str">
        <f>EVALUATE_LOCATION(InputData[[#This Row],[Section]],InputData[[#This Row],[Forma de Pago]],InputData[[#This Row],[Ubic.Pretendida]],InputData[[#This Row],[Nro pag]])</f>
        <v xml:space="preserve"> </v>
      </c>
      <c r="R143" s="25">
        <f>ROUND(InputData[[#This Row],[AltoCm]],0)</f>
        <v>17</v>
      </c>
      <c r="S143" s="25" t="str">
        <f>InputData[[#This Row],[Col]]&amp;"x"&amp;IF(LEN(InputData[[#This Row],[Alto]])=2,InputData[[#This Row],[Alto]],"0"&amp;InputData[[#This Row],[Alto]])</f>
        <v>5x17</v>
      </c>
    </row>
    <row r="144" spans="1:19" x14ac:dyDescent="0.2">
      <c r="A144" s="25" t="s">
        <v>23</v>
      </c>
      <c r="B144" s="25" t="s">
        <v>262</v>
      </c>
      <c r="C144" s="25" t="s">
        <v>263</v>
      </c>
      <c r="D144" s="25" t="s">
        <v>264</v>
      </c>
      <c r="E144" s="25" t="s">
        <v>265</v>
      </c>
      <c r="F144" s="25" t="str">
        <f>LEFT(InputData[[#This Row],[Referencia]],32)</f>
        <v>BINGO LOBO....</v>
      </c>
      <c r="G144" s="25" t="s">
        <v>24</v>
      </c>
      <c r="H144" s="25" t="s">
        <v>20</v>
      </c>
      <c r="I144" s="27">
        <v>5617.9800000000005</v>
      </c>
      <c r="J144" s="25" t="s">
        <v>9</v>
      </c>
      <c r="K144" s="25" t="s">
        <v>31</v>
      </c>
      <c r="L144" s="25" t="s">
        <v>31</v>
      </c>
      <c r="M144" s="28">
        <v>9</v>
      </c>
      <c r="N144" s="25" t="s">
        <v>21</v>
      </c>
      <c r="O144" s="26">
        <v>5</v>
      </c>
      <c r="P144" s="29">
        <v>9.8777777777777782</v>
      </c>
      <c r="Q144" s="25" t="str">
        <f>EVALUATE_LOCATION(InputData[[#This Row],[Section]],InputData[[#This Row],[Forma de Pago]],InputData[[#This Row],[Ubic.Pretendida]],InputData[[#This Row],[Nro pag]])</f>
        <v xml:space="preserve"> </v>
      </c>
      <c r="R144" s="25">
        <f>ROUND(InputData[[#This Row],[AltoCm]],0)</f>
        <v>10</v>
      </c>
      <c r="S144" s="25" t="str">
        <f>InputData[[#This Row],[Col]]&amp;"x"&amp;IF(LEN(InputData[[#This Row],[Alto]])=2,InputData[[#This Row],[Alto]],"0"&amp;InputData[[#This Row],[Alto]])</f>
        <v>5x10</v>
      </c>
    </row>
    <row r="145" spans="1:19" x14ac:dyDescent="0.2">
      <c r="A145" s="25" t="s">
        <v>23</v>
      </c>
      <c r="B145" s="25" t="s">
        <v>266</v>
      </c>
      <c r="C145" s="25" t="s">
        <v>267</v>
      </c>
      <c r="D145" s="25" t="s">
        <v>268</v>
      </c>
      <c r="E145" s="25" t="s">
        <v>269</v>
      </c>
      <c r="F145" s="25" t="str">
        <f>LEFT(InputData[[#This Row],[Referencia]],32)</f>
        <v>COMODIN mayorista</v>
      </c>
      <c r="G145" s="25" t="s">
        <v>24</v>
      </c>
      <c r="H145" s="25" t="s">
        <v>20</v>
      </c>
      <c r="I145" s="27">
        <v>16853.939999999999</v>
      </c>
      <c r="J145" s="25" t="s">
        <v>9</v>
      </c>
      <c r="K145" s="25" t="s">
        <v>31</v>
      </c>
      <c r="L145" s="25" t="s">
        <v>31</v>
      </c>
      <c r="M145" s="28">
        <v>15</v>
      </c>
      <c r="N145" s="25" t="s">
        <v>21</v>
      </c>
      <c r="O145" s="26">
        <v>5</v>
      </c>
      <c r="P145" s="29">
        <v>34.769777777777783</v>
      </c>
      <c r="Q145" s="25" t="str">
        <f>EVALUATE_LOCATION(InputData[[#This Row],[Section]],InputData[[#This Row],[Forma de Pago]],InputData[[#This Row],[Ubic.Pretendida]],InputData[[#This Row],[Nro pag]])</f>
        <v xml:space="preserve"> </v>
      </c>
      <c r="R145" s="25">
        <f>ROUND(InputData[[#This Row],[AltoCm]],0)</f>
        <v>35</v>
      </c>
      <c r="S145" s="25" t="str">
        <f>InputData[[#This Row],[Col]]&amp;"x"&amp;IF(LEN(InputData[[#This Row],[Alto]])=2,InputData[[#This Row],[Alto]],"0"&amp;InputData[[#This Row],[Alto]])</f>
        <v>5x35</v>
      </c>
    </row>
    <row r="146" spans="1:19" x14ac:dyDescent="0.2">
      <c r="A146" s="25" t="s">
        <v>23</v>
      </c>
      <c r="B146" s="25" t="s">
        <v>270</v>
      </c>
      <c r="C146" s="25" t="s">
        <v>267</v>
      </c>
      <c r="D146" s="25" t="s">
        <v>271</v>
      </c>
      <c r="E146" s="25" t="s">
        <v>272</v>
      </c>
      <c r="F146" s="25" t="str">
        <f>LEFT(InputData[[#This Row],[Referencia]],32)</f>
        <v>COMODIN</v>
      </c>
      <c r="G146" s="25" t="s">
        <v>24</v>
      </c>
      <c r="H146" s="25" t="s">
        <v>20</v>
      </c>
      <c r="I146" s="27">
        <v>20090.5</v>
      </c>
      <c r="J146" s="25" t="s">
        <v>9</v>
      </c>
      <c r="K146" s="25" t="s">
        <v>273</v>
      </c>
      <c r="L146" s="25" t="s">
        <v>273</v>
      </c>
      <c r="M146" s="28">
        <v>32</v>
      </c>
      <c r="N146" s="25" t="s">
        <v>21</v>
      </c>
      <c r="O146" s="26">
        <v>5</v>
      </c>
      <c r="P146" s="29">
        <v>34.769777777777783</v>
      </c>
      <c r="Q146" s="25" t="str">
        <f>EVALUATE_LOCATION(InputData[[#This Row],[Section]],InputData[[#This Row],[Forma de Pago]],InputData[[#This Row],[Ubic.Pretendida]],InputData[[#This Row],[Nro pag]])</f>
        <v xml:space="preserve"> </v>
      </c>
      <c r="R146" s="25">
        <f>ROUND(InputData[[#This Row],[AltoCm]],0)</f>
        <v>35</v>
      </c>
      <c r="S146" s="25" t="str">
        <f>InputData[[#This Row],[Col]]&amp;"x"&amp;IF(LEN(InputData[[#This Row],[Alto]])=2,InputData[[#This Row],[Alto]],"0"&amp;InputData[[#This Row],[Alto]])</f>
        <v>5x35</v>
      </c>
    </row>
    <row r="147" spans="1:19" x14ac:dyDescent="0.2">
      <c r="A147" s="25" t="s">
        <v>33</v>
      </c>
      <c r="B147" s="25" t="s">
        <v>101</v>
      </c>
      <c r="C147" s="25" t="s">
        <v>68</v>
      </c>
      <c r="E147" s="25" t="s">
        <v>69</v>
      </c>
      <c r="F147" s="25" t="str">
        <f>LEFT(InputData[[#This Row],[Referencia]],32)</f>
        <v>CONSULTORIO DE PODOLOGIA Uñas en</v>
      </c>
      <c r="G147" s="25" t="s">
        <v>34</v>
      </c>
      <c r="H147" s="25" t="s">
        <v>22</v>
      </c>
      <c r="I147" s="27">
        <v>114.66666666666669</v>
      </c>
      <c r="J147" s="25" t="s">
        <v>50</v>
      </c>
      <c r="K147" s="25" t="s">
        <v>56</v>
      </c>
      <c r="M147" s="28">
        <v>0</v>
      </c>
      <c r="N147" s="25" t="s">
        <v>21</v>
      </c>
      <c r="O147" s="26">
        <v>2</v>
      </c>
      <c r="P147" s="29">
        <v>5.0000000012500001</v>
      </c>
      <c r="Q147" s="25" t="str">
        <f>EVALUATE_LOCATION(InputData[[#This Row],[Section]],InputData[[#This Row],[Forma de Pago]],InputData[[#This Row],[Ubic.Pretendida]],InputData[[#This Row],[Nro pag]])</f>
        <v xml:space="preserve"> </v>
      </c>
      <c r="R147" s="25">
        <f>ROUND(InputData[[#This Row],[AltoCm]],0)</f>
        <v>5</v>
      </c>
      <c r="S147" s="25" t="str">
        <f>InputData[[#This Row],[Col]]&amp;"x"&amp;IF(LEN(InputData[[#This Row],[Alto]])=2,InputData[[#This Row],[Alto]],"0"&amp;InputData[[#This Row],[Alto]])</f>
        <v>2x05</v>
      </c>
    </row>
    <row r="148" spans="1:19" x14ac:dyDescent="0.2">
      <c r="A148" s="25" t="s">
        <v>33</v>
      </c>
      <c r="B148" s="25" t="s">
        <v>114</v>
      </c>
      <c r="C148" s="25" t="s">
        <v>115</v>
      </c>
      <c r="E148" s="25" t="s">
        <v>116</v>
      </c>
      <c r="F148" s="25" t="str">
        <f>LEFT(InputData[[#This Row],[Referencia]],32)</f>
        <v>PODOLOGIA  Uñas encarnadas - Mic</v>
      </c>
      <c r="G148" s="25" t="s">
        <v>34</v>
      </c>
      <c r="H148" s="25" t="s">
        <v>22</v>
      </c>
      <c r="I148" s="27">
        <v>114.71000000000001</v>
      </c>
      <c r="J148" s="25" t="s">
        <v>9</v>
      </c>
      <c r="K148" s="25" t="s">
        <v>56</v>
      </c>
      <c r="M148" s="28">
        <v>0</v>
      </c>
      <c r="N148" s="25" t="s">
        <v>21</v>
      </c>
      <c r="O148" s="26">
        <v>2</v>
      </c>
      <c r="P148" s="29">
        <v>5.0000000012500001</v>
      </c>
      <c r="Q148" s="25" t="str">
        <f>EVALUATE_LOCATION(InputData[[#This Row],[Section]],InputData[[#This Row],[Forma de Pago]],InputData[[#This Row],[Ubic.Pretendida]],InputData[[#This Row],[Nro pag]])</f>
        <v xml:space="preserve"> </v>
      </c>
      <c r="R148" s="25">
        <f>ROUND(InputData[[#This Row],[AltoCm]],0)</f>
        <v>5</v>
      </c>
      <c r="S148" s="25" t="str">
        <f>InputData[[#This Row],[Col]]&amp;"x"&amp;IF(LEN(InputData[[#This Row],[Alto]])=2,InputData[[#This Row],[Alto]],"0"&amp;InputData[[#This Row],[Alto]])</f>
        <v>2x05</v>
      </c>
    </row>
    <row r="149" spans="1:19" x14ac:dyDescent="0.2">
      <c r="A149" s="25" t="s">
        <v>33</v>
      </c>
      <c r="B149" s="25" t="s">
        <v>102</v>
      </c>
      <c r="C149" s="25" t="s">
        <v>103</v>
      </c>
      <c r="E149" s="25" t="s">
        <v>104</v>
      </c>
      <c r="F149" s="25" t="str">
        <f>LEFT(InputData[[#This Row],[Referencia]],32)</f>
        <v>///LOGO//// CENTRO AUDIFONOS  PA</v>
      </c>
      <c r="G149" s="25" t="s">
        <v>34</v>
      </c>
      <c r="H149" s="25" t="s">
        <v>22</v>
      </c>
      <c r="I149" s="27">
        <v>91.768000000000001</v>
      </c>
      <c r="J149" s="25" t="s">
        <v>50</v>
      </c>
      <c r="K149" s="25" t="s">
        <v>105</v>
      </c>
      <c r="M149" s="28">
        <v>0</v>
      </c>
      <c r="N149" s="25" t="s">
        <v>21</v>
      </c>
      <c r="O149" s="26">
        <v>2</v>
      </c>
      <c r="P149" s="29">
        <v>4.0000000010000001</v>
      </c>
      <c r="Q149" s="25" t="str">
        <f>EVALUATE_LOCATION(InputData[[#This Row],[Section]],InputData[[#This Row],[Forma de Pago]],InputData[[#This Row],[Ubic.Pretendida]],InputData[[#This Row],[Nro pag]])</f>
        <v xml:space="preserve"> </v>
      </c>
      <c r="R149" s="25">
        <f>ROUND(InputData[[#This Row],[AltoCm]],0)</f>
        <v>4</v>
      </c>
      <c r="S149" s="25" t="str">
        <f>InputData[[#This Row],[Col]]&amp;"x"&amp;IF(LEN(InputData[[#This Row],[Alto]])=2,InputData[[#This Row],[Alto]],"0"&amp;InputData[[#This Row],[Alto]])</f>
        <v>2x04</v>
      </c>
    </row>
    <row r="150" spans="1:19" x14ac:dyDescent="0.2">
      <c r="A150" s="25" t="s">
        <v>33</v>
      </c>
      <c r="B150" s="25" t="s">
        <v>91</v>
      </c>
      <c r="C150" s="25" t="s">
        <v>92</v>
      </c>
      <c r="E150" s="25" t="s">
        <v>93</v>
      </c>
      <c r="F150" s="25" t="str">
        <f>LEFT(InputData[[#This Row],[Referencia]],32)</f>
        <v>LIC. DIEGO CRUZ QUIROPRAXIA  ///</v>
      </c>
      <c r="G150" s="25" t="s">
        <v>34</v>
      </c>
      <c r="H150" s="25" t="s">
        <v>22</v>
      </c>
      <c r="I150" s="27">
        <v>59.62133333333334</v>
      </c>
      <c r="J150" s="25" t="s">
        <v>50</v>
      </c>
      <c r="K150" s="25" t="s">
        <v>62</v>
      </c>
      <c r="M150" s="28">
        <v>0</v>
      </c>
      <c r="N150" s="25" t="s">
        <v>21</v>
      </c>
      <c r="O150" s="26">
        <v>2</v>
      </c>
      <c r="P150" s="29">
        <v>2.0000000005</v>
      </c>
      <c r="Q150" s="25" t="str">
        <f>EVALUATE_LOCATION(InputData[[#This Row],[Section]],InputData[[#This Row],[Forma de Pago]],InputData[[#This Row],[Ubic.Pretendida]],InputData[[#This Row],[Nro pag]])</f>
        <v xml:space="preserve"> </v>
      </c>
      <c r="R150" s="25">
        <f>ROUND(InputData[[#This Row],[AltoCm]],0)</f>
        <v>2</v>
      </c>
      <c r="S150" s="25" t="str">
        <f>InputData[[#This Row],[Col]]&amp;"x"&amp;IF(LEN(InputData[[#This Row],[Alto]])=2,InputData[[#This Row],[Alto]],"0"&amp;InputData[[#This Row],[Alto]])</f>
        <v>2x02</v>
      </c>
    </row>
    <row r="151" spans="1:19" x14ac:dyDescent="0.2">
      <c r="A151" s="25" t="s">
        <v>33</v>
      </c>
      <c r="B151" s="25" t="s">
        <v>191</v>
      </c>
      <c r="C151" s="25" t="s">
        <v>60</v>
      </c>
      <c r="E151" s="25" t="s">
        <v>61</v>
      </c>
      <c r="F151" s="25" t="str">
        <f>LEFT(InputData[[#This Row],[Referencia]],32)</f>
        <v>PROBLEMAS DE COLUMNA Y EXTREMIDA</v>
      </c>
      <c r="G151" s="25" t="s">
        <v>34</v>
      </c>
      <c r="H151" s="25" t="s">
        <v>22</v>
      </c>
      <c r="I151" s="27">
        <v>68.825999999999993</v>
      </c>
      <c r="J151" s="25" t="s">
        <v>50</v>
      </c>
      <c r="K151" s="25" t="s">
        <v>62</v>
      </c>
      <c r="M151" s="28">
        <v>0</v>
      </c>
      <c r="N151" s="25" t="s">
        <v>21</v>
      </c>
      <c r="O151" s="26">
        <v>2</v>
      </c>
      <c r="P151" s="29">
        <v>3.0000000007500001</v>
      </c>
      <c r="Q151" s="25" t="str">
        <f>EVALUATE_LOCATION(InputData[[#This Row],[Section]],InputData[[#This Row],[Forma de Pago]],InputData[[#This Row],[Ubic.Pretendida]],InputData[[#This Row],[Nro pag]])</f>
        <v xml:space="preserve"> </v>
      </c>
      <c r="R151" s="25">
        <f>ROUND(InputData[[#This Row],[AltoCm]],0)</f>
        <v>3</v>
      </c>
      <c r="S151" s="25" t="str">
        <f>InputData[[#This Row],[Col]]&amp;"x"&amp;IF(LEN(InputData[[#This Row],[Alto]])=2,InputData[[#This Row],[Alto]],"0"&amp;InputData[[#This Row],[Alto]])</f>
        <v>2x03</v>
      </c>
    </row>
    <row r="152" spans="1:19" x14ac:dyDescent="0.2">
      <c r="A152" s="25" t="s">
        <v>33</v>
      </c>
      <c r="B152" s="25" t="s">
        <v>147</v>
      </c>
      <c r="C152" s="25" t="s">
        <v>44</v>
      </c>
      <c r="D152" s="25" t="s">
        <v>148</v>
      </c>
      <c r="E152" s="25" t="s">
        <v>55</v>
      </c>
      <c r="F152" s="25" t="str">
        <f>LEFT(InputData[[#This Row],[Referencia]],32)</f>
        <v>CEMER...</v>
      </c>
      <c r="G152" s="25" t="s">
        <v>34</v>
      </c>
      <c r="H152" s="25" t="s">
        <v>20</v>
      </c>
      <c r="I152" s="27">
        <v>119.28</v>
      </c>
      <c r="J152" s="25" t="s">
        <v>50</v>
      </c>
      <c r="K152" s="25" t="s">
        <v>54</v>
      </c>
      <c r="M152" s="28">
        <v>0</v>
      </c>
      <c r="N152" s="25" t="s">
        <v>21</v>
      </c>
      <c r="O152" s="26">
        <v>2</v>
      </c>
      <c r="P152" s="29">
        <v>4.0000000010000001</v>
      </c>
      <c r="Q152" s="25" t="str">
        <f>EVALUATE_LOCATION(InputData[[#This Row],[Section]],InputData[[#This Row],[Forma de Pago]],InputData[[#This Row],[Ubic.Pretendida]],InputData[[#This Row],[Nro pag]])</f>
        <v xml:space="preserve"> </v>
      </c>
      <c r="R152" s="25">
        <f>ROUND(InputData[[#This Row],[AltoCm]],0)</f>
        <v>4</v>
      </c>
      <c r="S152" s="25" t="str">
        <f>InputData[[#This Row],[Col]]&amp;"x"&amp;IF(LEN(InputData[[#This Row],[Alto]])=2,InputData[[#This Row],[Alto]],"0"&amp;InputData[[#This Row],[Alto]])</f>
        <v>2x04</v>
      </c>
    </row>
    <row r="153" spans="1:19" x14ac:dyDescent="0.2">
      <c r="A153" s="25" t="s">
        <v>33</v>
      </c>
      <c r="B153" s="25" t="s">
        <v>106</v>
      </c>
      <c r="C153" s="25" t="s">
        <v>107</v>
      </c>
      <c r="E153" s="25" t="s">
        <v>108</v>
      </c>
      <c r="F153" s="25" t="str">
        <f>LEFT(InputData[[#This Row],[Referencia]],32)</f>
        <v>ESTUDIO CONTABLE Monotributo - G</v>
      </c>
      <c r="G153" s="25" t="s">
        <v>34</v>
      </c>
      <c r="H153" s="25" t="s">
        <v>22</v>
      </c>
      <c r="I153" s="27">
        <v>68.825999999999993</v>
      </c>
      <c r="J153" s="25" t="s">
        <v>50</v>
      </c>
      <c r="K153" s="25" t="s">
        <v>99</v>
      </c>
      <c r="M153" s="28">
        <v>0</v>
      </c>
      <c r="N153" s="25" t="s">
        <v>21</v>
      </c>
      <c r="O153" s="26">
        <v>2</v>
      </c>
      <c r="P153" s="29">
        <v>3.0000000007500001</v>
      </c>
      <c r="Q153" s="25" t="str">
        <f>EVALUATE_LOCATION(InputData[[#This Row],[Section]],InputData[[#This Row],[Forma de Pago]],InputData[[#This Row],[Ubic.Pretendida]],InputData[[#This Row],[Nro pag]])</f>
        <v xml:space="preserve"> </v>
      </c>
      <c r="R153" s="25">
        <f>ROUND(InputData[[#This Row],[AltoCm]],0)</f>
        <v>3</v>
      </c>
      <c r="S153" s="25" t="str">
        <f>InputData[[#This Row],[Col]]&amp;"x"&amp;IF(LEN(InputData[[#This Row],[Alto]])=2,InputData[[#This Row],[Alto]],"0"&amp;InputData[[#This Row],[Alto]])</f>
        <v>2x03</v>
      </c>
    </row>
    <row r="154" spans="1:19" x14ac:dyDescent="0.2">
      <c r="A154" s="25" t="s">
        <v>33</v>
      </c>
      <c r="B154" s="25" t="s">
        <v>118</v>
      </c>
      <c r="C154" s="25" t="s">
        <v>119</v>
      </c>
      <c r="E154" s="25" t="s">
        <v>120</v>
      </c>
      <c r="F154" s="25" t="str">
        <f>LEFT(InputData[[#This Row],[Referencia]],32)</f>
        <v>C.P.N. CRISTIAN HERRERA M.P. 155</v>
      </c>
      <c r="G154" s="25" t="s">
        <v>34</v>
      </c>
      <c r="H154" s="25" t="s">
        <v>22</v>
      </c>
      <c r="I154" s="27">
        <v>68.825999999999993</v>
      </c>
      <c r="J154" s="25" t="s">
        <v>50</v>
      </c>
      <c r="K154" s="25" t="s">
        <v>99</v>
      </c>
      <c r="M154" s="28">
        <v>0</v>
      </c>
      <c r="N154" s="25" t="s">
        <v>21</v>
      </c>
      <c r="O154" s="26">
        <v>2</v>
      </c>
      <c r="P154" s="29">
        <v>3.0000000007500001</v>
      </c>
      <c r="Q154" s="25" t="str">
        <f>EVALUATE_LOCATION(InputData[[#This Row],[Section]],InputData[[#This Row],[Forma de Pago]],InputData[[#This Row],[Ubic.Pretendida]],InputData[[#This Row],[Nro pag]])</f>
        <v xml:space="preserve"> </v>
      </c>
      <c r="R154" s="25">
        <f>ROUND(InputData[[#This Row],[AltoCm]],0)</f>
        <v>3</v>
      </c>
      <c r="S154" s="25" t="str">
        <f>InputData[[#This Row],[Col]]&amp;"x"&amp;IF(LEN(InputData[[#This Row],[Alto]])=2,InputData[[#This Row],[Alto]],"0"&amp;InputData[[#This Row],[Alto]])</f>
        <v>2x03</v>
      </c>
    </row>
    <row r="155" spans="1:19" x14ac:dyDescent="0.2">
      <c r="A155" s="25" t="s">
        <v>33</v>
      </c>
      <c r="B155" s="25" t="s">
        <v>274</v>
      </c>
      <c r="C155" s="25" t="s">
        <v>97</v>
      </c>
      <c r="E155" s="25" t="s">
        <v>98</v>
      </c>
      <c r="F155" s="25" t="str">
        <f>LEFT(InputData[[#This Row],[Referencia]],32)</f>
        <v>ASESORAMIENTO CONTABLE E IMPOSIT</v>
      </c>
      <c r="G155" s="25" t="s">
        <v>34</v>
      </c>
      <c r="H155" s="25" t="s">
        <v>22</v>
      </c>
      <c r="I155" s="27">
        <v>45.884</v>
      </c>
      <c r="J155" s="25" t="s">
        <v>50</v>
      </c>
      <c r="K155" s="25" t="s">
        <v>99</v>
      </c>
      <c r="M155" s="28">
        <v>0</v>
      </c>
      <c r="N155" s="25" t="s">
        <v>21</v>
      </c>
      <c r="O155" s="26">
        <v>2</v>
      </c>
      <c r="P155" s="29">
        <v>2.0000000005</v>
      </c>
      <c r="Q155" s="25" t="str">
        <f>EVALUATE_LOCATION(InputData[[#This Row],[Section]],InputData[[#This Row],[Forma de Pago]],InputData[[#This Row],[Ubic.Pretendida]],InputData[[#This Row],[Nro pag]])</f>
        <v xml:space="preserve"> </v>
      </c>
      <c r="R155" s="25">
        <f>ROUND(InputData[[#This Row],[AltoCm]],0)</f>
        <v>2</v>
      </c>
      <c r="S155" s="25" t="str">
        <f>InputData[[#This Row],[Col]]&amp;"x"&amp;IF(LEN(InputData[[#This Row],[Alto]])=2,InputData[[#This Row],[Alto]],"0"&amp;InputData[[#This Row],[Alto]])</f>
        <v>2x02</v>
      </c>
    </row>
    <row r="156" spans="1:19" x14ac:dyDescent="0.2">
      <c r="A156" s="25" t="s">
        <v>33</v>
      </c>
      <c r="B156" s="25" t="s">
        <v>109</v>
      </c>
      <c r="C156" s="25" t="s">
        <v>96</v>
      </c>
      <c r="E156" s="25" t="s">
        <v>110</v>
      </c>
      <c r="F156" s="25" t="str">
        <f>LEFT(InputData[[#This Row],[Referencia]],32)</f>
        <v>ESTUDIO-JURÌDICO  DRA. CLAUDIA B</v>
      </c>
      <c r="G156" s="25" t="s">
        <v>34</v>
      </c>
      <c r="H156" s="25" t="s">
        <v>22</v>
      </c>
      <c r="I156" s="27">
        <v>68.825999999999993</v>
      </c>
      <c r="J156" s="25" t="s">
        <v>50</v>
      </c>
      <c r="K156" s="25" t="s">
        <v>35</v>
      </c>
      <c r="M156" s="28">
        <v>0</v>
      </c>
      <c r="N156" s="25" t="s">
        <v>21</v>
      </c>
      <c r="O156" s="26">
        <v>2</v>
      </c>
      <c r="P156" s="29">
        <v>3.0000000007500001</v>
      </c>
      <c r="Q156" s="25" t="str">
        <f>EVALUATE_LOCATION(InputData[[#This Row],[Section]],InputData[[#This Row],[Forma de Pago]],InputData[[#This Row],[Ubic.Pretendida]],InputData[[#This Row],[Nro pag]])</f>
        <v xml:space="preserve"> </v>
      </c>
      <c r="R156" s="25">
        <f>ROUND(InputData[[#This Row],[AltoCm]],0)</f>
        <v>3</v>
      </c>
      <c r="S156" s="25" t="str">
        <f>InputData[[#This Row],[Col]]&amp;"x"&amp;IF(LEN(InputData[[#This Row],[Alto]])=2,InputData[[#This Row],[Alto]],"0"&amp;InputData[[#This Row],[Alto]])</f>
        <v>2x03</v>
      </c>
    </row>
    <row r="157" spans="1:19" x14ac:dyDescent="0.2">
      <c r="A157" s="25" t="s">
        <v>33</v>
      </c>
      <c r="B157" s="25" t="s">
        <v>128</v>
      </c>
      <c r="C157" s="25" t="s">
        <v>122</v>
      </c>
      <c r="E157" s="25" t="s">
        <v>123</v>
      </c>
      <c r="F157" s="25" t="str">
        <f>LEFT(InputData[[#This Row],[Referencia]],32)</f>
        <v>ESTUDIO JURIDICO Dra. María de l</v>
      </c>
      <c r="G157" s="25" t="s">
        <v>34</v>
      </c>
      <c r="H157" s="25" t="s">
        <v>22</v>
      </c>
      <c r="I157" s="27">
        <v>45.884</v>
      </c>
      <c r="J157" s="25" t="s">
        <v>50</v>
      </c>
      <c r="K157" s="25" t="s">
        <v>35</v>
      </c>
      <c r="M157" s="28">
        <v>0</v>
      </c>
      <c r="N157" s="25" t="s">
        <v>21</v>
      </c>
      <c r="O157" s="26">
        <v>2</v>
      </c>
      <c r="P157" s="29">
        <v>2.0000000005</v>
      </c>
      <c r="Q157" s="25" t="str">
        <f>EVALUATE_LOCATION(InputData[[#This Row],[Section]],InputData[[#This Row],[Forma de Pago]],InputData[[#This Row],[Ubic.Pretendida]],InputData[[#This Row],[Nro pag]])</f>
        <v xml:space="preserve"> </v>
      </c>
      <c r="R157" s="25">
        <f>ROUND(InputData[[#This Row],[AltoCm]],0)</f>
        <v>2</v>
      </c>
      <c r="S157" s="25" t="str">
        <f>InputData[[#This Row],[Col]]&amp;"x"&amp;IF(LEN(InputData[[#This Row],[Alto]])=2,InputData[[#This Row],[Alto]],"0"&amp;InputData[[#This Row],[Alto]])</f>
        <v>2x02</v>
      </c>
    </row>
    <row r="158" spans="1:19" x14ac:dyDescent="0.2">
      <c r="A158" s="25" t="s">
        <v>33</v>
      </c>
      <c r="B158" s="25" t="s">
        <v>156</v>
      </c>
      <c r="C158" s="25" t="s">
        <v>157</v>
      </c>
      <c r="E158" s="25" t="s">
        <v>158</v>
      </c>
      <c r="F158" s="25" t="str">
        <f>LEFT(InputData[[#This Row],[Referencia]],32)</f>
        <v>DA. LYNN E. CRUZ (especialista e</v>
      </c>
      <c r="G158" s="25" t="s">
        <v>34</v>
      </c>
      <c r="H158" s="25" t="s">
        <v>22</v>
      </c>
      <c r="I158" s="27">
        <v>68.825999999999993</v>
      </c>
      <c r="J158" s="25" t="s">
        <v>50</v>
      </c>
      <c r="K158" s="25" t="s">
        <v>35</v>
      </c>
      <c r="M158" s="28">
        <v>0</v>
      </c>
      <c r="N158" s="25" t="s">
        <v>21</v>
      </c>
      <c r="O158" s="26">
        <v>2</v>
      </c>
      <c r="P158" s="29">
        <v>3.0000000007500001</v>
      </c>
      <c r="Q158" s="25" t="str">
        <f>EVALUATE_LOCATION(InputData[[#This Row],[Section]],InputData[[#This Row],[Forma de Pago]],InputData[[#This Row],[Ubic.Pretendida]],InputData[[#This Row],[Nro pag]])</f>
        <v xml:space="preserve"> </v>
      </c>
      <c r="R158" s="25">
        <f>ROUND(InputData[[#This Row],[AltoCm]],0)</f>
        <v>3</v>
      </c>
      <c r="S158" s="25" t="str">
        <f>InputData[[#This Row],[Col]]&amp;"x"&amp;IF(LEN(InputData[[#This Row],[Alto]])=2,InputData[[#This Row],[Alto]],"0"&amp;InputData[[#This Row],[Alto]])</f>
        <v>2x03</v>
      </c>
    </row>
    <row r="159" spans="1:19" x14ac:dyDescent="0.2">
      <c r="A159" s="25" t="s">
        <v>33</v>
      </c>
      <c r="B159" s="25" t="s">
        <v>192</v>
      </c>
      <c r="C159" s="25" t="s">
        <v>82</v>
      </c>
      <c r="E159" s="25" t="s">
        <v>83</v>
      </c>
      <c r="F159" s="25" t="str">
        <f>LEFT(InputData[[#This Row],[Referencia]],32)</f>
        <v>ESTUDIO JURIDICO MEYER ALCARAZ T</v>
      </c>
      <c r="G159" s="25" t="s">
        <v>34</v>
      </c>
      <c r="H159" s="25" t="s">
        <v>22</v>
      </c>
      <c r="I159" s="27">
        <v>45.884</v>
      </c>
      <c r="J159" s="25" t="s">
        <v>50</v>
      </c>
      <c r="K159" s="25" t="s">
        <v>35</v>
      </c>
      <c r="M159" s="28">
        <v>0</v>
      </c>
      <c r="N159" s="25" t="s">
        <v>21</v>
      </c>
      <c r="O159" s="26">
        <v>2</v>
      </c>
      <c r="P159" s="29">
        <v>2.0000000005</v>
      </c>
      <c r="Q159" s="25" t="str">
        <f>EVALUATE_LOCATION(InputData[[#This Row],[Section]],InputData[[#This Row],[Forma de Pago]],InputData[[#This Row],[Ubic.Pretendida]],InputData[[#This Row],[Nro pag]])</f>
        <v xml:space="preserve"> </v>
      </c>
      <c r="R159" s="25">
        <f>ROUND(InputData[[#This Row],[AltoCm]],0)</f>
        <v>2</v>
      </c>
      <c r="S159" s="25" t="str">
        <f>InputData[[#This Row],[Col]]&amp;"x"&amp;IF(LEN(InputData[[#This Row],[Alto]])=2,InputData[[#This Row],[Alto]],"0"&amp;InputData[[#This Row],[Alto]])</f>
        <v>2x02</v>
      </c>
    </row>
    <row r="160" spans="1:19" x14ac:dyDescent="0.2">
      <c r="A160" s="25" t="s">
        <v>33</v>
      </c>
      <c r="B160" s="25" t="s">
        <v>275</v>
      </c>
      <c r="C160" s="25" t="s">
        <v>276</v>
      </c>
      <c r="E160" s="25" t="s">
        <v>277</v>
      </c>
      <c r="F160" s="25" t="str">
        <f>LEFT(InputData[[#This Row],[Referencia]],32)</f>
        <v xml:space="preserve"> EDUARDO JOSE ROMEO            A</v>
      </c>
      <c r="G160" s="25" t="s">
        <v>34</v>
      </c>
      <c r="H160" s="25" t="s">
        <v>22</v>
      </c>
      <c r="I160" s="27">
        <v>45.884</v>
      </c>
      <c r="J160" s="25" t="s">
        <v>50</v>
      </c>
      <c r="K160" s="25" t="s">
        <v>35</v>
      </c>
      <c r="M160" s="28">
        <v>0</v>
      </c>
      <c r="N160" s="25" t="s">
        <v>21</v>
      </c>
      <c r="O160" s="26">
        <v>2</v>
      </c>
      <c r="P160" s="29">
        <v>2.0000000005</v>
      </c>
      <c r="Q160" s="25" t="str">
        <f>EVALUATE_LOCATION(InputData[[#This Row],[Section]],InputData[[#This Row],[Forma de Pago]],InputData[[#This Row],[Ubic.Pretendida]],InputData[[#This Row],[Nro pag]])</f>
        <v xml:space="preserve"> </v>
      </c>
      <c r="R160" s="25">
        <f>ROUND(InputData[[#This Row],[AltoCm]],0)</f>
        <v>2</v>
      </c>
      <c r="S160" s="25" t="str">
        <f>InputData[[#This Row],[Col]]&amp;"x"&amp;IF(LEN(InputData[[#This Row],[Alto]])=2,InputData[[#This Row],[Alto]],"0"&amp;InputData[[#This Row],[Alto]])</f>
        <v>2x02</v>
      </c>
    </row>
    <row r="161" spans="1:19" x14ac:dyDescent="0.2">
      <c r="A161" s="25" t="s">
        <v>178</v>
      </c>
      <c r="B161" s="25" t="s">
        <v>278</v>
      </c>
      <c r="C161" s="25" t="s">
        <v>279</v>
      </c>
      <c r="E161" s="25" t="s">
        <v>280</v>
      </c>
      <c r="F161" s="25" t="str">
        <f>LEFT(InputData[[#This Row],[Referencia]],32)</f>
        <v xml:space="preserve">SEPELIOS SAN JOSE SRL SERVICIOS </v>
      </c>
      <c r="G161" s="25" t="s">
        <v>179</v>
      </c>
      <c r="H161" s="25" t="s">
        <v>22</v>
      </c>
      <c r="I161" s="27">
        <v>397.03800000000001</v>
      </c>
      <c r="J161" s="25" t="s">
        <v>9</v>
      </c>
      <c r="K161" s="25" t="s">
        <v>180</v>
      </c>
      <c r="M161" s="28">
        <v>0</v>
      </c>
      <c r="N161" s="25" t="s">
        <v>21</v>
      </c>
      <c r="O161" s="26">
        <v>1</v>
      </c>
      <c r="P161" s="29">
        <v>6.3217777777777773</v>
      </c>
      <c r="Q161" s="25" t="str">
        <f>EVALUATE_LOCATION(InputData[[#This Row],[Section]],InputData[[#This Row],[Forma de Pago]],InputData[[#This Row],[Ubic.Pretendida]],InputData[[#This Row],[Nro pag]])</f>
        <v xml:space="preserve"> </v>
      </c>
      <c r="R161" s="25">
        <f>ROUND(InputData[[#This Row],[AltoCm]],0)</f>
        <v>6</v>
      </c>
      <c r="S161" s="25" t="str">
        <f>InputData[[#This Row],[Col]]&amp;"x"&amp;IF(LEN(InputData[[#This Row],[Alto]])=2,InputData[[#This Row],[Alto]],"0"&amp;InputData[[#This Row],[Alto]])</f>
        <v>1x06</v>
      </c>
    </row>
    <row r="162" spans="1:19" x14ac:dyDescent="0.2">
      <c r="A162" s="25" t="s">
        <v>178</v>
      </c>
      <c r="B162" s="25" t="s">
        <v>281</v>
      </c>
      <c r="C162" s="25" t="s">
        <v>65</v>
      </c>
      <c r="D162" s="25" t="s">
        <v>282</v>
      </c>
      <c r="E162" s="25" t="s">
        <v>283</v>
      </c>
      <c r="F162" s="25" t="str">
        <f>LEFT(InputData[[#This Row],[Referencia]],32)</f>
        <v>CEFERINO FLORES</v>
      </c>
      <c r="G162" s="25" t="s">
        <v>179</v>
      </c>
      <c r="H162" s="25" t="s">
        <v>20</v>
      </c>
      <c r="I162" s="27">
        <v>850.79000000000019</v>
      </c>
      <c r="J162" s="25" t="s">
        <v>50</v>
      </c>
      <c r="K162" s="25" t="s">
        <v>180</v>
      </c>
      <c r="M162" s="28">
        <v>0</v>
      </c>
      <c r="N162" s="25" t="s">
        <v>21</v>
      </c>
      <c r="O162" s="26">
        <v>1</v>
      </c>
      <c r="P162" s="29">
        <v>9.8777777777777782</v>
      </c>
      <c r="Q162" s="25" t="str">
        <f>EVALUATE_LOCATION(InputData[[#This Row],[Section]],InputData[[#This Row],[Forma de Pago]],InputData[[#This Row],[Ubic.Pretendida]],InputData[[#This Row],[Nro pag]])</f>
        <v xml:space="preserve"> </v>
      </c>
      <c r="R162" s="25">
        <f>ROUND(InputData[[#This Row],[AltoCm]],0)</f>
        <v>10</v>
      </c>
      <c r="S162" s="25" t="str">
        <f>InputData[[#This Row],[Col]]&amp;"x"&amp;IF(LEN(InputData[[#This Row],[Alto]])=2,InputData[[#This Row],[Alto]],"0"&amp;InputData[[#This Row],[Alto]])</f>
        <v>1x10</v>
      </c>
    </row>
    <row r="163" spans="1:19" x14ac:dyDescent="0.2">
      <c r="A163" s="25" t="s">
        <v>178</v>
      </c>
      <c r="B163" s="25" t="s">
        <v>284</v>
      </c>
      <c r="C163" s="25" t="s">
        <v>285</v>
      </c>
      <c r="E163" s="25" t="s">
        <v>286</v>
      </c>
      <c r="F163" s="25" t="str">
        <f>LEFT(InputData[[#This Row],[Referencia]],32)</f>
        <v>+ RUBEN DANIEL MAMANI SANCHEZ “P</v>
      </c>
      <c r="G163" s="25" t="s">
        <v>179</v>
      </c>
      <c r="H163" s="25" t="s">
        <v>22</v>
      </c>
      <c r="I163" s="27">
        <v>1956.8300000000004</v>
      </c>
      <c r="J163" s="25" t="s">
        <v>9</v>
      </c>
      <c r="K163" s="25" t="s">
        <v>180</v>
      </c>
      <c r="M163" s="28">
        <v>0</v>
      </c>
      <c r="N163" s="25" t="s">
        <v>21</v>
      </c>
      <c r="O163" s="26">
        <v>2</v>
      </c>
      <c r="P163" s="29">
        <v>9.8777777777777782</v>
      </c>
      <c r="Q163" s="25" t="str">
        <f>EVALUATE_LOCATION(InputData[[#This Row],[Section]],InputData[[#This Row],[Forma de Pago]],InputData[[#This Row],[Ubic.Pretendida]],InputData[[#This Row],[Nro pag]])</f>
        <v xml:space="preserve"> </v>
      </c>
      <c r="R163" s="25">
        <f>ROUND(InputData[[#This Row],[AltoCm]],0)</f>
        <v>10</v>
      </c>
      <c r="S163" s="25" t="str">
        <f>InputData[[#This Row],[Col]]&amp;"x"&amp;IF(LEN(InputData[[#This Row],[Alto]])=2,InputData[[#This Row],[Alto]],"0"&amp;InputData[[#This Row],[Alto]])</f>
        <v>2x10</v>
      </c>
    </row>
    <row r="164" spans="1:19" x14ac:dyDescent="0.2">
      <c r="A164" s="25" t="s">
        <v>178</v>
      </c>
      <c r="B164" s="25" t="s">
        <v>287</v>
      </c>
      <c r="C164" s="25" t="s">
        <v>285</v>
      </c>
      <c r="E164" s="25" t="s">
        <v>288</v>
      </c>
      <c r="F164" s="25" t="str">
        <f>LEFT(InputData[[#This Row],[Referencia]],32)</f>
        <v>+ RUBEN DANIEL MAMANI SANCHEZ “P</v>
      </c>
      <c r="G164" s="25" t="s">
        <v>179</v>
      </c>
      <c r="H164" s="25" t="s">
        <v>22</v>
      </c>
      <c r="I164" s="27">
        <v>1956.8300000000004</v>
      </c>
      <c r="J164" s="25" t="s">
        <v>9</v>
      </c>
      <c r="K164" s="25" t="s">
        <v>180</v>
      </c>
      <c r="M164" s="28">
        <v>0</v>
      </c>
      <c r="N164" s="25" t="s">
        <v>21</v>
      </c>
      <c r="O164" s="26">
        <v>2</v>
      </c>
      <c r="P164" s="29">
        <v>9.8777777777777782</v>
      </c>
      <c r="Q164" s="25" t="str">
        <f>EVALUATE_LOCATION(InputData[[#This Row],[Section]],InputData[[#This Row],[Forma de Pago]],InputData[[#This Row],[Ubic.Pretendida]],InputData[[#This Row],[Nro pag]])</f>
        <v xml:space="preserve"> </v>
      </c>
      <c r="R164" s="25">
        <f>ROUND(InputData[[#This Row],[AltoCm]],0)</f>
        <v>10</v>
      </c>
      <c r="S164" s="25" t="str">
        <f>InputData[[#This Row],[Col]]&amp;"x"&amp;IF(LEN(InputData[[#This Row],[Alto]])=2,InputData[[#This Row],[Alto]],"0"&amp;InputData[[#This Row],[Alto]])</f>
        <v>2x10</v>
      </c>
    </row>
    <row r="165" spans="1:19" x14ac:dyDescent="0.2">
      <c r="A165" s="25" t="s">
        <v>178</v>
      </c>
      <c r="B165" s="25" t="s">
        <v>289</v>
      </c>
      <c r="C165" s="25" t="s">
        <v>290</v>
      </c>
      <c r="E165" s="25" t="s">
        <v>291</v>
      </c>
      <c r="F165" s="25" t="str">
        <f>LEFT(InputData[[#This Row],[Referencia]],32)</f>
        <v>+ POLONIA ÁNGELA GUITIAN (Q.E.P.</v>
      </c>
      <c r="G165" s="25" t="s">
        <v>179</v>
      </c>
      <c r="H165" s="25" t="s">
        <v>22</v>
      </c>
      <c r="I165" s="27">
        <v>1304.55</v>
      </c>
      <c r="J165" s="25" t="s">
        <v>9</v>
      </c>
      <c r="K165" s="25" t="s">
        <v>180</v>
      </c>
      <c r="M165" s="28">
        <v>0</v>
      </c>
      <c r="N165" s="25" t="s">
        <v>21</v>
      </c>
      <c r="O165" s="26">
        <v>2</v>
      </c>
      <c r="P165" s="29">
        <v>6.3217777777777773</v>
      </c>
      <c r="Q165" s="25" t="str">
        <f>EVALUATE_LOCATION(InputData[[#This Row],[Section]],InputData[[#This Row],[Forma de Pago]],InputData[[#This Row],[Ubic.Pretendida]],InputData[[#This Row],[Nro pag]])</f>
        <v xml:space="preserve"> </v>
      </c>
      <c r="R165" s="25">
        <f>ROUND(InputData[[#This Row],[AltoCm]],0)</f>
        <v>6</v>
      </c>
      <c r="S165" s="25" t="str">
        <f>InputData[[#This Row],[Col]]&amp;"x"&amp;IF(LEN(InputData[[#This Row],[Alto]])=2,InputData[[#This Row],[Alto]],"0"&amp;InputData[[#This Row],[Alto]])</f>
        <v>2x06</v>
      </c>
    </row>
    <row r="166" spans="1:19" x14ac:dyDescent="0.2">
      <c r="A166" s="25" t="s">
        <v>178</v>
      </c>
      <c r="B166" s="25" t="s">
        <v>292</v>
      </c>
      <c r="C166" s="25" t="s">
        <v>293</v>
      </c>
      <c r="E166" s="25" t="s">
        <v>294</v>
      </c>
      <c r="F166" s="25" t="str">
        <f>LEFT(InputData[[#This Row],[Referencia]],32)</f>
        <v>+MONTALDI MARCELA ALEJANDRA  Q.E</v>
      </c>
      <c r="G166" s="25" t="s">
        <v>179</v>
      </c>
      <c r="H166" s="25" t="s">
        <v>22</v>
      </c>
      <c r="I166" s="27">
        <v>1956.8300000000004</v>
      </c>
      <c r="J166" s="25" t="s">
        <v>9</v>
      </c>
      <c r="K166" s="25" t="s">
        <v>180</v>
      </c>
      <c r="M166" s="28">
        <v>0</v>
      </c>
      <c r="N166" s="25" t="s">
        <v>21</v>
      </c>
      <c r="O166" s="26">
        <v>2</v>
      </c>
      <c r="P166" s="29">
        <v>9.8777777777777782</v>
      </c>
      <c r="Q166" s="25" t="str">
        <f>EVALUATE_LOCATION(InputData[[#This Row],[Section]],InputData[[#This Row],[Forma de Pago]],InputData[[#This Row],[Ubic.Pretendida]],InputData[[#This Row],[Nro pag]])</f>
        <v xml:space="preserve"> </v>
      </c>
      <c r="R166" s="25">
        <f>ROUND(InputData[[#This Row],[AltoCm]],0)</f>
        <v>10</v>
      </c>
      <c r="S166" s="25" t="str">
        <f>InputData[[#This Row],[Col]]&amp;"x"&amp;IF(LEN(InputData[[#This Row],[Alto]])=2,InputData[[#This Row],[Alto]],"0"&amp;InputData[[#This Row],[Alto]])</f>
        <v>2x10</v>
      </c>
    </row>
    <row r="167" spans="1:19" x14ac:dyDescent="0.2">
      <c r="A167" s="25" t="s">
        <v>178</v>
      </c>
      <c r="B167" s="25" t="s">
        <v>295</v>
      </c>
      <c r="C167" s="25" t="s">
        <v>296</v>
      </c>
      <c r="E167" s="25" t="s">
        <v>297</v>
      </c>
      <c r="F167" s="25" t="str">
        <f>LEFT(InputData[[#This Row],[Referencia]],32)</f>
        <v xml:space="preserve">+ PABLO ELOY GALIAN q.e.p.d. Te </v>
      </c>
      <c r="G167" s="25" t="s">
        <v>179</v>
      </c>
      <c r="H167" s="25" t="s">
        <v>22</v>
      </c>
      <c r="I167" s="27">
        <v>1956.83</v>
      </c>
      <c r="J167" s="25" t="s">
        <v>9</v>
      </c>
      <c r="K167" s="25" t="s">
        <v>180</v>
      </c>
      <c r="M167" s="28">
        <v>0</v>
      </c>
      <c r="N167" s="25" t="s">
        <v>21</v>
      </c>
      <c r="O167" s="26">
        <v>2</v>
      </c>
      <c r="P167" s="29">
        <v>9.8777777777777782</v>
      </c>
      <c r="Q167" s="25" t="str">
        <f>EVALUATE_LOCATION(InputData[[#This Row],[Section]],InputData[[#This Row],[Forma de Pago]],InputData[[#This Row],[Ubic.Pretendida]],InputData[[#This Row],[Nro pag]])</f>
        <v xml:space="preserve"> </v>
      </c>
      <c r="R167" s="25">
        <f>ROUND(InputData[[#This Row],[AltoCm]],0)</f>
        <v>10</v>
      </c>
      <c r="S167" s="25" t="str">
        <f>InputData[[#This Row],[Col]]&amp;"x"&amp;IF(LEN(InputData[[#This Row],[Alto]])=2,InputData[[#This Row],[Alto]],"0"&amp;InputData[[#This Row],[Alto]])</f>
        <v>2x10</v>
      </c>
    </row>
    <row r="168" spans="1:19" x14ac:dyDescent="0.2">
      <c r="A168" s="25" t="s">
        <v>178</v>
      </c>
      <c r="B168" s="25" t="s">
        <v>298</v>
      </c>
      <c r="C168" s="25" t="s">
        <v>299</v>
      </c>
      <c r="E168" s="25" t="s">
        <v>300</v>
      </c>
      <c r="F168" s="25" t="str">
        <f>LEFT(InputData[[#This Row],[Referencia]],32)</f>
        <v>ANTONIA DIAZ  “Pelusita” Falleci</v>
      </c>
      <c r="G168" s="25" t="s">
        <v>179</v>
      </c>
      <c r="H168" s="25" t="s">
        <v>22</v>
      </c>
      <c r="I168" s="27">
        <v>2935.2400000000002</v>
      </c>
      <c r="J168" s="25" t="s">
        <v>9</v>
      </c>
      <c r="K168" s="25" t="s">
        <v>180</v>
      </c>
      <c r="M168" s="28">
        <v>0</v>
      </c>
      <c r="N168" s="25" t="s">
        <v>21</v>
      </c>
      <c r="O168" s="26">
        <v>3</v>
      </c>
      <c r="P168" s="29">
        <v>9.8777777777777782</v>
      </c>
      <c r="Q168" s="25" t="str">
        <f>EVALUATE_LOCATION(InputData[[#This Row],[Section]],InputData[[#This Row],[Forma de Pago]],InputData[[#This Row],[Ubic.Pretendida]],InputData[[#This Row],[Nro pag]])</f>
        <v xml:space="preserve"> </v>
      </c>
      <c r="R168" s="25">
        <f>ROUND(InputData[[#This Row],[AltoCm]],0)</f>
        <v>10</v>
      </c>
      <c r="S168" s="25" t="str">
        <f>InputData[[#This Row],[Col]]&amp;"x"&amp;IF(LEN(InputData[[#This Row],[Alto]])=2,InputData[[#This Row],[Alto]],"0"&amp;InputData[[#This Row],[Alto]])</f>
        <v>3x10</v>
      </c>
    </row>
    <row r="169" spans="1:19" x14ac:dyDescent="0.2">
      <c r="A169" s="25" t="s">
        <v>167</v>
      </c>
      <c r="B169" s="25" t="s">
        <v>210</v>
      </c>
      <c r="C169" s="25" t="s">
        <v>164</v>
      </c>
      <c r="D169" s="25" t="s">
        <v>165</v>
      </c>
      <c r="E169" s="25" t="s">
        <v>166</v>
      </c>
      <c r="F169" s="25" t="str">
        <f>LEFT(InputData[[#This Row],[Referencia]],32)</f>
        <v>CINE ALFA...</v>
      </c>
      <c r="G169" s="25" t="s">
        <v>24</v>
      </c>
      <c r="H169" s="25" t="s">
        <v>51</v>
      </c>
      <c r="I169" s="27">
        <v>4229</v>
      </c>
      <c r="J169" s="25" t="s">
        <v>9</v>
      </c>
      <c r="K169" s="25" t="s">
        <v>43</v>
      </c>
      <c r="L169" s="25" t="s">
        <v>43</v>
      </c>
      <c r="M169" s="28">
        <v>4</v>
      </c>
      <c r="N169" s="25" t="s">
        <v>21</v>
      </c>
      <c r="O169" s="26">
        <v>5</v>
      </c>
      <c r="P169" s="29">
        <v>13.433777777777777</v>
      </c>
      <c r="Q169" s="25" t="str">
        <f>EVALUATE_LOCATION(InputData[[#This Row],[Section]],InputData[[#This Row],[Forma de Pago]],InputData[[#This Row],[Ubic.Pretendida]],InputData[[#This Row],[Nro pag]])</f>
        <v xml:space="preserve"> </v>
      </c>
      <c r="R169" s="25">
        <f>ROUND(InputData[[#This Row],[AltoCm]],0)</f>
        <v>13</v>
      </c>
      <c r="S169" s="25" t="str">
        <f>InputData[[#This Row],[Col]]&amp;"x"&amp;IF(LEN(InputData[[#This Row],[Alto]])=2,InputData[[#This Row],[Alto]],"0"&amp;InputData[[#This Row],[Alto]])</f>
        <v>5x13</v>
      </c>
    </row>
    <row r="170" spans="1:19" x14ac:dyDescent="0.2">
      <c r="A170" s="25" t="s">
        <v>167</v>
      </c>
      <c r="B170" s="25" t="s">
        <v>301</v>
      </c>
      <c r="C170" s="25" t="s">
        <v>64</v>
      </c>
      <c r="D170" s="25" t="s">
        <v>42</v>
      </c>
      <c r="E170" s="25" t="s">
        <v>302</v>
      </c>
      <c r="F170" s="25" t="str">
        <f>LEFT(InputData[[#This Row],[Referencia]],32)</f>
        <v>gOBIERNO TRABAJADOR ELECTRICIDAD</v>
      </c>
      <c r="G170" s="25" t="s">
        <v>211</v>
      </c>
      <c r="H170" s="25" t="s">
        <v>20</v>
      </c>
      <c r="I170" s="27">
        <v>11146.960000000001</v>
      </c>
      <c r="J170" s="25" t="s">
        <v>9</v>
      </c>
      <c r="K170" s="25" t="s">
        <v>27</v>
      </c>
      <c r="M170" s="28">
        <v>0</v>
      </c>
      <c r="N170" s="25" t="s">
        <v>32</v>
      </c>
      <c r="O170" s="26">
        <v>5</v>
      </c>
      <c r="P170" s="29">
        <v>13.433777777777777</v>
      </c>
      <c r="Q170" s="25" t="str">
        <f>EVALUATE_LOCATION(InputData[[#This Row],[Section]],InputData[[#This Row],[Forma de Pago]],InputData[[#This Row],[Ubic.Pretendida]],InputData[[#This Row],[Nro pag]])</f>
        <v xml:space="preserve"> </v>
      </c>
      <c r="R170" s="25">
        <f>ROUND(InputData[[#This Row],[AltoCm]],0)</f>
        <v>13</v>
      </c>
      <c r="S170" s="25" t="str">
        <f>InputData[[#This Row],[Col]]&amp;"x"&amp;IF(LEN(InputData[[#This Row],[Alto]])=2,InputData[[#This Row],[Alto]],"0"&amp;InputData[[#This Row],[Alto]])</f>
        <v>5x13</v>
      </c>
    </row>
    <row r="171" spans="1:19" x14ac:dyDescent="0.2">
      <c r="A171" s="25" t="s">
        <v>167</v>
      </c>
      <c r="B171" s="25" t="s">
        <v>303</v>
      </c>
      <c r="C171" s="25" t="s">
        <v>64</v>
      </c>
      <c r="D171" s="25" t="s">
        <v>42</v>
      </c>
      <c r="E171" s="25" t="s">
        <v>304</v>
      </c>
      <c r="F171" s="25" t="str">
        <f>LEFT(InputData[[#This Row],[Referencia]],32)</f>
        <v xml:space="preserve">GOBIERNO  FIESTAS PATRONALES EL </v>
      </c>
      <c r="G171" s="25" t="s">
        <v>211</v>
      </c>
      <c r="H171" s="25" t="s">
        <v>20</v>
      </c>
      <c r="I171" s="27">
        <v>11146.960000000001</v>
      </c>
      <c r="J171" s="25" t="s">
        <v>9</v>
      </c>
      <c r="K171" s="25" t="s">
        <v>27</v>
      </c>
      <c r="M171" s="28">
        <v>0</v>
      </c>
      <c r="N171" s="25" t="s">
        <v>32</v>
      </c>
      <c r="O171" s="26">
        <v>5</v>
      </c>
      <c r="P171" s="29">
        <v>13.433777777777777</v>
      </c>
      <c r="Q171" s="25" t="str">
        <f>EVALUATE_LOCATION(InputData[[#This Row],[Section]],InputData[[#This Row],[Forma de Pago]],InputData[[#This Row],[Ubic.Pretendida]],InputData[[#This Row],[Nro pag]])</f>
        <v xml:space="preserve"> </v>
      </c>
      <c r="R171" s="25">
        <f>ROUND(InputData[[#This Row],[AltoCm]],0)</f>
        <v>13</v>
      </c>
      <c r="S171" s="25" t="str">
        <f>InputData[[#This Row],[Col]]&amp;"x"&amp;IF(LEN(InputData[[#This Row],[Alto]])=2,InputData[[#This Row],[Alto]],"0"&amp;InputData[[#This Row],[Alto]])</f>
        <v>5x13</v>
      </c>
    </row>
    <row r="172" spans="1:19" x14ac:dyDescent="0.2">
      <c r="A172" s="25" t="s">
        <v>167</v>
      </c>
      <c r="B172" s="25" t="s">
        <v>305</v>
      </c>
      <c r="C172" s="25" t="s">
        <v>64</v>
      </c>
      <c r="D172" s="25" t="s">
        <v>42</v>
      </c>
      <c r="E172" s="25" t="s">
        <v>306</v>
      </c>
      <c r="F172" s="25" t="str">
        <f>LEFT(InputData[[#This Row],[Referencia]],32)</f>
        <v>GOBIERNO   FNE  ONDA ESTUDIANTIL</v>
      </c>
      <c r="G172" s="25" t="s">
        <v>211</v>
      </c>
      <c r="H172" s="25" t="s">
        <v>20</v>
      </c>
      <c r="I172" s="27">
        <v>8360.2199999999993</v>
      </c>
      <c r="J172" s="25" t="s">
        <v>9</v>
      </c>
      <c r="K172" s="25" t="s">
        <v>27</v>
      </c>
      <c r="M172" s="28">
        <v>0</v>
      </c>
      <c r="N172" s="25" t="s">
        <v>21</v>
      </c>
      <c r="O172" s="26">
        <v>5</v>
      </c>
      <c r="P172" s="29">
        <v>9.8777777777777782</v>
      </c>
      <c r="Q172" s="25" t="str">
        <f>EVALUATE_LOCATION(InputData[[#This Row],[Section]],InputData[[#This Row],[Forma de Pago]],InputData[[#This Row],[Ubic.Pretendida]],InputData[[#This Row],[Nro pag]])</f>
        <v xml:space="preserve"> </v>
      </c>
      <c r="R172" s="25">
        <f>ROUND(InputData[[#This Row],[AltoCm]],0)</f>
        <v>10</v>
      </c>
      <c r="S172" s="25" t="str">
        <f>InputData[[#This Row],[Col]]&amp;"x"&amp;IF(LEN(InputData[[#This Row],[Alto]])=2,InputData[[#This Row],[Alto]],"0"&amp;InputData[[#This Row],[Alto]])</f>
        <v>5x10</v>
      </c>
    </row>
    <row r="173" spans="1:19" x14ac:dyDescent="0.2">
      <c r="A173" s="25" t="s">
        <v>307</v>
      </c>
      <c r="B173" s="25" t="s">
        <v>308</v>
      </c>
      <c r="C173" s="25" t="s">
        <v>309</v>
      </c>
      <c r="D173" s="25" t="s">
        <v>310</v>
      </c>
      <c r="E173" s="25" t="s">
        <v>311</v>
      </c>
      <c r="F173" s="25" t="str">
        <f>LEFT(InputData[[#This Row],[Referencia]],32)</f>
        <v>LA CASA DE JEREMIAS</v>
      </c>
      <c r="G173" s="25" t="s">
        <v>24</v>
      </c>
      <c r="H173" s="25" t="s">
        <v>20</v>
      </c>
      <c r="I173" s="27">
        <v>1202.76</v>
      </c>
      <c r="J173" s="25" t="s">
        <v>9</v>
      </c>
      <c r="K173" s="25" t="s">
        <v>27</v>
      </c>
      <c r="L173" s="25" t="s">
        <v>27</v>
      </c>
      <c r="M173" s="28">
        <v>2</v>
      </c>
      <c r="N173" s="25" t="s">
        <v>21</v>
      </c>
      <c r="O173" s="26">
        <v>3</v>
      </c>
      <c r="P173" s="29">
        <v>9.8777777777777782</v>
      </c>
      <c r="Q173" s="25" t="str">
        <f>EVALUATE_LOCATION(InputData[[#This Row],[Section]],InputData[[#This Row],[Forma de Pago]],InputData[[#This Row],[Ubic.Pretendida]],InputData[[#This Row],[Nro pag]])</f>
        <v xml:space="preserve"> </v>
      </c>
      <c r="R173" s="25">
        <f>ROUND(InputData[[#This Row],[AltoCm]],0)</f>
        <v>10</v>
      </c>
      <c r="S173" s="25" t="str">
        <f>InputData[[#This Row],[Col]]&amp;"x"&amp;IF(LEN(InputData[[#This Row],[Alto]])=2,InputData[[#This Row],[Alto]],"0"&amp;InputData[[#This Row],[Alto]])</f>
        <v>3x10</v>
      </c>
    </row>
    <row r="174" spans="1:19" x14ac:dyDescent="0.2">
      <c r="A174" s="25" t="s">
        <v>307</v>
      </c>
      <c r="B174" s="25" t="s">
        <v>312</v>
      </c>
      <c r="C174" s="25" t="s">
        <v>57</v>
      </c>
      <c r="D174" s="25" t="s">
        <v>313</v>
      </c>
      <c r="E174" s="25" t="s">
        <v>314</v>
      </c>
      <c r="F174" s="25" t="str">
        <f>LEFT(InputData[[#This Row],[Referencia]],32)</f>
        <v>PIZPIRETA  FM JUJUY ....</v>
      </c>
      <c r="G174" s="25" t="s">
        <v>24</v>
      </c>
      <c r="H174" s="25" t="s">
        <v>51</v>
      </c>
      <c r="I174" s="27">
        <v>1069.1199999999999</v>
      </c>
      <c r="J174" s="25" t="s">
        <v>9</v>
      </c>
      <c r="K174" s="25" t="s">
        <v>27</v>
      </c>
      <c r="L174" s="25" t="s">
        <v>27</v>
      </c>
      <c r="M174" s="28">
        <v>2</v>
      </c>
      <c r="N174" s="25" t="s">
        <v>21</v>
      </c>
      <c r="O174" s="26">
        <v>2</v>
      </c>
      <c r="P174" s="29">
        <v>13.433777777777777</v>
      </c>
      <c r="Q174" s="25" t="str">
        <f>EVALUATE_LOCATION(InputData[[#This Row],[Section]],InputData[[#This Row],[Forma de Pago]],InputData[[#This Row],[Ubic.Pretendida]],InputData[[#This Row],[Nro pag]])</f>
        <v xml:space="preserve"> </v>
      </c>
      <c r="R174" s="25">
        <f>ROUND(InputData[[#This Row],[AltoCm]],0)</f>
        <v>13</v>
      </c>
      <c r="S174" s="25" t="str">
        <f>InputData[[#This Row],[Col]]&amp;"x"&amp;IF(LEN(InputData[[#This Row],[Alto]])=2,InputData[[#This Row],[Alto]],"0"&amp;InputData[[#This Row],[Alto]])</f>
        <v>2x13</v>
      </c>
    </row>
    <row r="175" spans="1:19" x14ac:dyDescent="0.2">
      <c r="A175" s="25" t="s">
        <v>307</v>
      </c>
      <c r="B175" s="25" t="s">
        <v>315</v>
      </c>
      <c r="C175" s="25" t="s">
        <v>316</v>
      </c>
      <c r="D175" s="25" t="s">
        <v>317</v>
      </c>
      <c r="E175" s="25" t="s">
        <v>318</v>
      </c>
      <c r="F175" s="25" t="str">
        <f>LEFT(InputData[[#This Row],[Referencia]],32)</f>
        <v>SIRIO LIBANESA</v>
      </c>
      <c r="G175" s="25" t="s">
        <v>24</v>
      </c>
      <c r="H175" s="25" t="s">
        <v>20</v>
      </c>
      <c r="I175" s="27">
        <v>534.55999999999995</v>
      </c>
      <c r="J175" s="25" t="s">
        <v>9</v>
      </c>
      <c r="K175" s="25" t="s">
        <v>27</v>
      </c>
      <c r="L175" s="25" t="s">
        <v>27</v>
      </c>
      <c r="M175" s="28">
        <v>3</v>
      </c>
      <c r="N175" s="25" t="s">
        <v>21</v>
      </c>
      <c r="O175" s="26">
        <v>2</v>
      </c>
      <c r="P175" s="29">
        <v>6.3217777777777773</v>
      </c>
      <c r="Q175" s="25" t="str">
        <f>EVALUATE_LOCATION(InputData[[#This Row],[Section]],InputData[[#This Row],[Forma de Pago]],InputData[[#This Row],[Ubic.Pretendida]],InputData[[#This Row],[Nro pag]])</f>
        <v xml:space="preserve"> </v>
      </c>
      <c r="R175" s="25">
        <f>ROUND(InputData[[#This Row],[AltoCm]],0)</f>
        <v>6</v>
      </c>
      <c r="S175" s="25" t="str">
        <f>InputData[[#This Row],[Col]]&amp;"x"&amp;IF(LEN(InputData[[#This Row],[Alto]])=2,InputData[[#This Row],[Alto]],"0"&amp;InputData[[#This Row],[Alto]])</f>
        <v>2x06</v>
      </c>
    </row>
    <row r="176" spans="1:19" x14ac:dyDescent="0.2">
      <c r="A176" s="25" t="s">
        <v>307</v>
      </c>
      <c r="B176" s="25" t="s">
        <v>319</v>
      </c>
      <c r="C176" s="25" t="s">
        <v>320</v>
      </c>
      <c r="D176" s="25" t="s">
        <v>321</v>
      </c>
      <c r="E176" s="25" t="s">
        <v>322</v>
      </c>
      <c r="F176" s="25" t="str">
        <f>LEFT(InputData[[#This Row],[Referencia]],32)</f>
        <v>GRAN MONARCA - ALVEAR</v>
      </c>
      <c r="G176" s="25" t="s">
        <v>24</v>
      </c>
      <c r="H176" s="25" t="s">
        <v>20</v>
      </c>
      <c r="I176" s="27">
        <v>2806.44</v>
      </c>
      <c r="J176" s="25" t="s">
        <v>9</v>
      </c>
      <c r="K176" s="25" t="s">
        <v>27</v>
      </c>
      <c r="L176" s="25" t="s">
        <v>27</v>
      </c>
      <c r="M176" s="28">
        <v>3</v>
      </c>
      <c r="N176" s="25" t="s">
        <v>21</v>
      </c>
      <c r="O176" s="26">
        <v>3</v>
      </c>
      <c r="P176" s="29">
        <v>24.10177777777778</v>
      </c>
      <c r="Q176" s="25" t="str">
        <f>EVALUATE_LOCATION(InputData[[#This Row],[Section]],InputData[[#This Row],[Forma de Pago]],InputData[[#This Row],[Ubic.Pretendida]],InputData[[#This Row],[Nro pag]])</f>
        <v xml:space="preserve"> </v>
      </c>
      <c r="R176" s="25">
        <f>ROUND(InputData[[#This Row],[AltoCm]],0)</f>
        <v>24</v>
      </c>
      <c r="S176" s="25" t="str">
        <f>InputData[[#This Row],[Col]]&amp;"x"&amp;IF(LEN(InputData[[#This Row],[Alto]])=2,InputData[[#This Row],[Alto]],"0"&amp;InputData[[#This Row],[Alto]])</f>
        <v>3x24</v>
      </c>
    </row>
    <row r="177" spans="1:19" x14ac:dyDescent="0.2">
      <c r="A177" s="25" t="s">
        <v>307</v>
      </c>
      <c r="B177" s="25" t="s">
        <v>323</v>
      </c>
      <c r="C177" s="25" t="s">
        <v>324</v>
      </c>
      <c r="D177" s="25" t="s">
        <v>325</v>
      </c>
      <c r="E177" s="25" t="s">
        <v>326</v>
      </c>
      <c r="F177" s="25" t="str">
        <f>LEFT(InputData[[#This Row],[Referencia]],32)</f>
        <v>LOLA M agosto  PNT en Radio FM S</v>
      </c>
      <c r="G177" s="25" t="s">
        <v>24</v>
      </c>
      <c r="H177" s="25" t="s">
        <v>20</v>
      </c>
      <c r="I177" s="27">
        <v>4301.3500000000004</v>
      </c>
      <c r="J177" s="25" t="s">
        <v>9</v>
      </c>
      <c r="K177" s="25" t="s">
        <v>27</v>
      </c>
      <c r="L177" s="25" t="s">
        <v>27</v>
      </c>
      <c r="M177" s="28">
        <v>1</v>
      </c>
      <c r="N177" s="25" t="s">
        <v>21</v>
      </c>
      <c r="O177" s="26">
        <v>5</v>
      </c>
      <c r="P177" s="29">
        <v>9.8777777777777782</v>
      </c>
      <c r="Q177" s="25" t="str">
        <f>EVALUATE_LOCATION(InputData[[#This Row],[Section]],InputData[[#This Row],[Forma de Pago]],InputData[[#This Row],[Ubic.Pretendida]],InputData[[#This Row],[Nro pag]])</f>
        <v xml:space="preserve"> </v>
      </c>
      <c r="R177" s="25">
        <f>ROUND(InputData[[#This Row],[AltoCm]],0)</f>
        <v>10</v>
      </c>
      <c r="S177" s="25" t="str">
        <f>InputData[[#This Row],[Col]]&amp;"x"&amp;IF(LEN(InputData[[#This Row],[Alto]])=2,InputData[[#This Row],[Alto]],"0"&amp;InputData[[#This Row],[Alto]])</f>
        <v>5x10</v>
      </c>
    </row>
    <row r="178" spans="1:19" x14ac:dyDescent="0.2">
      <c r="A178" s="25" t="s">
        <v>307</v>
      </c>
      <c r="B178" s="25" t="s">
        <v>327</v>
      </c>
      <c r="C178" s="25" t="s">
        <v>328</v>
      </c>
      <c r="D178" s="25" t="s">
        <v>42</v>
      </c>
      <c r="E178" s="25" t="s">
        <v>329</v>
      </c>
      <c r="F178" s="25" t="str">
        <f>LEFT(InputData[[#This Row],[Referencia]],32)</f>
        <v>LA DELIO VALDEZ</v>
      </c>
      <c r="G178" s="25" t="s">
        <v>24</v>
      </c>
      <c r="H178" s="25" t="s">
        <v>51</v>
      </c>
      <c r="I178" s="27">
        <v>2672.8</v>
      </c>
      <c r="J178" s="25" t="s">
        <v>9</v>
      </c>
      <c r="K178" s="25" t="s">
        <v>27</v>
      </c>
      <c r="L178" s="25" t="s">
        <v>27</v>
      </c>
      <c r="M178" s="28">
        <v>4</v>
      </c>
      <c r="N178" s="25" t="s">
        <v>21</v>
      </c>
      <c r="O178" s="26">
        <v>5</v>
      </c>
      <c r="P178" s="29">
        <v>13.433777777777777</v>
      </c>
      <c r="Q178" s="25" t="str">
        <f>EVALUATE_LOCATION(InputData[[#This Row],[Section]],InputData[[#This Row],[Forma de Pago]],InputData[[#This Row],[Ubic.Pretendida]],InputData[[#This Row],[Nro pag]])</f>
        <v xml:space="preserve"> </v>
      </c>
      <c r="R178" s="25">
        <f>ROUND(InputData[[#This Row],[AltoCm]],0)</f>
        <v>13</v>
      </c>
      <c r="S178" s="25" t="str">
        <f>InputData[[#This Row],[Col]]&amp;"x"&amp;IF(LEN(InputData[[#This Row],[Alto]])=2,InputData[[#This Row],[Alto]],"0"&amp;InputData[[#This Row],[Alto]])</f>
        <v>5x13</v>
      </c>
    </row>
    <row r="179" spans="1:19" x14ac:dyDescent="0.2">
      <c r="A179" s="25" t="s">
        <v>307</v>
      </c>
      <c r="B179" s="25" t="s">
        <v>330</v>
      </c>
      <c r="C179" s="25" t="s">
        <v>331</v>
      </c>
      <c r="E179" s="25" t="s">
        <v>332</v>
      </c>
      <c r="F179" s="25" t="str">
        <f>LEFT(InputData[[#This Row],[Referencia]],32)</f>
        <v>APACHETA publicado el 9/08 - 25/</v>
      </c>
      <c r="G179" s="25" t="s">
        <v>24</v>
      </c>
      <c r="H179" s="25" t="s">
        <v>22</v>
      </c>
      <c r="I179" s="27">
        <v>3800.9</v>
      </c>
      <c r="J179" s="25" t="s">
        <v>9</v>
      </c>
      <c r="K179" s="25" t="s">
        <v>27</v>
      </c>
      <c r="L179" s="25" t="s">
        <v>27</v>
      </c>
      <c r="M179" s="28">
        <v>2</v>
      </c>
      <c r="N179" s="25" t="s">
        <v>21</v>
      </c>
      <c r="O179" s="26">
        <v>3</v>
      </c>
      <c r="P179" s="29">
        <v>13.433777777777777</v>
      </c>
      <c r="Q179" s="25" t="str">
        <f>EVALUATE_LOCATION(InputData[[#This Row],[Section]],InputData[[#This Row],[Forma de Pago]],InputData[[#This Row],[Ubic.Pretendida]],InputData[[#This Row],[Nro pag]])</f>
        <v xml:space="preserve"> </v>
      </c>
      <c r="R179" s="25">
        <f>ROUND(InputData[[#This Row],[AltoCm]],0)</f>
        <v>13</v>
      </c>
      <c r="S179" s="25" t="str">
        <f>InputData[[#This Row],[Col]]&amp;"x"&amp;IF(LEN(InputData[[#This Row],[Alto]])=2,InputData[[#This Row],[Alto]],"0"&amp;InputData[[#This Row],[Alto]])</f>
        <v>3x13</v>
      </c>
    </row>
    <row r="180" spans="1:19" x14ac:dyDescent="0.2">
      <c r="A180" s="25" t="s">
        <v>307</v>
      </c>
      <c r="B180" s="25" t="s">
        <v>333</v>
      </c>
      <c r="C180" s="25" t="s">
        <v>331</v>
      </c>
      <c r="E180" s="25" t="s">
        <v>334</v>
      </c>
      <c r="F180" s="25" t="str">
        <f>LEFT(InputData[[#This Row],[Referencia]],32)</f>
        <v>APACHETA LA YUNTA</v>
      </c>
      <c r="G180" s="25" t="s">
        <v>24</v>
      </c>
      <c r="H180" s="25" t="s">
        <v>51</v>
      </c>
      <c r="I180" s="27">
        <v>3800.9</v>
      </c>
      <c r="J180" s="25" t="s">
        <v>9</v>
      </c>
      <c r="K180" s="25" t="s">
        <v>27</v>
      </c>
      <c r="M180" s="28">
        <v>0</v>
      </c>
      <c r="N180" s="25" t="s">
        <v>32</v>
      </c>
      <c r="O180" s="26">
        <v>3</v>
      </c>
      <c r="P180" s="29">
        <v>13.433777777777777</v>
      </c>
      <c r="Q180" s="25" t="str">
        <f>EVALUATE_LOCATION(InputData[[#This Row],[Section]],InputData[[#This Row],[Forma de Pago]],InputData[[#This Row],[Ubic.Pretendida]],InputData[[#This Row],[Nro pag]])</f>
        <v xml:space="preserve"> </v>
      </c>
      <c r="R180" s="25">
        <f>ROUND(InputData[[#This Row],[AltoCm]],0)</f>
        <v>13</v>
      </c>
      <c r="S180" s="25" t="str">
        <f>InputData[[#This Row],[Col]]&amp;"x"&amp;IF(LEN(InputData[[#This Row],[Alto]])=2,InputData[[#This Row],[Alto]],"0"&amp;InputData[[#This Row],[Alto]])</f>
        <v>3x13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M1" sqref="M1"/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0.140625" style="3" customWidth="1"/>
    <col min="5" max="5" width="11.28515625" style="3" customWidth="1"/>
    <col min="6" max="6" width="5.5703125" style="3" customWidth="1"/>
    <col min="7" max="7" width="38.28515625" style="3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6" bestFit="1" customWidth="1"/>
    <col min="13" max="16384" width="11.140625" style="8"/>
  </cols>
  <sheetData>
    <row r="1" spans="1:12" s="7" customFormat="1" ht="12.7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5" t="s">
        <v>70</v>
      </c>
    </row>
    <row r="2" spans="1:12" ht="23.1" customHeight="1" x14ac:dyDescent="0.2">
      <c r="A2" s="20" t="s">
        <v>32</v>
      </c>
      <c r="B2" s="20" t="s">
        <v>307</v>
      </c>
      <c r="C2" s="21">
        <v>0</v>
      </c>
      <c r="D2" s="21" t="s">
        <v>27</v>
      </c>
      <c r="E2" s="21" t="s">
        <v>40</v>
      </c>
      <c r="F2" s="21" t="s">
        <v>193</v>
      </c>
      <c r="G2" s="21" t="s">
        <v>334</v>
      </c>
      <c r="H2" s="21" t="s">
        <v>9</v>
      </c>
      <c r="I2" s="21" t="s">
        <v>40</v>
      </c>
      <c r="J2" s="21" t="s">
        <v>51</v>
      </c>
      <c r="K2" s="21" t="s">
        <v>333</v>
      </c>
      <c r="L2" s="16">
        <v>1</v>
      </c>
    </row>
    <row r="3" spans="1:12" ht="13.5" x14ac:dyDescent="0.2">
      <c r="A3" s="11" t="s">
        <v>32</v>
      </c>
      <c r="B3" s="11"/>
      <c r="C3" s="22" t="s">
        <v>49</v>
      </c>
      <c r="D3" s="13"/>
      <c r="E3" s="13"/>
      <c r="F3" s="13"/>
      <c r="G3" s="13"/>
      <c r="H3" s="13"/>
      <c r="I3" s="13"/>
      <c r="J3" s="13"/>
      <c r="K3" s="13"/>
      <c r="L3" s="17">
        <v>1</v>
      </c>
    </row>
    <row r="4" spans="1:12" ht="23.1" customHeight="1" x14ac:dyDescent="0.2">
      <c r="A4" s="11" t="s">
        <v>32</v>
      </c>
      <c r="B4" s="20" t="s">
        <v>167</v>
      </c>
      <c r="C4" s="20">
        <v>0</v>
      </c>
      <c r="D4" s="20" t="s">
        <v>27</v>
      </c>
      <c r="E4" s="20" t="s">
        <v>40</v>
      </c>
      <c r="F4" s="20" t="s">
        <v>168</v>
      </c>
      <c r="G4" s="21" t="s">
        <v>342</v>
      </c>
      <c r="H4" s="20" t="s">
        <v>9</v>
      </c>
      <c r="I4" s="20" t="s">
        <v>42</v>
      </c>
      <c r="J4" s="20" t="s">
        <v>20</v>
      </c>
      <c r="K4" s="21" t="s">
        <v>303</v>
      </c>
      <c r="L4" s="16">
        <v>1</v>
      </c>
    </row>
    <row r="5" spans="1:12" ht="23.1" customHeight="1" x14ac:dyDescent="0.2">
      <c r="A5" s="11" t="s">
        <v>32</v>
      </c>
      <c r="B5" s="11"/>
      <c r="C5" s="11"/>
      <c r="D5" s="11"/>
      <c r="E5" s="11" t="s">
        <v>40</v>
      </c>
      <c r="F5" s="11"/>
      <c r="G5" s="21" t="s">
        <v>343</v>
      </c>
      <c r="H5" s="10" t="s">
        <v>9</v>
      </c>
      <c r="I5" s="10" t="s">
        <v>42</v>
      </c>
      <c r="J5" s="10" t="s">
        <v>20</v>
      </c>
      <c r="K5" s="21" t="s">
        <v>301</v>
      </c>
      <c r="L5" s="16">
        <v>1</v>
      </c>
    </row>
    <row r="6" spans="1:12" ht="13.5" x14ac:dyDescent="0.2">
      <c r="A6" s="11" t="s">
        <v>32</v>
      </c>
      <c r="B6" s="11"/>
      <c r="C6" s="22" t="s">
        <v>49</v>
      </c>
      <c r="D6" s="13"/>
      <c r="E6" s="13"/>
      <c r="F6" s="13"/>
      <c r="G6" s="13"/>
      <c r="H6" s="13"/>
      <c r="I6" s="13"/>
      <c r="J6" s="13"/>
      <c r="K6" s="13"/>
      <c r="L6" s="17">
        <v>2</v>
      </c>
    </row>
    <row r="7" spans="1:12" ht="23.1" customHeight="1" x14ac:dyDescent="0.2">
      <c r="A7" s="11" t="s">
        <v>32</v>
      </c>
      <c r="B7" s="20" t="s">
        <v>23</v>
      </c>
      <c r="C7" s="21">
        <v>19</v>
      </c>
      <c r="D7" s="21" t="s">
        <v>31</v>
      </c>
      <c r="E7" s="21" t="s">
        <v>217</v>
      </c>
      <c r="F7" s="21" t="s">
        <v>41</v>
      </c>
      <c r="G7" s="21" t="s">
        <v>29</v>
      </c>
      <c r="H7" s="21" t="s">
        <v>9</v>
      </c>
      <c r="I7" s="21" t="s">
        <v>42</v>
      </c>
      <c r="J7" s="21" t="s">
        <v>20</v>
      </c>
      <c r="K7" s="21" t="s">
        <v>146</v>
      </c>
      <c r="L7" s="16">
        <v>1</v>
      </c>
    </row>
    <row r="8" spans="1:12" ht="13.5" x14ac:dyDescent="0.2">
      <c r="A8" s="11" t="s">
        <v>32</v>
      </c>
      <c r="B8" s="11"/>
      <c r="C8" s="22" t="s">
        <v>220</v>
      </c>
      <c r="D8" s="13"/>
      <c r="E8" s="13"/>
      <c r="F8" s="13"/>
      <c r="G8" s="13"/>
      <c r="H8" s="13"/>
      <c r="I8" s="13"/>
      <c r="J8" s="13"/>
      <c r="K8" s="13"/>
      <c r="L8" s="17">
        <v>1</v>
      </c>
    </row>
    <row r="9" spans="1:12" ht="23.1" customHeight="1" x14ac:dyDescent="0.2">
      <c r="A9" s="11" t="s">
        <v>32</v>
      </c>
      <c r="B9" s="20" t="s">
        <v>19</v>
      </c>
      <c r="C9" s="20">
        <v>0</v>
      </c>
      <c r="D9" s="20" t="s">
        <v>712</v>
      </c>
      <c r="E9" s="20" t="s">
        <v>40</v>
      </c>
      <c r="F9" s="20" t="s">
        <v>717</v>
      </c>
      <c r="G9" s="21" t="s">
        <v>728</v>
      </c>
      <c r="H9" s="20" t="s">
        <v>50</v>
      </c>
      <c r="I9" s="20" t="s">
        <v>40</v>
      </c>
      <c r="J9" s="20" t="s">
        <v>22</v>
      </c>
      <c r="K9" s="21" t="s">
        <v>713</v>
      </c>
      <c r="L9" s="16">
        <v>1</v>
      </c>
    </row>
    <row r="10" spans="1:12" ht="23.1" customHeight="1" x14ac:dyDescent="0.2">
      <c r="A10" s="11" t="s">
        <v>32</v>
      </c>
      <c r="B10" s="11"/>
      <c r="C10" s="11"/>
      <c r="D10" s="11"/>
      <c r="E10" s="11" t="s">
        <v>40</v>
      </c>
      <c r="F10" s="11"/>
      <c r="G10" s="21" t="s">
        <v>729</v>
      </c>
      <c r="H10" s="10" t="s">
        <v>50</v>
      </c>
      <c r="I10" s="10" t="s">
        <v>40</v>
      </c>
      <c r="J10" s="10" t="s">
        <v>22</v>
      </c>
      <c r="K10" s="21" t="s">
        <v>715</v>
      </c>
      <c r="L10" s="16">
        <v>1</v>
      </c>
    </row>
    <row r="11" spans="1:12" ht="23.1" customHeight="1" x14ac:dyDescent="0.2">
      <c r="A11" s="11" t="s">
        <v>32</v>
      </c>
      <c r="B11" s="11"/>
      <c r="C11" s="11"/>
      <c r="D11" s="11"/>
      <c r="E11" s="11" t="s">
        <v>40</v>
      </c>
      <c r="F11" s="11"/>
      <c r="G11" s="21" t="s">
        <v>730</v>
      </c>
      <c r="H11" s="10" t="s">
        <v>50</v>
      </c>
      <c r="I11" s="10" t="s">
        <v>40</v>
      </c>
      <c r="J11" s="10" t="s">
        <v>22</v>
      </c>
      <c r="K11" s="21" t="s">
        <v>709</v>
      </c>
      <c r="L11" s="16">
        <v>1</v>
      </c>
    </row>
    <row r="12" spans="1:12" ht="13.5" x14ac:dyDescent="0.2">
      <c r="A12" s="11" t="s">
        <v>32</v>
      </c>
      <c r="B12" s="11"/>
      <c r="C12" s="22" t="s">
        <v>49</v>
      </c>
      <c r="D12" s="13"/>
      <c r="E12" s="13"/>
      <c r="F12" s="13"/>
      <c r="G12" s="13"/>
      <c r="H12" s="13"/>
      <c r="I12" s="13"/>
      <c r="J12" s="13"/>
      <c r="K12" s="13"/>
      <c r="L12" s="17">
        <v>3</v>
      </c>
    </row>
    <row r="13" spans="1:12" ht="23.1" customHeight="1" x14ac:dyDescent="0.2">
      <c r="A13" s="20" t="s">
        <v>40</v>
      </c>
      <c r="B13" s="20" t="s">
        <v>307</v>
      </c>
      <c r="C13" s="21">
        <v>1</v>
      </c>
      <c r="D13" s="21" t="s">
        <v>27</v>
      </c>
      <c r="E13" s="21" t="s">
        <v>40</v>
      </c>
      <c r="F13" s="21" t="s">
        <v>212</v>
      </c>
      <c r="G13" s="21" t="s">
        <v>344</v>
      </c>
      <c r="H13" s="21" t="s">
        <v>9</v>
      </c>
      <c r="I13" s="21" t="s">
        <v>325</v>
      </c>
      <c r="J13" s="21" t="s">
        <v>20</v>
      </c>
      <c r="K13" s="21" t="s">
        <v>323</v>
      </c>
      <c r="L13" s="16">
        <v>1</v>
      </c>
    </row>
    <row r="14" spans="1:12" ht="13.5" x14ac:dyDescent="0.2">
      <c r="A14" s="11" t="s">
        <v>40</v>
      </c>
      <c r="B14" s="11"/>
      <c r="C14" s="22" t="s">
        <v>213</v>
      </c>
      <c r="D14" s="13"/>
      <c r="E14" s="13"/>
      <c r="F14" s="13"/>
      <c r="G14" s="13"/>
      <c r="H14" s="13"/>
      <c r="I14" s="13"/>
      <c r="J14" s="13"/>
      <c r="K14" s="13"/>
      <c r="L14" s="17">
        <v>1</v>
      </c>
    </row>
    <row r="15" spans="1:12" ht="23.1" customHeight="1" x14ac:dyDescent="0.2">
      <c r="A15" s="11" t="s">
        <v>40</v>
      </c>
      <c r="B15" s="11"/>
      <c r="C15" s="20">
        <v>2</v>
      </c>
      <c r="D15" s="20" t="s">
        <v>27</v>
      </c>
      <c r="E15" s="20" t="s">
        <v>40</v>
      </c>
      <c r="F15" s="21" t="s">
        <v>335</v>
      </c>
      <c r="G15" s="21" t="s">
        <v>314</v>
      </c>
      <c r="H15" s="20" t="s">
        <v>9</v>
      </c>
      <c r="I15" s="21" t="s">
        <v>313</v>
      </c>
      <c r="J15" s="21" t="s">
        <v>51</v>
      </c>
      <c r="K15" s="21" t="s">
        <v>312</v>
      </c>
      <c r="L15" s="16">
        <v>1</v>
      </c>
    </row>
    <row r="16" spans="1:12" ht="23.1" customHeight="1" x14ac:dyDescent="0.2">
      <c r="A16" s="11" t="s">
        <v>40</v>
      </c>
      <c r="B16" s="11"/>
      <c r="C16" s="11"/>
      <c r="D16" s="11"/>
      <c r="E16" s="11" t="s">
        <v>40</v>
      </c>
      <c r="F16" s="21" t="s">
        <v>71</v>
      </c>
      <c r="G16" s="21" t="s">
        <v>311</v>
      </c>
      <c r="H16" s="10" t="s">
        <v>9</v>
      </c>
      <c r="I16" s="21" t="s">
        <v>310</v>
      </c>
      <c r="J16" s="21" t="s">
        <v>20</v>
      </c>
      <c r="K16" s="21" t="s">
        <v>308</v>
      </c>
      <c r="L16" s="16">
        <v>1</v>
      </c>
    </row>
    <row r="17" spans="1:12" ht="23.1" customHeight="1" x14ac:dyDescent="0.2">
      <c r="A17" s="11" t="s">
        <v>40</v>
      </c>
      <c r="B17" s="11"/>
      <c r="C17" s="11"/>
      <c r="D17" s="11"/>
      <c r="E17" s="11" t="s">
        <v>40</v>
      </c>
      <c r="F17" s="21" t="s">
        <v>193</v>
      </c>
      <c r="G17" s="21" t="s">
        <v>345</v>
      </c>
      <c r="H17" s="10" t="s">
        <v>9</v>
      </c>
      <c r="I17" s="21" t="s">
        <v>40</v>
      </c>
      <c r="J17" s="21" t="s">
        <v>22</v>
      </c>
      <c r="K17" s="21" t="s">
        <v>330</v>
      </c>
      <c r="L17" s="16">
        <v>1</v>
      </c>
    </row>
    <row r="18" spans="1:12" ht="13.5" x14ac:dyDescent="0.2">
      <c r="A18" s="11" t="s">
        <v>40</v>
      </c>
      <c r="B18" s="11"/>
      <c r="C18" s="22" t="s">
        <v>214</v>
      </c>
      <c r="D18" s="13"/>
      <c r="E18" s="13"/>
      <c r="F18" s="13"/>
      <c r="G18" s="13"/>
      <c r="H18" s="13"/>
      <c r="I18" s="13"/>
      <c r="J18" s="13"/>
      <c r="K18" s="13"/>
      <c r="L18" s="17">
        <v>3</v>
      </c>
    </row>
    <row r="19" spans="1:12" ht="23.1" customHeight="1" x14ac:dyDescent="0.2">
      <c r="A19" s="11" t="s">
        <v>40</v>
      </c>
      <c r="B19" s="11"/>
      <c r="C19" s="20">
        <v>3</v>
      </c>
      <c r="D19" s="20" t="s">
        <v>27</v>
      </c>
      <c r="E19" s="20" t="s">
        <v>40</v>
      </c>
      <c r="F19" s="21" t="s">
        <v>182</v>
      </c>
      <c r="G19" s="21" t="s">
        <v>318</v>
      </c>
      <c r="H19" s="20" t="s">
        <v>9</v>
      </c>
      <c r="I19" s="21" t="s">
        <v>317</v>
      </c>
      <c r="J19" s="20" t="s">
        <v>20</v>
      </c>
      <c r="K19" s="21" t="s">
        <v>315</v>
      </c>
      <c r="L19" s="16">
        <v>1</v>
      </c>
    </row>
    <row r="20" spans="1:12" ht="23.1" customHeight="1" x14ac:dyDescent="0.2">
      <c r="A20" s="11" t="s">
        <v>40</v>
      </c>
      <c r="B20" s="11"/>
      <c r="C20" s="11"/>
      <c r="D20" s="11"/>
      <c r="E20" s="11" t="s">
        <v>40</v>
      </c>
      <c r="F20" s="21" t="s">
        <v>336</v>
      </c>
      <c r="G20" s="21" t="s">
        <v>322</v>
      </c>
      <c r="H20" s="10" t="s">
        <v>9</v>
      </c>
      <c r="I20" s="21" t="s">
        <v>321</v>
      </c>
      <c r="J20" s="10" t="s">
        <v>20</v>
      </c>
      <c r="K20" s="21" t="s">
        <v>319</v>
      </c>
      <c r="L20" s="16">
        <v>1</v>
      </c>
    </row>
    <row r="21" spans="1:12" ht="13.5" x14ac:dyDescent="0.2">
      <c r="A21" s="11" t="s">
        <v>40</v>
      </c>
      <c r="B21" s="11"/>
      <c r="C21" s="22" t="s">
        <v>73</v>
      </c>
      <c r="D21" s="13"/>
      <c r="E21" s="13"/>
      <c r="F21" s="13"/>
      <c r="G21" s="13"/>
      <c r="H21" s="13"/>
      <c r="I21" s="13"/>
      <c r="J21" s="13"/>
      <c r="K21" s="13"/>
      <c r="L21" s="17">
        <v>2</v>
      </c>
    </row>
    <row r="22" spans="1:12" ht="23.1" customHeight="1" x14ac:dyDescent="0.2">
      <c r="A22" s="11" t="s">
        <v>40</v>
      </c>
      <c r="B22" s="11"/>
      <c r="C22" s="21">
        <v>4</v>
      </c>
      <c r="D22" s="21" t="s">
        <v>27</v>
      </c>
      <c r="E22" s="21" t="s">
        <v>40</v>
      </c>
      <c r="F22" s="21" t="s">
        <v>168</v>
      </c>
      <c r="G22" s="21" t="s">
        <v>329</v>
      </c>
      <c r="H22" s="21" t="s">
        <v>9</v>
      </c>
      <c r="I22" s="21" t="s">
        <v>42</v>
      </c>
      <c r="J22" s="21" t="s">
        <v>51</v>
      </c>
      <c r="K22" s="21" t="s">
        <v>327</v>
      </c>
      <c r="L22" s="16">
        <v>1</v>
      </c>
    </row>
    <row r="23" spans="1:12" ht="13.5" x14ac:dyDescent="0.2">
      <c r="A23" s="11" t="s">
        <v>40</v>
      </c>
      <c r="B23" s="11"/>
      <c r="C23" s="22" t="s">
        <v>150</v>
      </c>
      <c r="D23" s="13"/>
      <c r="E23" s="13"/>
      <c r="F23" s="13"/>
      <c r="G23" s="13"/>
      <c r="H23" s="13"/>
      <c r="I23" s="13"/>
      <c r="J23" s="13"/>
      <c r="K23" s="13"/>
      <c r="L23" s="17">
        <v>1</v>
      </c>
    </row>
    <row r="24" spans="1:12" ht="23.1" customHeight="1" x14ac:dyDescent="0.2">
      <c r="A24" s="11" t="s">
        <v>40</v>
      </c>
      <c r="B24" s="20" t="s">
        <v>167</v>
      </c>
      <c r="C24" s="21">
        <v>0</v>
      </c>
      <c r="D24" s="21" t="s">
        <v>27</v>
      </c>
      <c r="E24" s="21" t="s">
        <v>40</v>
      </c>
      <c r="F24" s="21" t="s">
        <v>212</v>
      </c>
      <c r="G24" s="21" t="s">
        <v>306</v>
      </c>
      <c r="H24" s="21" t="s">
        <v>9</v>
      </c>
      <c r="I24" s="21" t="s">
        <v>42</v>
      </c>
      <c r="J24" s="21" t="s">
        <v>20</v>
      </c>
      <c r="K24" s="21" t="s">
        <v>305</v>
      </c>
      <c r="L24" s="16">
        <v>1</v>
      </c>
    </row>
    <row r="25" spans="1:12" ht="13.5" x14ac:dyDescent="0.2">
      <c r="A25" s="11" t="s">
        <v>40</v>
      </c>
      <c r="B25" s="11"/>
      <c r="C25" s="22" t="s">
        <v>49</v>
      </c>
      <c r="D25" s="13"/>
      <c r="E25" s="13"/>
      <c r="F25" s="13"/>
      <c r="G25" s="13"/>
      <c r="H25" s="13"/>
      <c r="I25" s="13"/>
      <c r="J25" s="13"/>
      <c r="K25" s="13"/>
      <c r="L25" s="17">
        <v>1</v>
      </c>
    </row>
    <row r="26" spans="1:12" ht="23.1" customHeight="1" x14ac:dyDescent="0.2">
      <c r="A26" s="11" t="s">
        <v>40</v>
      </c>
      <c r="B26" s="11"/>
      <c r="C26" s="21">
        <v>4</v>
      </c>
      <c r="D26" s="21" t="s">
        <v>43</v>
      </c>
      <c r="E26" s="21" t="s">
        <v>40</v>
      </c>
      <c r="F26" s="21" t="s">
        <v>168</v>
      </c>
      <c r="G26" s="21" t="s">
        <v>166</v>
      </c>
      <c r="H26" s="21" t="s">
        <v>9</v>
      </c>
      <c r="I26" s="21" t="s">
        <v>165</v>
      </c>
      <c r="J26" s="21" t="s">
        <v>51</v>
      </c>
      <c r="K26" s="21" t="s">
        <v>210</v>
      </c>
      <c r="L26" s="16">
        <v>1</v>
      </c>
    </row>
    <row r="27" spans="1:12" ht="13.5" x14ac:dyDescent="0.2">
      <c r="A27" s="11" t="s">
        <v>40</v>
      </c>
      <c r="B27" s="11"/>
      <c r="C27" s="22" t="s">
        <v>150</v>
      </c>
      <c r="D27" s="13"/>
      <c r="E27" s="13"/>
      <c r="F27" s="13"/>
      <c r="G27" s="13"/>
      <c r="H27" s="13"/>
      <c r="I27" s="13"/>
      <c r="J27" s="13"/>
      <c r="K27" s="13"/>
      <c r="L27" s="17">
        <v>1</v>
      </c>
    </row>
    <row r="28" spans="1:12" ht="23.1" customHeight="1" x14ac:dyDescent="0.2">
      <c r="A28" s="11" t="s">
        <v>40</v>
      </c>
      <c r="B28" s="20" t="s">
        <v>178</v>
      </c>
      <c r="C28" s="20">
        <v>0</v>
      </c>
      <c r="D28" s="20" t="s">
        <v>180</v>
      </c>
      <c r="E28" s="20" t="s">
        <v>40</v>
      </c>
      <c r="F28" s="21" t="s">
        <v>149</v>
      </c>
      <c r="G28" s="21" t="s">
        <v>346</v>
      </c>
      <c r="H28" s="21" t="s">
        <v>9</v>
      </c>
      <c r="I28" s="21" t="s">
        <v>40</v>
      </c>
      <c r="J28" s="21" t="s">
        <v>22</v>
      </c>
      <c r="K28" s="21" t="s">
        <v>278</v>
      </c>
      <c r="L28" s="16">
        <v>1</v>
      </c>
    </row>
    <row r="29" spans="1:12" ht="23.1" customHeight="1" x14ac:dyDescent="0.2">
      <c r="A29" s="11" t="s">
        <v>40</v>
      </c>
      <c r="B29" s="11"/>
      <c r="C29" s="11"/>
      <c r="D29" s="11"/>
      <c r="E29" s="11" t="s">
        <v>40</v>
      </c>
      <c r="F29" s="21" t="s">
        <v>337</v>
      </c>
      <c r="G29" s="21" t="s">
        <v>283</v>
      </c>
      <c r="H29" s="21" t="s">
        <v>50</v>
      </c>
      <c r="I29" s="21" t="s">
        <v>282</v>
      </c>
      <c r="J29" s="21" t="s">
        <v>20</v>
      </c>
      <c r="K29" s="21" t="s">
        <v>281</v>
      </c>
      <c r="L29" s="16">
        <v>1</v>
      </c>
    </row>
    <row r="30" spans="1:12" ht="23.1" customHeight="1" x14ac:dyDescent="0.2">
      <c r="A30" s="11" t="s">
        <v>40</v>
      </c>
      <c r="B30" s="11"/>
      <c r="C30" s="11"/>
      <c r="D30" s="11"/>
      <c r="E30" s="11" t="s">
        <v>40</v>
      </c>
      <c r="F30" s="21" t="s">
        <v>182</v>
      </c>
      <c r="G30" s="21" t="s">
        <v>347</v>
      </c>
      <c r="H30" s="20" t="s">
        <v>9</v>
      </c>
      <c r="I30" s="20" t="s">
        <v>40</v>
      </c>
      <c r="J30" s="20" t="s">
        <v>22</v>
      </c>
      <c r="K30" s="21" t="s">
        <v>289</v>
      </c>
      <c r="L30" s="16">
        <v>1</v>
      </c>
    </row>
    <row r="31" spans="1:12" ht="23.1" customHeight="1" x14ac:dyDescent="0.2">
      <c r="A31" s="11" t="s">
        <v>40</v>
      </c>
      <c r="B31" s="11"/>
      <c r="C31" s="11"/>
      <c r="D31" s="11"/>
      <c r="E31" s="11" t="s">
        <v>40</v>
      </c>
      <c r="F31" s="20" t="s">
        <v>72</v>
      </c>
      <c r="G31" s="21" t="s">
        <v>348</v>
      </c>
      <c r="H31" s="10" t="s">
        <v>9</v>
      </c>
      <c r="I31" s="10" t="s">
        <v>40</v>
      </c>
      <c r="J31" s="10" t="s">
        <v>22</v>
      </c>
      <c r="K31" s="21" t="s">
        <v>295</v>
      </c>
      <c r="L31" s="16">
        <v>1</v>
      </c>
    </row>
    <row r="32" spans="1:12" ht="23.1" customHeight="1" x14ac:dyDescent="0.2">
      <c r="A32" s="11" t="s">
        <v>40</v>
      </c>
      <c r="B32" s="11"/>
      <c r="C32" s="11"/>
      <c r="D32" s="11"/>
      <c r="E32" s="11" t="s">
        <v>40</v>
      </c>
      <c r="F32" s="11"/>
      <c r="G32" s="20" t="s">
        <v>349</v>
      </c>
      <c r="H32" s="10" t="s">
        <v>9</v>
      </c>
      <c r="I32" s="10" t="s">
        <v>40</v>
      </c>
      <c r="J32" s="10" t="s">
        <v>22</v>
      </c>
      <c r="K32" s="21" t="s">
        <v>284</v>
      </c>
      <c r="L32" s="16">
        <v>1</v>
      </c>
    </row>
    <row r="33" spans="1:12" ht="23.1" customHeight="1" x14ac:dyDescent="0.2">
      <c r="A33" s="11" t="s">
        <v>40</v>
      </c>
      <c r="B33" s="11"/>
      <c r="C33" s="11"/>
      <c r="D33" s="11"/>
      <c r="E33" s="11" t="s">
        <v>40</v>
      </c>
      <c r="F33" s="11"/>
      <c r="G33" s="11"/>
      <c r="H33" s="11" t="s">
        <v>9</v>
      </c>
      <c r="I33" s="11" t="s">
        <v>40</v>
      </c>
      <c r="J33" s="11" t="s">
        <v>22</v>
      </c>
      <c r="K33" s="23" t="s">
        <v>287</v>
      </c>
      <c r="L33" s="18">
        <v>1</v>
      </c>
    </row>
    <row r="34" spans="1:12" ht="23.1" customHeight="1" x14ac:dyDescent="0.2">
      <c r="A34" s="11" t="s">
        <v>40</v>
      </c>
      <c r="B34" s="11"/>
      <c r="C34" s="11"/>
      <c r="D34" s="11"/>
      <c r="E34" s="11" t="s">
        <v>40</v>
      </c>
      <c r="F34" s="11"/>
      <c r="G34" s="21" t="s">
        <v>350</v>
      </c>
      <c r="H34" s="10" t="s">
        <v>9</v>
      </c>
      <c r="I34" s="10" t="s">
        <v>40</v>
      </c>
      <c r="J34" s="10" t="s">
        <v>22</v>
      </c>
      <c r="K34" s="21" t="s">
        <v>292</v>
      </c>
      <c r="L34" s="16">
        <v>1</v>
      </c>
    </row>
    <row r="35" spans="1:12" ht="23.1" customHeight="1" x14ac:dyDescent="0.2">
      <c r="A35" s="11" t="s">
        <v>40</v>
      </c>
      <c r="B35" s="11"/>
      <c r="C35" s="11"/>
      <c r="D35" s="11"/>
      <c r="E35" s="11" t="s">
        <v>40</v>
      </c>
      <c r="F35" s="21" t="s">
        <v>71</v>
      </c>
      <c r="G35" s="21" t="s">
        <v>351</v>
      </c>
      <c r="H35" s="10" t="s">
        <v>9</v>
      </c>
      <c r="I35" s="10" t="s">
        <v>40</v>
      </c>
      <c r="J35" s="10" t="s">
        <v>22</v>
      </c>
      <c r="K35" s="21" t="s">
        <v>298</v>
      </c>
      <c r="L35" s="16">
        <v>1</v>
      </c>
    </row>
    <row r="36" spans="1:12" ht="13.5" x14ac:dyDescent="0.2">
      <c r="A36" s="11" t="s">
        <v>40</v>
      </c>
      <c r="B36" s="11"/>
      <c r="C36" s="22" t="s">
        <v>49</v>
      </c>
      <c r="D36" s="13"/>
      <c r="E36" s="13"/>
      <c r="F36" s="13"/>
      <c r="G36" s="13"/>
      <c r="H36" s="13"/>
      <c r="I36" s="13"/>
      <c r="J36" s="13"/>
      <c r="K36" s="13"/>
      <c r="L36" s="17">
        <v>8</v>
      </c>
    </row>
    <row r="37" spans="1:12" ht="23.1" customHeight="1" x14ac:dyDescent="0.2">
      <c r="A37" s="11" t="s">
        <v>40</v>
      </c>
      <c r="B37" s="20" t="s">
        <v>33</v>
      </c>
      <c r="C37" s="20">
        <v>0</v>
      </c>
      <c r="D37" s="20" t="s">
        <v>35</v>
      </c>
      <c r="E37" s="20" t="s">
        <v>40</v>
      </c>
      <c r="F37" s="20" t="s">
        <v>74</v>
      </c>
      <c r="G37" s="21" t="s">
        <v>352</v>
      </c>
      <c r="H37" s="20" t="s">
        <v>50</v>
      </c>
      <c r="I37" s="20" t="s">
        <v>40</v>
      </c>
      <c r="J37" s="20" t="s">
        <v>22</v>
      </c>
      <c r="K37" s="21" t="s">
        <v>275</v>
      </c>
      <c r="L37" s="16">
        <v>1</v>
      </c>
    </row>
    <row r="38" spans="1:12" ht="23.1" customHeight="1" x14ac:dyDescent="0.2">
      <c r="A38" s="11" t="s">
        <v>40</v>
      </c>
      <c r="B38" s="11"/>
      <c r="C38" s="11"/>
      <c r="D38" s="11"/>
      <c r="E38" s="11" t="s">
        <v>40</v>
      </c>
      <c r="F38" s="11"/>
      <c r="G38" s="21" t="s">
        <v>124</v>
      </c>
      <c r="H38" s="10" t="s">
        <v>50</v>
      </c>
      <c r="I38" s="10" t="s">
        <v>40</v>
      </c>
      <c r="J38" s="10" t="s">
        <v>22</v>
      </c>
      <c r="K38" s="21" t="s">
        <v>128</v>
      </c>
      <c r="L38" s="16">
        <v>1</v>
      </c>
    </row>
    <row r="39" spans="1:12" ht="23.1" customHeight="1" x14ac:dyDescent="0.2">
      <c r="A39" s="11" t="s">
        <v>40</v>
      </c>
      <c r="B39" s="11"/>
      <c r="C39" s="11"/>
      <c r="D39" s="11"/>
      <c r="E39" s="11" t="s">
        <v>40</v>
      </c>
      <c r="F39" s="11"/>
      <c r="G39" s="21" t="s">
        <v>84</v>
      </c>
      <c r="H39" s="10" t="s">
        <v>50</v>
      </c>
      <c r="I39" s="10" t="s">
        <v>40</v>
      </c>
      <c r="J39" s="10" t="s">
        <v>22</v>
      </c>
      <c r="K39" s="21" t="s">
        <v>192</v>
      </c>
      <c r="L39" s="16">
        <v>1</v>
      </c>
    </row>
    <row r="40" spans="1:12" ht="23.1" customHeight="1" x14ac:dyDescent="0.2">
      <c r="A40" s="11" t="s">
        <v>40</v>
      </c>
      <c r="B40" s="11"/>
      <c r="C40" s="11"/>
      <c r="D40" s="11"/>
      <c r="E40" s="11" t="s">
        <v>40</v>
      </c>
      <c r="F40" s="20" t="s">
        <v>75</v>
      </c>
      <c r="G40" s="21" t="s">
        <v>159</v>
      </c>
      <c r="H40" s="10" t="s">
        <v>50</v>
      </c>
      <c r="I40" s="10" t="s">
        <v>40</v>
      </c>
      <c r="J40" s="10" t="s">
        <v>22</v>
      </c>
      <c r="K40" s="21" t="s">
        <v>156</v>
      </c>
      <c r="L40" s="16">
        <v>1</v>
      </c>
    </row>
    <row r="41" spans="1:12" ht="23.1" customHeight="1" x14ac:dyDescent="0.2">
      <c r="A41" s="11" t="s">
        <v>40</v>
      </c>
      <c r="B41" s="11"/>
      <c r="C41" s="11"/>
      <c r="D41" s="11"/>
      <c r="E41" s="11" t="s">
        <v>40</v>
      </c>
      <c r="F41" s="11"/>
      <c r="G41" s="21" t="s">
        <v>111</v>
      </c>
      <c r="H41" s="10" t="s">
        <v>50</v>
      </c>
      <c r="I41" s="10" t="s">
        <v>40</v>
      </c>
      <c r="J41" s="10" t="s">
        <v>22</v>
      </c>
      <c r="K41" s="21" t="s">
        <v>109</v>
      </c>
      <c r="L41" s="16">
        <v>1</v>
      </c>
    </row>
    <row r="42" spans="1:12" ht="23.1" customHeight="1" x14ac:dyDescent="0.2">
      <c r="A42" s="11" t="s">
        <v>40</v>
      </c>
      <c r="B42" s="11"/>
      <c r="C42" s="11"/>
      <c r="D42" s="21" t="s">
        <v>54</v>
      </c>
      <c r="E42" s="10" t="s">
        <v>40</v>
      </c>
      <c r="F42" s="21" t="s">
        <v>76</v>
      </c>
      <c r="G42" s="21" t="s">
        <v>55</v>
      </c>
      <c r="H42" s="10" t="s">
        <v>50</v>
      </c>
      <c r="I42" s="21" t="s">
        <v>148</v>
      </c>
      <c r="J42" s="21" t="s">
        <v>20</v>
      </c>
      <c r="K42" s="21" t="s">
        <v>147</v>
      </c>
      <c r="L42" s="16">
        <v>1</v>
      </c>
    </row>
    <row r="43" spans="1:12" ht="23.1" customHeight="1" x14ac:dyDescent="0.2">
      <c r="A43" s="11" t="s">
        <v>40</v>
      </c>
      <c r="B43" s="11"/>
      <c r="C43" s="11"/>
      <c r="D43" s="20" t="s">
        <v>62</v>
      </c>
      <c r="E43" s="10" t="s">
        <v>40</v>
      </c>
      <c r="F43" s="21" t="s">
        <v>74</v>
      </c>
      <c r="G43" s="21" t="s">
        <v>95</v>
      </c>
      <c r="H43" s="10" t="s">
        <v>50</v>
      </c>
      <c r="I43" s="20" t="s">
        <v>40</v>
      </c>
      <c r="J43" s="20" t="s">
        <v>22</v>
      </c>
      <c r="K43" s="21" t="s">
        <v>91</v>
      </c>
      <c r="L43" s="16">
        <v>1</v>
      </c>
    </row>
    <row r="44" spans="1:12" ht="23.1" customHeight="1" x14ac:dyDescent="0.2">
      <c r="A44" s="11" t="s">
        <v>40</v>
      </c>
      <c r="B44" s="11"/>
      <c r="C44" s="11"/>
      <c r="D44" s="11"/>
      <c r="E44" s="11" t="s">
        <v>40</v>
      </c>
      <c r="F44" s="21" t="s">
        <v>75</v>
      </c>
      <c r="G44" s="21" t="s">
        <v>77</v>
      </c>
      <c r="H44" s="10" t="s">
        <v>50</v>
      </c>
      <c r="I44" s="10" t="s">
        <v>40</v>
      </c>
      <c r="J44" s="10" t="s">
        <v>22</v>
      </c>
      <c r="K44" s="21" t="s">
        <v>191</v>
      </c>
      <c r="L44" s="16">
        <v>1</v>
      </c>
    </row>
    <row r="45" spans="1:12" ht="23.1" customHeight="1" x14ac:dyDescent="0.2">
      <c r="A45" s="11" t="s">
        <v>40</v>
      </c>
      <c r="B45" s="11"/>
      <c r="C45" s="11"/>
      <c r="D45" s="20" t="s">
        <v>56</v>
      </c>
      <c r="E45" s="10" t="s">
        <v>40</v>
      </c>
      <c r="F45" s="20" t="s">
        <v>78</v>
      </c>
      <c r="G45" s="21" t="s">
        <v>79</v>
      </c>
      <c r="H45" s="10" t="s">
        <v>50</v>
      </c>
      <c r="I45" s="10" t="s">
        <v>40</v>
      </c>
      <c r="J45" s="10" t="s">
        <v>22</v>
      </c>
      <c r="K45" s="21" t="s">
        <v>101</v>
      </c>
      <c r="L45" s="16">
        <v>1</v>
      </c>
    </row>
    <row r="46" spans="1:12" ht="23.1" customHeight="1" x14ac:dyDescent="0.2">
      <c r="A46" s="11" t="s">
        <v>40</v>
      </c>
      <c r="B46" s="11"/>
      <c r="C46" s="11"/>
      <c r="D46" s="11"/>
      <c r="E46" s="11" t="s">
        <v>40</v>
      </c>
      <c r="F46" s="11"/>
      <c r="G46" s="21" t="s">
        <v>117</v>
      </c>
      <c r="H46" s="21" t="s">
        <v>9</v>
      </c>
      <c r="I46" s="10" t="s">
        <v>40</v>
      </c>
      <c r="J46" s="10" t="s">
        <v>22</v>
      </c>
      <c r="K46" s="21" t="s">
        <v>114</v>
      </c>
      <c r="L46" s="16">
        <v>1</v>
      </c>
    </row>
    <row r="47" spans="1:12" ht="23.1" customHeight="1" x14ac:dyDescent="0.2">
      <c r="A47" s="11" t="s">
        <v>40</v>
      </c>
      <c r="B47" s="11"/>
      <c r="C47" s="11"/>
      <c r="D47" s="20" t="s">
        <v>99</v>
      </c>
      <c r="E47" s="10" t="s">
        <v>40</v>
      </c>
      <c r="F47" s="21" t="s">
        <v>74</v>
      </c>
      <c r="G47" s="21" t="s">
        <v>100</v>
      </c>
      <c r="H47" s="20" t="s">
        <v>50</v>
      </c>
      <c r="I47" s="10" t="s">
        <v>40</v>
      </c>
      <c r="J47" s="10" t="s">
        <v>22</v>
      </c>
      <c r="K47" s="21" t="s">
        <v>274</v>
      </c>
      <c r="L47" s="16">
        <v>1</v>
      </c>
    </row>
    <row r="48" spans="1:12" ht="23.1" customHeight="1" x14ac:dyDescent="0.2">
      <c r="A48" s="11" t="s">
        <v>40</v>
      </c>
      <c r="B48" s="11"/>
      <c r="C48" s="11"/>
      <c r="D48" s="11"/>
      <c r="E48" s="11" t="s">
        <v>40</v>
      </c>
      <c r="F48" s="20" t="s">
        <v>75</v>
      </c>
      <c r="G48" s="21" t="s">
        <v>121</v>
      </c>
      <c r="H48" s="10" t="s">
        <v>50</v>
      </c>
      <c r="I48" s="10" t="s">
        <v>40</v>
      </c>
      <c r="J48" s="10" t="s">
        <v>22</v>
      </c>
      <c r="K48" s="21" t="s">
        <v>118</v>
      </c>
      <c r="L48" s="16">
        <v>1</v>
      </c>
    </row>
    <row r="49" spans="1:12" ht="23.1" customHeight="1" x14ac:dyDescent="0.2">
      <c r="A49" s="11" t="s">
        <v>40</v>
      </c>
      <c r="B49" s="11"/>
      <c r="C49" s="11"/>
      <c r="D49" s="11"/>
      <c r="E49" s="11" t="s">
        <v>40</v>
      </c>
      <c r="F49" s="11"/>
      <c r="G49" s="21" t="s">
        <v>112</v>
      </c>
      <c r="H49" s="10" t="s">
        <v>50</v>
      </c>
      <c r="I49" s="10" t="s">
        <v>40</v>
      </c>
      <c r="J49" s="10" t="s">
        <v>22</v>
      </c>
      <c r="K49" s="21" t="s">
        <v>106</v>
      </c>
      <c r="L49" s="16">
        <v>1</v>
      </c>
    </row>
    <row r="50" spans="1:12" ht="23.1" customHeight="1" x14ac:dyDescent="0.2">
      <c r="A50" s="11" t="s">
        <v>40</v>
      </c>
      <c r="B50" s="11"/>
      <c r="C50" s="11"/>
      <c r="D50" s="21" t="s">
        <v>105</v>
      </c>
      <c r="E50" s="10" t="s">
        <v>40</v>
      </c>
      <c r="F50" s="21" t="s">
        <v>76</v>
      </c>
      <c r="G50" s="21" t="s">
        <v>113</v>
      </c>
      <c r="H50" s="10" t="s">
        <v>50</v>
      </c>
      <c r="I50" s="10" t="s">
        <v>40</v>
      </c>
      <c r="J50" s="10" t="s">
        <v>22</v>
      </c>
      <c r="K50" s="21" t="s">
        <v>102</v>
      </c>
      <c r="L50" s="16">
        <v>1</v>
      </c>
    </row>
    <row r="51" spans="1:12" ht="13.5" x14ac:dyDescent="0.2">
      <c r="A51" s="11" t="s">
        <v>40</v>
      </c>
      <c r="B51" s="11"/>
      <c r="C51" s="22" t="s">
        <v>49</v>
      </c>
      <c r="D51" s="13"/>
      <c r="E51" s="13"/>
      <c r="F51" s="13"/>
      <c r="G51" s="13"/>
      <c r="H51" s="13"/>
      <c r="I51" s="13"/>
      <c r="J51" s="13"/>
      <c r="K51" s="13"/>
      <c r="L51" s="17">
        <v>14</v>
      </c>
    </row>
    <row r="52" spans="1:12" ht="23.1" customHeight="1" x14ac:dyDescent="0.2">
      <c r="A52" s="11" t="s">
        <v>40</v>
      </c>
      <c r="B52" s="20" t="s">
        <v>23</v>
      </c>
      <c r="C52" s="20">
        <v>0</v>
      </c>
      <c r="D52" s="21" t="s">
        <v>28</v>
      </c>
      <c r="E52" s="20" t="s">
        <v>40</v>
      </c>
      <c r="F52" s="21" t="s">
        <v>75</v>
      </c>
      <c r="G52" s="21" t="s">
        <v>59</v>
      </c>
      <c r="H52" s="20" t="s">
        <v>9</v>
      </c>
      <c r="I52" s="21" t="s">
        <v>141</v>
      </c>
      <c r="J52" s="21" t="s">
        <v>20</v>
      </c>
      <c r="K52" s="21" t="s">
        <v>140</v>
      </c>
      <c r="L52" s="16">
        <v>1</v>
      </c>
    </row>
    <row r="53" spans="1:12" ht="23.1" customHeight="1" x14ac:dyDescent="0.2">
      <c r="A53" s="11" t="s">
        <v>40</v>
      </c>
      <c r="B53" s="11"/>
      <c r="C53" s="11"/>
      <c r="D53" s="21" t="s">
        <v>43</v>
      </c>
      <c r="E53" s="10" t="s">
        <v>40</v>
      </c>
      <c r="F53" s="21" t="s">
        <v>41</v>
      </c>
      <c r="G53" s="21" t="s">
        <v>163</v>
      </c>
      <c r="H53" s="10" t="s">
        <v>9</v>
      </c>
      <c r="I53" s="21" t="s">
        <v>162</v>
      </c>
      <c r="J53" s="21" t="s">
        <v>51</v>
      </c>
      <c r="K53" s="21" t="s">
        <v>187</v>
      </c>
      <c r="L53" s="16">
        <v>1</v>
      </c>
    </row>
    <row r="54" spans="1:12" ht="13.5" x14ac:dyDescent="0.2">
      <c r="A54" s="11" t="s">
        <v>40</v>
      </c>
      <c r="B54" s="11"/>
      <c r="C54" s="22" t="s">
        <v>49</v>
      </c>
      <c r="D54" s="13"/>
      <c r="E54" s="13"/>
      <c r="F54" s="13"/>
      <c r="G54" s="13"/>
      <c r="H54" s="13"/>
      <c r="I54" s="13"/>
      <c r="J54" s="13"/>
      <c r="K54" s="13"/>
      <c r="L54" s="17">
        <v>2</v>
      </c>
    </row>
    <row r="55" spans="1:12" ht="23.1" customHeight="1" x14ac:dyDescent="0.2">
      <c r="A55" s="11" t="s">
        <v>40</v>
      </c>
      <c r="B55" s="11"/>
      <c r="C55" s="21">
        <v>3</v>
      </c>
      <c r="D55" s="21" t="s">
        <v>189</v>
      </c>
      <c r="E55" s="21" t="s">
        <v>40</v>
      </c>
      <c r="F55" s="21" t="s">
        <v>131</v>
      </c>
      <c r="G55" s="21" t="s">
        <v>353</v>
      </c>
      <c r="H55" s="21" t="s">
        <v>9</v>
      </c>
      <c r="I55" s="21" t="s">
        <v>42</v>
      </c>
      <c r="J55" s="21" t="s">
        <v>20</v>
      </c>
      <c r="K55" s="21" t="s">
        <v>247</v>
      </c>
      <c r="L55" s="16">
        <v>1</v>
      </c>
    </row>
    <row r="56" spans="1:12" ht="13.5" x14ac:dyDescent="0.2">
      <c r="A56" s="11" t="s">
        <v>40</v>
      </c>
      <c r="B56" s="11"/>
      <c r="C56" s="22" t="s">
        <v>73</v>
      </c>
      <c r="D56" s="13"/>
      <c r="E56" s="13"/>
      <c r="F56" s="13"/>
      <c r="G56" s="13"/>
      <c r="H56" s="13"/>
      <c r="I56" s="13"/>
      <c r="J56" s="13"/>
      <c r="K56" s="13"/>
      <c r="L56" s="17">
        <v>1</v>
      </c>
    </row>
    <row r="57" spans="1:12" ht="23.1" customHeight="1" x14ac:dyDescent="0.2">
      <c r="A57" s="11" t="s">
        <v>40</v>
      </c>
      <c r="B57" s="11"/>
      <c r="C57" s="21">
        <v>6</v>
      </c>
      <c r="D57" s="21" t="s">
        <v>160</v>
      </c>
      <c r="E57" s="21" t="s">
        <v>40</v>
      </c>
      <c r="F57" s="21" t="s">
        <v>72</v>
      </c>
      <c r="G57" s="21" t="s">
        <v>251</v>
      </c>
      <c r="H57" s="21" t="s">
        <v>9</v>
      </c>
      <c r="I57" s="21" t="s">
        <v>40</v>
      </c>
      <c r="J57" s="21" t="s">
        <v>22</v>
      </c>
      <c r="K57" s="21" t="s">
        <v>249</v>
      </c>
      <c r="L57" s="16">
        <v>1</v>
      </c>
    </row>
    <row r="58" spans="1:12" ht="13.5" x14ac:dyDescent="0.2">
      <c r="A58" s="11" t="s">
        <v>40</v>
      </c>
      <c r="B58" s="11"/>
      <c r="C58" s="22" t="s">
        <v>215</v>
      </c>
      <c r="D58" s="13"/>
      <c r="E58" s="13"/>
      <c r="F58" s="13"/>
      <c r="G58" s="13"/>
      <c r="H58" s="13"/>
      <c r="I58" s="13"/>
      <c r="J58" s="13"/>
      <c r="K58" s="13"/>
      <c r="L58" s="17">
        <v>1</v>
      </c>
    </row>
    <row r="59" spans="1:12" ht="23.1" customHeight="1" x14ac:dyDescent="0.2">
      <c r="A59" s="11" t="s">
        <v>40</v>
      </c>
      <c r="B59" s="11"/>
      <c r="C59" s="20">
        <v>7</v>
      </c>
      <c r="D59" s="21" t="s">
        <v>31</v>
      </c>
      <c r="E59" s="21" t="s">
        <v>40</v>
      </c>
      <c r="F59" s="20" t="s">
        <v>41</v>
      </c>
      <c r="G59" s="21" t="s">
        <v>198</v>
      </c>
      <c r="H59" s="20" t="s">
        <v>9</v>
      </c>
      <c r="I59" s="20" t="s">
        <v>42</v>
      </c>
      <c r="J59" s="20" t="s">
        <v>20</v>
      </c>
      <c r="K59" s="21" t="s">
        <v>261</v>
      </c>
      <c r="L59" s="16">
        <v>1</v>
      </c>
    </row>
    <row r="60" spans="1:12" ht="23.1" customHeight="1" x14ac:dyDescent="0.2">
      <c r="A60" s="11" t="s">
        <v>40</v>
      </c>
      <c r="B60" s="11"/>
      <c r="C60" s="11"/>
      <c r="D60" s="21" t="s">
        <v>189</v>
      </c>
      <c r="E60" s="21" t="s">
        <v>217</v>
      </c>
      <c r="F60" s="10" t="s">
        <v>41</v>
      </c>
      <c r="G60" s="21" t="s">
        <v>197</v>
      </c>
      <c r="H60" s="10" t="s">
        <v>9</v>
      </c>
      <c r="I60" s="10" t="s">
        <v>42</v>
      </c>
      <c r="J60" s="10" t="s">
        <v>20</v>
      </c>
      <c r="K60" s="21" t="s">
        <v>246</v>
      </c>
      <c r="L60" s="16">
        <v>1</v>
      </c>
    </row>
    <row r="61" spans="1:12" ht="13.5" x14ac:dyDescent="0.2">
      <c r="A61" s="11" t="s">
        <v>40</v>
      </c>
      <c r="B61" s="11"/>
      <c r="C61" s="22" t="s">
        <v>194</v>
      </c>
      <c r="D61" s="13"/>
      <c r="E61" s="13"/>
      <c r="F61" s="13"/>
      <c r="G61" s="13"/>
      <c r="H61" s="13"/>
      <c r="I61" s="13"/>
      <c r="J61" s="13"/>
      <c r="K61" s="13"/>
      <c r="L61" s="17">
        <v>2</v>
      </c>
    </row>
    <row r="62" spans="1:12" ht="23.1" customHeight="1" x14ac:dyDescent="0.2">
      <c r="A62" s="11" t="s">
        <v>40</v>
      </c>
      <c r="B62" s="11"/>
      <c r="C62" s="21">
        <v>9</v>
      </c>
      <c r="D62" s="21" t="s">
        <v>31</v>
      </c>
      <c r="E62" s="21" t="s">
        <v>40</v>
      </c>
      <c r="F62" s="21" t="s">
        <v>212</v>
      </c>
      <c r="G62" s="21" t="s">
        <v>265</v>
      </c>
      <c r="H62" s="21" t="s">
        <v>9</v>
      </c>
      <c r="I62" s="21" t="s">
        <v>264</v>
      </c>
      <c r="J62" s="21" t="s">
        <v>20</v>
      </c>
      <c r="K62" s="21" t="s">
        <v>262</v>
      </c>
      <c r="L62" s="16">
        <v>1</v>
      </c>
    </row>
    <row r="63" spans="1:12" ht="13.5" x14ac:dyDescent="0.2">
      <c r="A63" s="11" t="s">
        <v>40</v>
      </c>
      <c r="B63" s="11"/>
      <c r="C63" s="22" t="s">
        <v>195</v>
      </c>
      <c r="D63" s="13"/>
      <c r="E63" s="13"/>
      <c r="F63" s="13"/>
      <c r="G63" s="13"/>
      <c r="H63" s="13"/>
      <c r="I63" s="13"/>
      <c r="J63" s="13"/>
      <c r="K63" s="13"/>
      <c r="L63" s="17">
        <v>1</v>
      </c>
    </row>
    <row r="64" spans="1:12" ht="23.1" customHeight="1" x14ac:dyDescent="0.2">
      <c r="A64" s="11" t="s">
        <v>40</v>
      </c>
      <c r="B64" s="11"/>
      <c r="C64" s="21">
        <v>11</v>
      </c>
      <c r="D64" s="21" t="s">
        <v>31</v>
      </c>
      <c r="E64" s="21" t="s">
        <v>40</v>
      </c>
      <c r="F64" s="21" t="s">
        <v>131</v>
      </c>
      <c r="G64" s="21" t="s">
        <v>260</v>
      </c>
      <c r="H64" s="21" t="s">
        <v>9</v>
      </c>
      <c r="I64" s="21" t="s">
        <v>259</v>
      </c>
      <c r="J64" s="21" t="s">
        <v>20</v>
      </c>
      <c r="K64" s="21" t="s">
        <v>257</v>
      </c>
      <c r="L64" s="16">
        <v>1</v>
      </c>
    </row>
    <row r="65" spans="1:12" ht="13.5" x14ac:dyDescent="0.2">
      <c r="A65" s="11" t="s">
        <v>40</v>
      </c>
      <c r="B65" s="11"/>
      <c r="C65" s="22" t="s">
        <v>216</v>
      </c>
      <c r="D65" s="13"/>
      <c r="E65" s="13"/>
      <c r="F65" s="13"/>
      <c r="G65" s="13"/>
      <c r="H65" s="13"/>
      <c r="I65" s="13"/>
      <c r="J65" s="13"/>
      <c r="K65" s="13"/>
      <c r="L65" s="17">
        <v>1</v>
      </c>
    </row>
    <row r="66" spans="1:12" ht="23.1" customHeight="1" x14ac:dyDescent="0.2">
      <c r="A66" s="11" t="s">
        <v>40</v>
      </c>
      <c r="B66" s="11"/>
      <c r="C66" s="21">
        <v>15</v>
      </c>
      <c r="D66" s="21" t="s">
        <v>31</v>
      </c>
      <c r="E66" s="21" t="s">
        <v>40</v>
      </c>
      <c r="F66" s="21" t="s">
        <v>131</v>
      </c>
      <c r="G66" s="21" t="s">
        <v>269</v>
      </c>
      <c r="H66" s="21" t="s">
        <v>9</v>
      </c>
      <c r="I66" s="21" t="s">
        <v>268</v>
      </c>
      <c r="J66" s="21" t="s">
        <v>20</v>
      </c>
      <c r="K66" s="21" t="s">
        <v>266</v>
      </c>
      <c r="L66" s="16">
        <v>1</v>
      </c>
    </row>
    <row r="67" spans="1:12" ht="13.5" x14ac:dyDescent="0.2">
      <c r="A67" s="11" t="s">
        <v>40</v>
      </c>
      <c r="B67" s="11"/>
      <c r="C67" s="22" t="s">
        <v>181</v>
      </c>
      <c r="D67" s="13"/>
      <c r="E67" s="13"/>
      <c r="F67" s="13"/>
      <c r="G67" s="13"/>
      <c r="H67" s="13"/>
      <c r="I67" s="13"/>
      <c r="J67" s="13"/>
      <c r="K67" s="13"/>
      <c r="L67" s="17">
        <v>1</v>
      </c>
    </row>
    <row r="68" spans="1:12" ht="23.1" customHeight="1" x14ac:dyDescent="0.2">
      <c r="A68" s="11" t="s">
        <v>40</v>
      </c>
      <c r="B68" s="11"/>
      <c r="C68" s="21">
        <v>17</v>
      </c>
      <c r="D68" s="21" t="s">
        <v>43</v>
      </c>
      <c r="E68" s="21" t="s">
        <v>40</v>
      </c>
      <c r="F68" s="21" t="s">
        <v>72</v>
      </c>
      <c r="G68" s="21" t="s">
        <v>236</v>
      </c>
      <c r="H68" s="21" t="s">
        <v>9</v>
      </c>
      <c r="I68" s="21" t="s">
        <v>40</v>
      </c>
      <c r="J68" s="21" t="s">
        <v>51</v>
      </c>
      <c r="K68" s="21" t="s">
        <v>235</v>
      </c>
      <c r="L68" s="16">
        <v>1</v>
      </c>
    </row>
    <row r="69" spans="1:12" ht="13.5" x14ac:dyDescent="0.2">
      <c r="A69" s="11" t="s">
        <v>40</v>
      </c>
      <c r="B69" s="11"/>
      <c r="C69" s="22" t="s">
        <v>218</v>
      </c>
      <c r="D69" s="13"/>
      <c r="E69" s="13"/>
      <c r="F69" s="13"/>
      <c r="G69" s="13"/>
      <c r="H69" s="13"/>
      <c r="I69" s="13"/>
      <c r="J69" s="13"/>
      <c r="K69" s="13"/>
      <c r="L69" s="17">
        <v>1</v>
      </c>
    </row>
    <row r="70" spans="1:12" ht="23.1" customHeight="1" x14ac:dyDescent="0.2">
      <c r="A70" s="11" t="s">
        <v>40</v>
      </c>
      <c r="B70" s="11"/>
      <c r="C70" s="21">
        <v>18</v>
      </c>
      <c r="D70" s="21" t="s">
        <v>43</v>
      </c>
      <c r="E70" s="21" t="s">
        <v>40</v>
      </c>
      <c r="F70" s="21" t="s">
        <v>149</v>
      </c>
      <c r="G70" s="21" t="s">
        <v>155</v>
      </c>
      <c r="H70" s="21" t="s">
        <v>9</v>
      </c>
      <c r="I70" s="21" t="s">
        <v>40</v>
      </c>
      <c r="J70" s="21" t="s">
        <v>22</v>
      </c>
      <c r="K70" s="21" t="s">
        <v>154</v>
      </c>
      <c r="L70" s="16">
        <v>1</v>
      </c>
    </row>
    <row r="71" spans="1:12" ht="13.5" x14ac:dyDescent="0.2">
      <c r="A71" s="11" t="s">
        <v>40</v>
      </c>
      <c r="B71" s="11"/>
      <c r="C71" s="22" t="s">
        <v>219</v>
      </c>
      <c r="D71" s="13"/>
      <c r="E71" s="13"/>
      <c r="F71" s="13"/>
      <c r="G71" s="13"/>
      <c r="H71" s="13"/>
      <c r="I71" s="13"/>
      <c r="J71" s="13"/>
      <c r="K71" s="13"/>
      <c r="L71" s="17">
        <v>1</v>
      </c>
    </row>
    <row r="72" spans="1:12" ht="23.1" customHeight="1" x14ac:dyDescent="0.2">
      <c r="A72" s="11" t="s">
        <v>40</v>
      </c>
      <c r="B72" s="11"/>
      <c r="C72" s="21">
        <v>21</v>
      </c>
      <c r="D72" s="21" t="s">
        <v>43</v>
      </c>
      <c r="E72" s="21" t="s">
        <v>40</v>
      </c>
      <c r="F72" s="21" t="s">
        <v>212</v>
      </c>
      <c r="G72" s="21" t="s">
        <v>240</v>
      </c>
      <c r="H72" s="21" t="s">
        <v>50</v>
      </c>
      <c r="I72" s="21" t="s">
        <v>239</v>
      </c>
      <c r="J72" s="21" t="s">
        <v>20</v>
      </c>
      <c r="K72" s="21" t="s">
        <v>237</v>
      </c>
      <c r="L72" s="16">
        <v>1</v>
      </c>
    </row>
    <row r="73" spans="1:12" ht="13.5" x14ac:dyDescent="0.2">
      <c r="A73" s="11" t="s">
        <v>40</v>
      </c>
      <c r="B73" s="11"/>
      <c r="C73" s="22" t="s">
        <v>338</v>
      </c>
      <c r="D73" s="13"/>
      <c r="E73" s="13"/>
      <c r="F73" s="13"/>
      <c r="G73" s="13"/>
      <c r="H73" s="13"/>
      <c r="I73" s="13"/>
      <c r="J73" s="13"/>
      <c r="K73" s="13"/>
      <c r="L73" s="17">
        <v>1</v>
      </c>
    </row>
    <row r="74" spans="1:12" ht="23.1" customHeight="1" x14ac:dyDescent="0.2">
      <c r="A74" s="11" t="s">
        <v>40</v>
      </c>
      <c r="B74" s="11"/>
      <c r="C74" s="21">
        <v>25</v>
      </c>
      <c r="D74" s="21" t="s">
        <v>245</v>
      </c>
      <c r="E74" s="21" t="s">
        <v>40</v>
      </c>
      <c r="F74" s="21" t="s">
        <v>168</v>
      </c>
      <c r="G74" s="21" t="s">
        <v>244</v>
      </c>
      <c r="H74" s="21" t="s">
        <v>9</v>
      </c>
      <c r="I74" s="21" t="s">
        <v>243</v>
      </c>
      <c r="J74" s="21" t="s">
        <v>20</v>
      </c>
      <c r="K74" s="21" t="s">
        <v>241</v>
      </c>
      <c r="L74" s="16">
        <v>1</v>
      </c>
    </row>
    <row r="75" spans="1:12" ht="13.5" x14ac:dyDescent="0.2">
      <c r="A75" s="11" t="s">
        <v>40</v>
      </c>
      <c r="B75" s="11"/>
      <c r="C75" s="22" t="s">
        <v>339</v>
      </c>
      <c r="D75" s="13"/>
      <c r="E75" s="13"/>
      <c r="F75" s="13"/>
      <c r="G75" s="13"/>
      <c r="H75" s="13"/>
      <c r="I75" s="13"/>
      <c r="J75" s="13"/>
      <c r="K75" s="13"/>
      <c r="L75" s="17">
        <v>1</v>
      </c>
    </row>
    <row r="76" spans="1:12" ht="23.1" customHeight="1" x14ac:dyDescent="0.2">
      <c r="A76" s="11" t="s">
        <v>40</v>
      </c>
      <c r="B76" s="11"/>
      <c r="C76" s="20">
        <v>31</v>
      </c>
      <c r="D76" s="20" t="s">
        <v>28</v>
      </c>
      <c r="E76" s="20" t="s">
        <v>40</v>
      </c>
      <c r="F76" s="20" t="s">
        <v>81</v>
      </c>
      <c r="G76" s="21" t="s">
        <v>67</v>
      </c>
      <c r="H76" s="20" t="s">
        <v>9</v>
      </c>
      <c r="I76" s="21" t="s">
        <v>145</v>
      </c>
      <c r="J76" s="20" t="s">
        <v>20</v>
      </c>
      <c r="K76" s="21" t="s">
        <v>144</v>
      </c>
      <c r="L76" s="16">
        <v>1</v>
      </c>
    </row>
    <row r="77" spans="1:12" ht="23.1" customHeight="1" x14ac:dyDescent="0.2">
      <c r="A77" s="11" t="s">
        <v>40</v>
      </c>
      <c r="B77" s="11"/>
      <c r="C77" s="11"/>
      <c r="D77" s="11"/>
      <c r="E77" s="11" t="s">
        <v>40</v>
      </c>
      <c r="F77" s="11"/>
      <c r="G77" s="21" t="s">
        <v>63</v>
      </c>
      <c r="H77" s="10" t="s">
        <v>9</v>
      </c>
      <c r="I77" s="21" t="s">
        <v>143</v>
      </c>
      <c r="J77" s="10" t="s">
        <v>20</v>
      </c>
      <c r="K77" s="21" t="s">
        <v>142</v>
      </c>
      <c r="L77" s="16">
        <v>1</v>
      </c>
    </row>
    <row r="78" spans="1:12" ht="23.1" customHeight="1" x14ac:dyDescent="0.2">
      <c r="A78" s="11" t="s">
        <v>40</v>
      </c>
      <c r="B78" s="11"/>
      <c r="C78" s="11"/>
      <c r="D78" s="21" t="s">
        <v>27</v>
      </c>
      <c r="E78" s="10" t="s">
        <v>40</v>
      </c>
      <c r="F78" s="20" t="s">
        <v>80</v>
      </c>
      <c r="G78" s="21" t="s">
        <v>26</v>
      </c>
      <c r="H78" s="10" t="s">
        <v>9</v>
      </c>
      <c r="I78" s="21" t="s">
        <v>139</v>
      </c>
      <c r="J78" s="10" t="s">
        <v>20</v>
      </c>
      <c r="K78" s="21" t="s">
        <v>138</v>
      </c>
      <c r="L78" s="16">
        <v>1</v>
      </c>
    </row>
    <row r="79" spans="1:12" ht="23.1" customHeight="1" x14ac:dyDescent="0.2">
      <c r="A79" s="11" t="s">
        <v>40</v>
      </c>
      <c r="B79" s="11"/>
      <c r="C79" s="11"/>
      <c r="D79" s="21" t="s">
        <v>256</v>
      </c>
      <c r="E79" s="10" t="s">
        <v>40</v>
      </c>
      <c r="F79" s="10" t="s">
        <v>80</v>
      </c>
      <c r="G79" s="21" t="s">
        <v>255</v>
      </c>
      <c r="H79" s="10" t="s">
        <v>9</v>
      </c>
      <c r="I79" s="21" t="s">
        <v>254</v>
      </c>
      <c r="J79" s="10" t="s">
        <v>20</v>
      </c>
      <c r="K79" s="21" t="s">
        <v>252</v>
      </c>
      <c r="L79" s="16">
        <v>1</v>
      </c>
    </row>
    <row r="80" spans="1:12" ht="13.5" x14ac:dyDescent="0.2">
      <c r="A80" s="11" t="s">
        <v>40</v>
      </c>
      <c r="B80" s="11"/>
      <c r="C80" s="22" t="s">
        <v>196</v>
      </c>
      <c r="D80" s="13"/>
      <c r="E80" s="13"/>
      <c r="F80" s="13"/>
      <c r="G80" s="13"/>
      <c r="H80" s="13"/>
      <c r="I80" s="13"/>
      <c r="J80" s="13"/>
      <c r="K80" s="13"/>
      <c r="L80" s="17">
        <v>4</v>
      </c>
    </row>
    <row r="81" spans="1:12" ht="23.1" customHeight="1" x14ac:dyDescent="0.2">
      <c r="A81" s="11" t="s">
        <v>40</v>
      </c>
      <c r="B81" s="11"/>
      <c r="C81" s="21">
        <v>32</v>
      </c>
      <c r="D81" s="21" t="s">
        <v>273</v>
      </c>
      <c r="E81" s="21" t="s">
        <v>40</v>
      </c>
      <c r="F81" s="21" t="s">
        <v>131</v>
      </c>
      <c r="G81" s="21" t="s">
        <v>272</v>
      </c>
      <c r="H81" s="21" t="s">
        <v>9</v>
      </c>
      <c r="I81" s="21" t="s">
        <v>271</v>
      </c>
      <c r="J81" s="21" t="s">
        <v>20</v>
      </c>
      <c r="K81" s="21" t="s">
        <v>270</v>
      </c>
      <c r="L81" s="16">
        <v>1</v>
      </c>
    </row>
    <row r="82" spans="1:12" ht="13.5" x14ac:dyDescent="0.2">
      <c r="A82" s="11" t="s">
        <v>40</v>
      </c>
      <c r="B82" s="11"/>
      <c r="C82" s="22" t="s">
        <v>221</v>
      </c>
      <c r="D82" s="13"/>
      <c r="E82" s="13"/>
      <c r="F82" s="13"/>
      <c r="G82" s="13"/>
      <c r="H82" s="13"/>
      <c r="I82" s="13"/>
      <c r="J82" s="13"/>
      <c r="K82" s="13"/>
      <c r="L82" s="17">
        <v>1</v>
      </c>
    </row>
    <row r="83" spans="1:12" ht="23.1" customHeight="1" x14ac:dyDescent="0.2">
      <c r="A83" s="11" t="s">
        <v>40</v>
      </c>
      <c r="B83" s="20" t="s">
        <v>19</v>
      </c>
      <c r="C83" s="20">
        <v>0</v>
      </c>
      <c r="D83" s="20" t="s">
        <v>53</v>
      </c>
      <c r="E83" s="20" t="s">
        <v>40</v>
      </c>
      <c r="F83" s="20" t="s">
        <v>78</v>
      </c>
      <c r="G83" s="21" t="s">
        <v>90</v>
      </c>
      <c r="H83" s="20" t="s">
        <v>50</v>
      </c>
      <c r="I83" s="20" t="s">
        <v>40</v>
      </c>
      <c r="J83" s="20" t="s">
        <v>22</v>
      </c>
      <c r="K83" s="21" t="s">
        <v>87</v>
      </c>
      <c r="L83" s="16">
        <v>1</v>
      </c>
    </row>
    <row r="84" spans="1:12" ht="23.1" customHeight="1" x14ac:dyDescent="0.2">
      <c r="A84" s="11" t="s">
        <v>40</v>
      </c>
      <c r="B84" s="11"/>
      <c r="C84" s="11"/>
      <c r="D84" s="11"/>
      <c r="E84" s="11" t="s">
        <v>40</v>
      </c>
      <c r="F84" s="11"/>
      <c r="G84" s="21" t="s">
        <v>183</v>
      </c>
      <c r="H84" s="10" t="s">
        <v>50</v>
      </c>
      <c r="I84" s="10" t="s">
        <v>40</v>
      </c>
      <c r="J84" s="10" t="s">
        <v>22</v>
      </c>
      <c r="K84" s="21" t="s">
        <v>175</v>
      </c>
      <c r="L84" s="16">
        <v>1</v>
      </c>
    </row>
    <row r="85" spans="1:12" ht="23.1" customHeight="1" x14ac:dyDescent="0.2">
      <c r="A85" s="11" t="s">
        <v>40</v>
      </c>
      <c r="B85" s="11"/>
      <c r="C85" s="11"/>
      <c r="D85" s="11"/>
      <c r="E85" s="11" t="s">
        <v>40</v>
      </c>
      <c r="F85" s="21" t="s">
        <v>132</v>
      </c>
      <c r="G85" s="21" t="s">
        <v>135</v>
      </c>
      <c r="H85" s="10" t="s">
        <v>50</v>
      </c>
      <c r="I85" s="10" t="s">
        <v>40</v>
      </c>
      <c r="J85" s="10" t="s">
        <v>22</v>
      </c>
      <c r="K85" s="21" t="s">
        <v>133</v>
      </c>
      <c r="L85" s="16">
        <v>1</v>
      </c>
    </row>
    <row r="86" spans="1:12" ht="23.1" customHeight="1" x14ac:dyDescent="0.2">
      <c r="A86" s="11" t="s">
        <v>40</v>
      </c>
      <c r="B86" s="11"/>
      <c r="C86" s="11"/>
      <c r="D86" s="11"/>
      <c r="E86" s="11" t="s">
        <v>40</v>
      </c>
      <c r="F86" s="20" t="s">
        <v>129</v>
      </c>
      <c r="G86" s="21" t="s">
        <v>130</v>
      </c>
      <c r="H86" s="10" t="s">
        <v>50</v>
      </c>
      <c r="I86" s="10" t="s">
        <v>40</v>
      </c>
      <c r="J86" s="10" t="s">
        <v>22</v>
      </c>
      <c r="K86" s="21" t="s">
        <v>125</v>
      </c>
      <c r="L86" s="16">
        <v>1</v>
      </c>
    </row>
    <row r="87" spans="1:12" ht="23.1" customHeight="1" x14ac:dyDescent="0.2">
      <c r="A87" s="11" t="s">
        <v>40</v>
      </c>
      <c r="B87" s="11"/>
      <c r="C87" s="11"/>
      <c r="D87" s="11"/>
      <c r="E87" s="11" t="s">
        <v>40</v>
      </c>
      <c r="F87" s="11"/>
      <c r="G87" s="21" t="s">
        <v>151</v>
      </c>
      <c r="H87" s="10" t="s">
        <v>50</v>
      </c>
      <c r="I87" s="10" t="s">
        <v>40</v>
      </c>
      <c r="J87" s="10" t="s">
        <v>22</v>
      </c>
      <c r="K87" s="21" t="s">
        <v>153</v>
      </c>
      <c r="L87" s="16">
        <v>1</v>
      </c>
    </row>
    <row r="88" spans="1:12" ht="23.1" customHeight="1" x14ac:dyDescent="0.2">
      <c r="A88" s="11" t="s">
        <v>40</v>
      </c>
      <c r="B88" s="11"/>
      <c r="C88" s="11"/>
      <c r="D88" s="20" t="s">
        <v>698</v>
      </c>
      <c r="E88" s="10" t="s">
        <v>40</v>
      </c>
      <c r="F88" s="21" t="s">
        <v>718</v>
      </c>
      <c r="G88" s="21" t="s">
        <v>731</v>
      </c>
      <c r="H88" s="10" t="s">
        <v>50</v>
      </c>
      <c r="I88" s="10" t="s">
        <v>40</v>
      </c>
      <c r="J88" s="10" t="s">
        <v>22</v>
      </c>
      <c r="K88" s="21" t="s">
        <v>696</v>
      </c>
      <c r="L88" s="16">
        <v>1</v>
      </c>
    </row>
    <row r="89" spans="1:12" ht="23.1" customHeight="1" x14ac:dyDescent="0.2">
      <c r="A89" s="11" t="s">
        <v>40</v>
      </c>
      <c r="B89" s="11"/>
      <c r="C89" s="11"/>
      <c r="D89" s="11"/>
      <c r="E89" s="11" t="s">
        <v>40</v>
      </c>
      <c r="F89" s="20" t="s">
        <v>719</v>
      </c>
      <c r="G89" s="21" t="s">
        <v>702</v>
      </c>
      <c r="H89" s="10" t="s">
        <v>50</v>
      </c>
      <c r="I89" s="21" t="s">
        <v>701</v>
      </c>
      <c r="J89" s="20" t="s">
        <v>20</v>
      </c>
      <c r="K89" s="21" t="s">
        <v>699</v>
      </c>
      <c r="L89" s="16">
        <v>1</v>
      </c>
    </row>
    <row r="90" spans="1:12" ht="23.1" customHeight="1" x14ac:dyDescent="0.2">
      <c r="A90" s="11" t="s">
        <v>40</v>
      </c>
      <c r="B90" s="11"/>
      <c r="C90" s="11"/>
      <c r="D90" s="11"/>
      <c r="E90" s="11" t="s">
        <v>40</v>
      </c>
      <c r="F90" s="11"/>
      <c r="G90" s="21" t="s">
        <v>732</v>
      </c>
      <c r="H90" s="10" t="s">
        <v>50</v>
      </c>
      <c r="I90" s="21" t="s">
        <v>707</v>
      </c>
      <c r="J90" s="10" t="s">
        <v>20</v>
      </c>
      <c r="K90" s="21" t="s">
        <v>706</v>
      </c>
      <c r="L90" s="16">
        <v>1</v>
      </c>
    </row>
    <row r="91" spans="1:12" ht="23.1" customHeight="1" x14ac:dyDescent="0.2">
      <c r="A91" s="11" t="s">
        <v>40</v>
      </c>
      <c r="B91" s="11"/>
      <c r="C91" s="11"/>
      <c r="D91" s="11"/>
      <c r="E91" s="11" t="s">
        <v>40</v>
      </c>
      <c r="F91" s="21" t="s">
        <v>720</v>
      </c>
      <c r="G91" s="21" t="s">
        <v>705</v>
      </c>
      <c r="H91" s="10" t="s">
        <v>50</v>
      </c>
      <c r="I91" s="21" t="s">
        <v>704</v>
      </c>
      <c r="J91" s="10" t="s">
        <v>20</v>
      </c>
      <c r="K91" s="21" t="s">
        <v>703</v>
      </c>
      <c r="L91" s="16">
        <v>1</v>
      </c>
    </row>
    <row r="92" spans="1:12" ht="23.1" customHeight="1" x14ac:dyDescent="0.2">
      <c r="A92" s="11" t="s">
        <v>40</v>
      </c>
      <c r="B92" s="11"/>
      <c r="C92" s="11"/>
      <c r="D92" s="21" t="s">
        <v>695</v>
      </c>
      <c r="E92" s="10" t="s">
        <v>40</v>
      </c>
      <c r="F92" s="20" t="s">
        <v>717</v>
      </c>
      <c r="G92" s="21" t="s">
        <v>733</v>
      </c>
      <c r="H92" s="10" t="s">
        <v>50</v>
      </c>
      <c r="I92" s="20" t="s">
        <v>40</v>
      </c>
      <c r="J92" s="20" t="s">
        <v>22</v>
      </c>
      <c r="K92" s="21" t="s">
        <v>693</v>
      </c>
      <c r="L92" s="16">
        <v>1</v>
      </c>
    </row>
    <row r="93" spans="1:12" ht="23.1" customHeight="1" x14ac:dyDescent="0.2">
      <c r="A93" s="11" t="s">
        <v>40</v>
      </c>
      <c r="B93" s="11"/>
      <c r="C93" s="11"/>
      <c r="D93" s="21" t="s">
        <v>692</v>
      </c>
      <c r="E93" s="10" t="s">
        <v>40</v>
      </c>
      <c r="F93" s="10" t="s">
        <v>717</v>
      </c>
      <c r="G93" s="21" t="s">
        <v>734</v>
      </c>
      <c r="H93" s="10" t="s">
        <v>50</v>
      </c>
      <c r="I93" s="10" t="s">
        <v>40</v>
      </c>
      <c r="J93" s="10" t="s">
        <v>22</v>
      </c>
      <c r="K93" s="21" t="s">
        <v>690</v>
      </c>
      <c r="L93" s="16">
        <v>1</v>
      </c>
    </row>
    <row r="94" spans="1:12" ht="23.1" customHeight="1" x14ac:dyDescent="0.2">
      <c r="A94" s="11" t="s">
        <v>40</v>
      </c>
      <c r="B94" s="11"/>
      <c r="C94" s="11"/>
      <c r="D94" s="20" t="s">
        <v>666</v>
      </c>
      <c r="E94" s="10" t="s">
        <v>40</v>
      </c>
      <c r="F94" s="20" t="s">
        <v>718</v>
      </c>
      <c r="G94" s="21" t="s">
        <v>735</v>
      </c>
      <c r="H94" s="10" t="s">
        <v>50</v>
      </c>
      <c r="I94" s="10" t="s">
        <v>40</v>
      </c>
      <c r="J94" s="10" t="s">
        <v>22</v>
      </c>
      <c r="K94" s="21" t="s">
        <v>667</v>
      </c>
      <c r="L94" s="16">
        <v>1</v>
      </c>
    </row>
    <row r="95" spans="1:12" ht="23.1" customHeight="1" x14ac:dyDescent="0.2">
      <c r="A95" s="11" t="s">
        <v>40</v>
      </c>
      <c r="B95" s="11"/>
      <c r="C95" s="11"/>
      <c r="D95" s="11"/>
      <c r="E95" s="11" t="s">
        <v>40</v>
      </c>
      <c r="F95" s="11"/>
      <c r="G95" s="21" t="s">
        <v>736</v>
      </c>
      <c r="H95" s="10" t="s">
        <v>50</v>
      </c>
      <c r="I95" s="10" t="s">
        <v>40</v>
      </c>
      <c r="J95" s="10" t="s">
        <v>22</v>
      </c>
      <c r="K95" s="21" t="s">
        <v>670</v>
      </c>
      <c r="L95" s="16">
        <v>1</v>
      </c>
    </row>
    <row r="96" spans="1:12" ht="23.1" customHeight="1" x14ac:dyDescent="0.2">
      <c r="A96" s="11" t="s">
        <v>40</v>
      </c>
      <c r="B96" s="11"/>
      <c r="C96" s="11"/>
      <c r="D96" s="11"/>
      <c r="E96" s="11" t="s">
        <v>40</v>
      </c>
      <c r="F96" s="11"/>
      <c r="G96" s="21" t="s">
        <v>679</v>
      </c>
      <c r="H96" s="10" t="s">
        <v>50</v>
      </c>
      <c r="I96" s="21" t="s">
        <v>678</v>
      </c>
      <c r="J96" s="21" t="s">
        <v>20</v>
      </c>
      <c r="K96" s="21" t="s">
        <v>676</v>
      </c>
      <c r="L96" s="16">
        <v>1</v>
      </c>
    </row>
    <row r="97" spans="1:12" ht="23.1" customHeight="1" x14ac:dyDescent="0.2">
      <c r="A97" s="11" t="s">
        <v>40</v>
      </c>
      <c r="B97" s="11"/>
      <c r="C97" s="11"/>
      <c r="D97" s="11"/>
      <c r="E97" s="11" t="s">
        <v>40</v>
      </c>
      <c r="F97" s="11"/>
      <c r="G97" s="21" t="s">
        <v>737</v>
      </c>
      <c r="H97" s="10" t="s">
        <v>50</v>
      </c>
      <c r="I97" s="21" t="s">
        <v>40</v>
      </c>
      <c r="J97" s="21" t="s">
        <v>22</v>
      </c>
      <c r="K97" s="21" t="s">
        <v>673</v>
      </c>
      <c r="L97" s="16">
        <v>1</v>
      </c>
    </row>
    <row r="98" spans="1:12" ht="23.1" customHeight="1" x14ac:dyDescent="0.2">
      <c r="A98" s="11" t="s">
        <v>40</v>
      </c>
      <c r="B98" s="11"/>
      <c r="C98" s="11"/>
      <c r="D98" s="11"/>
      <c r="E98" s="11" t="s">
        <v>40</v>
      </c>
      <c r="F98" s="21" t="s">
        <v>719</v>
      </c>
      <c r="G98" s="21" t="s">
        <v>686</v>
      </c>
      <c r="H98" s="10" t="s">
        <v>50</v>
      </c>
      <c r="I98" s="21" t="s">
        <v>685</v>
      </c>
      <c r="J98" s="21" t="s">
        <v>20</v>
      </c>
      <c r="K98" s="21" t="s">
        <v>684</v>
      </c>
      <c r="L98" s="16">
        <v>1</v>
      </c>
    </row>
    <row r="99" spans="1:12" ht="23.1" customHeight="1" x14ac:dyDescent="0.2">
      <c r="A99" s="11" t="s">
        <v>40</v>
      </c>
      <c r="B99" s="11"/>
      <c r="C99" s="11"/>
      <c r="D99" s="11"/>
      <c r="E99" s="11" t="s">
        <v>40</v>
      </c>
      <c r="F99" s="20" t="s">
        <v>149</v>
      </c>
      <c r="G99" s="21" t="s">
        <v>665</v>
      </c>
      <c r="H99" s="10" t="s">
        <v>50</v>
      </c>
      <c r="I99" s="21" t="s">
        <v>664</v>
      </c>
      <c r="J99" s="21" t="s">
        <v>22</v>
      </c>
      <c r="K99" s="21" t="s">
        <v>663</v>
      </c>
      <c r="L99" s="16">
        <v>1</v>
      </c>
    </row>
    <row r="100" spans="1:12" ht="23.1" customHeight="1" x14ac:dyDescent="0.2">
      <c r="A100" s="11" t="s">
        <v>40</v>
      </c>
      <c r="B100" s="11"/>
      <c r="C100" s="11"/>
      <c r="D100" s="11"/>
      <c r="E100" s="11" t="s">
        <v>40</v>
      </c>
      <c r="F100" s="11"/>
      <c r="G100" s="21" t="s">
        <v>683</v>
      </c>
      <c r="H100" s="10" t="s">
        <v>50</v>
      </c>
      <c r="I100" s="21" t="s">
        <v>682</v>
      </c>
      <c r="J100" s="20" t="s">
        <v>20</v>
      </c>
      <c r="K100" s="21" t="s">
        <v>680</v>
      </c>
      <c r="L100" s="16">
        <v>1</v>
      </c>
    </row>
    <row r="101" spans="1:12" ht="23.1" customHeight="1" x14ac:dyDescent="0.2">
      <c r="A101" s="11" t="s">
        <v>40</v>
      </c>
      <c r="B101" s="11"/>
      <c r="C101" s="11"/>
      <c r="D101" s="11"/>
      <c r="E101" s="11" t="s">
        <v>40</v>
      </c>
      <c r="F101" s="20" t="s">
        <v>337</v>
      </c>
      <c r="G101" s="21" t="s">
        <v>689</v>
      </c>
      <c r="H101" s="10" t="s">
        <v>50</v>
      </c>
      <c r="I101" s="21" t="s">
        <v>688</v>
      </c>
      <c r="J101" s="10" t="s">
        <v>20</v>
      </c>
      <c r="K101" s="21" t="s">
        <v>687</v>
      </c>
      <c r="L101" s="16">
        <v>1</v>
      </c>
    </row>
    <row r="102" spans="1:12" ht="23.1" customHeight="1" x14ac:dyDescent="0.2">
      <c r="A102" s="11" t="s">
        <v>40</v>
      </c>
      <c r="B102" s="11"/>
      <c r="C102" s="11"/>
      <c r="D102" s="21" t="s">
        <v>662</v>
      </c>
      <c r="E102" s="10" t="s">
        <v>40</v>
      </c>
      <c r="F102" s="10" t="s">
        <v>337</v>
      </c>
      <c r="G102" s="21" t="s">
        <v>738</v>
      </c>
      <c r="H102" s="21" t="s">
        <v>9</v>
      </c>
      <c r="I102" s="21" t="s">
        <v>660</v>
      </c>
      <c r="J102" s="10" t="s">
        <v>20</v>
      </c>
      <c r="K102" s="21" t="s">
        <v>658</v>
      </c>
      <c r="L102" s="16">
        <v>1</v>
      </c>
    </row>
    <row r="103" spans="1:12" ht="23.1" customHeight="1" x14ac:dyDescent="0.2">
      <c r="A103" s="11" t="s">
        <v>40</v>
      </c>
      <c r="B103" s="11"/>
      <c r="C103" s="11"/>
      <c r="D103" s="20" t="s">
        <v>184</v>
      </c>
      <c r="E103" s="10" t="s">
        <v>40</v>
      </c>
      <c r="F103" s="20" t="s">
        <v>720</v>
      </c>
      <c r="G103" s="21" t="s">
        <v>739</v>
      </c>
      <c r="H103" s="20" t="s">
        <v>50</v>
      </c>
      <c r="I103" s="21" t="s">
        <v>636</v>
      </c>
      <c r="J103" s="10" t="s">
        <v>20</v>
      </c>
      <c r="K103" s="21" t="s">
        <v>635</v>
      </c>
      <c r="L103" s="16">
        <v>1</v>
      </c>
    </row>
    <row r="104" spans="1:12" ht="23.1" customHeight="1" x14ac:dyDescent="0.2">
      <c r="A104" s="11" t="s">
        <v>40</v>
      </c>
      <c r="B104" s="11"/>
      <c r="C104" s="11"/>
      <c r="D104" s="11"/>
      <c r="E104" s="11" t="s">
        <v>40</v>
      </c>
      <c r="F104" s="11"/>
      <c r="G104" s="20" t="s">
        <v>740</v>
      </c>
      <c r="H104" s="10" t="s">
        <v>50</v>
      </c>
      <c r="I104" s="21" t="s">
        <v>627</v>
      </c>
      <c r="J104" s="10" t="s">
        <v>20</v>
      </c>
      <c r="K104" s="21" t="s">
        <v>625</v>
      </c>
      <c r="L104" s="16">
        <v>1</v>
      </c>
    </row>
    <row r="105" spans="1:12" ht="23.1" customHeight="1" x14ac:dyDescent="0.2">
      <c r="A105" s="11" t="s">
        <v>40</v>
      </c>
      <c r="B105" s="11"/>
      <c r="C105" s="11"/>
      <c r="D105" s="11"/>
      <c r="E105" s="11" t="s">
        <v>40</v>
      </c>
      <c r="F105" s="11"/>
      <c r="G105" s="11"/>
      <c r="H105" s="11" t="s">
        <v>50</v>
      </c>
      <c r="I105" s="21" t="s">
        <v>656</v>
      </c>
      <c r="J105" s="10" t="s">
        <v>20</v>
      </c>
      <c r="K105" s="21" t="s">
        <v>655</v>
      </c>
      <c r="L105" s="16">
        <v>1</v>
      </c>
    </row>
    <row r="106" spans="1:12" ht="23.1" customHeight="1" x14ac:dyDescent="0.2">
      <c r="A106" s="11" t="s">
        <v>40</v>
      </c>
      <c r="B106" s="11"/>
      <c r="C106" s="11"/>
      <c r="D106" s="11"/>
      <c r="E106" s="11" t="s">
        <v>40</v>
      </c>
      <c r="F106" s="20" t="s">
        <v>337</v>
      </c>
      <c r="G106" s="21" t="s">
        <v>739</v>
      </c>
      <c r="H106" s="10" t="s">
        <v>50</v>
      </c>
      <c r="I106" s="20" t="s">
        <v>40</v>
      </c>
      <c r="J106" s="20" t="s">
        <v>22</v>
      </c>
      <c r="K106" s="21" t="s">
        <v>649</v>
      </c>
      <c r="L106" s="16">
        <v>1</v>
      </c>
    </row>
    <row r="107" spans="1:12" ht="23.1" customHeight="1" x14ac:dyDescent="0.2">
      <c r="A107" s="11" t="s">
        <v>40</v>
      </c>
      <c r="B107" s="11"/>
      <c r="C107" s="11"/>
      <c r="D107" s="11"/>
      <c r="E107" s="11" t="s">
        <v>40</v>
      </c>
      <c r="F107" s="11"/>
      <c r="G107" s="21" t="s">
        <v>741</v>
      </c>
      <c r="H107" s="10" t="s">
        <v>50</v>
      </c>
      <c r="I107" s="10" t="s">
        <v>40</v>
      </c>
      <c r="J107" s="10" t="s">
        <v>22</v>
      </c>
      <c r="K107" s="21" t="s">
        <v>594</v>
      </c>
      <c r="L107" s="16">
        <v>1</v>
      </c>
    </row>
    <row r="108" spans="1:12" ht="23.1" customHeight="1" x14ac:dyDescent="0.2">
      <c r="A108" s="11" t="s">
        <v>40</v>
      </c>
      <c r="B108" s="11"/>
      <c r="C108" s="11"/>
      <c r="D108" s="11"/>
      <c r="E108" s="11" t="s">
        <v>40</v>
      </c>
      <c r="F108" s="11"/>
      <c r="G108" s="21" t="s">
        <v>742</v>
      </c>
      <c r="H108" s="10" t="s">
        <v>50</v>
      </c>
      <c r="I108" s="10" t="s">
        <v>40</v>
      </c>
      <c r="J108" s="10" t="s">
        <v>22</v>
      </c>
      <c r="K108" s="21" t="s">
        <v>644</v>
      </c>
      <c r="L108" s="16">
        <v>1</v>
      </c>
    </row>
    <row r="109" spans="1:12" ht="23.1" customHeight="1" x14ac:dyDescent="0.2">
      <c r="A109" s="11" t="s">
        <v>40</v>
      </c>
      <c r="B109" s="11"/>
      <c r="C109" s="11"/>
      <c r="D109" s="11"/>
      <c r="E109" s="11" t="s">
        <v>40</v>
      </c>
      <c r="F109" s="11"/>
      <c r="G109" s="21" t="s">
        <v>743</v>
      </c>
      <c r="H109" s="10" t="s">
        <v>50</v>
      </c>
      <c r="I109" s="10" t="s">
        <v>40</v>
      </c>
      <c r="J109" s="10" t="s">
        <v>22</v>
      </c>
      <c r="K109" s="21" t="s">
        <v>647</v>
      </c>
      <c r="L109" s="16">
        <v>1</v>
      </c>
    </row>
    <row r="110" spans="1:12" ht="23.1" customHeight="1" x14ac:dyDescent="0.2">
      <c r="A110" s="11" t="s">
        <v>40</v>
      </c>
      <c r="B110" s="11"/>
      <c r="C110" s="11"/>
      <c r="D110" s="11"/>
      <c r="E110" s="11" t="s">
        <v>40</v>
      </c>
      <c r="F110" s="11"/>
      <c r="G110" s="21" t="s">
        <v>744</v>
      </c>
      <c r="H110" s="10" t="s">
        <v>50</v>
      </c>
      <c r="I110" s="10" t="s">
        <v>40</v>
      </c>
      <c r="J110" s="10" t="s">
        <v>22</v>
      </c>
      <c r="K110" s="21" t="s">
        <v>641</v>
      </c>
      <c r="L110" s="16">
        <v>1</v>
      </c>
    </row>
    <row r="111" spans="1:12" ht="23.1" customHeight="1" x14ac:dyDescent="0.2">
      <c r="A111" s="11" t="s">
        <v>40</v>
      </c>
      <c r="B111" s="11"/>
      <c r="C111" s="11"/>
      <c r="D111" s="11"/>
      <c r="E111" s="11" t="s">
        <v>40</v>
      </c>
      <c r="F111" s="11"/>
      <c r="G111" s="21" t="s">
        <v>745</v>
      </c>
      <c r="H111" s="10" t="s">
        <v>50</v>
      </c>
      <c r="I111" s="10" t="s">
        <v>40</v>
      </c>
      <c r="J111" s="10" t="s">
        <v>22</v>
      </c>
      <c r="K111" s="21" t="s">
        <v>612</v>
      </c>
      <c r="L111" s="16">
        <v>1</v>
      </c>
    </row>
    <row r="112" spans="1:12" ht="23.1" customHeight="1" x14ac:dyDescent="0.2">
      <c r="A112" s="11" t="s">
        <v>40</v>
      </c>
      <c r="B112" s="11"/>
      <c r="C112" s="11"/>
      <c r="D112" s="11"/>
      <c r="E112" s="11" t="s">
        <v>40</v>
      </c>
      <c r="F112" s="11"/>
      <c r="G112" s="21" t="s">
        <v>746</v>
      </c>
      <c r="H112" s="10" t="s">
        <v>50</v>
      </c>
      <c r="I112" s="10" t="s">
        <v>40</v>
      </c>
      <c r="J112" s="10" t="s">
        <v>22</v>
      </c>
      <c r="K112" s="21" t="s">
        <v>632</v>
      </c>
      <c r="L112" s="16">
        <v>1</v>
      </c>
    </row>
    <row r="113" spans="1:12" ht="23.1" customHeight="1" x14ac:dyDescent="0.2">
      <c r="A113" s="11" t="s">
        <v>40</v>
      </c>
      <c r="B113" s="11"/>
      <c r="C113" s="11"/>
      <c r="D113" s="11"/>
      <c r="E113" s="11" t="s">
        <v>40</v>
      </c>
      <c r="F113" s="11"/>
      <c r="G113" s="21" t="s">
        <v>747</v>
      </c>
      <c r="H113" s="10" t="s">
        <v>50</v>
      </c>
      <c r="I113" s="10" t="s">
        <v>40</v>
      </c>
      <c r="J113" s="10" t="s">
        <v>22</v>
      </c>
      <c r="K113" s="21" t="s">
        <v>603</v>
      </c>
      <c r="L113" s="16">
        <v>1</v>
      </c>
    </row>
    <row r="114" spans="1:12" ht="23.1" customHeight="1" x14ac:dyDescent="0.2">
      <c r="A114" s="11" t="s">
        <v>40</v>
      </c>
      <c r="B114" s="11"/>
      <c r="C114" s="11"/>
      <c r="D114" s="11"/>
      <c r="E114" s="11" t="s">
        <v>40</v>
      </c>
      <c r="F114" s="11"/>
      <c r="G114" s="20" t="s">
        <v>748</v>
      </c>
      <c r="H114" s="10" t="s">
        <v>50</v>
      </c>
      <c r="I114" s="10" t="s">
        <v>40</v>
      </c>
      <c r="J114" s="10" t="s">
        <v>22</v>
      </c>
      <c r="K114" s="21" t="s">
        <v>621</v>
      </c>
      <c r="L114" s="16">
        <v>1</v>
      </c>
    </row>
    <row r="115" spans="1:12" ht="23.1" customHeight="1" x14ac:dyDescent="0.2">
      <c r="A115" s="11" t="s">
        <v>40</v>
      </c>
      <c r="B115" s="11"/>
      <c r="C115" s="11"/>
      <c r="D115" s="11"/>
      <c r="E115" s="11" t="s">
        <v>40</v>
      </c>
      <c r="F115" s="11"/>
      <c r="G115" s="11"/>
      <c r="H115" s="11" t="s">
        <v>50</v>
      </c>
      <c r="I115" s="11" t="s">
        <v>40</v>
      </c>
      <c r="J115" s="11" t="s">
        <v>22</v>
      </c>
      <c r="K115" s="23" t="s">
        <v>623</v>
      </c>
      <c r="L115" s="18">
        <v>1</v>
      </c>
    </row>
    <row r="116" spans="1:12" ht="23.1" customHeight="1" x14ac:dyDescent="0.2">
      <c r="A116" s="11" t="s">
        <v>40</v>
      </c>
      <c r="B116" s="11"/>
      <c r="C116" s="11"/>
      <c r="D116" s="11"/>
      <c r="E116" s="11" t="s">
        <v>40</v>
      </c>
      <c r="F116" s="11"/>
      <c r="G116" s="20" t="s">
        <v>749</v>
      </c>
      <c r="H116" s="10" t="s">
        <v>50</v>
      </c>
      <c r="I116" s="10" t="s">
        <v>40</v>
      </c>
      <c r="J116" s="10" t="s">
        <v>22</v>
      </c>
      <c r="K116" s="21" t="s">
        <v>602</v>
      </c>
      <c r="L116" s="16">
        <v>1</v>
      </c>
    </row>
    <row r="117" spans="1:12" ht="23.1" customHeight="1" x14ac:dyDescent="0.2">
      <c r="A117" s="11" t="s">
        <v>40</v>
      </c>
      <c r="B117" s="11"/>
      <c r="C117" s="11"/>
      <c r="D117" s="11"/>
      <c r="E117" s="11" t="s">
        <v>40</v>
      </c>
      <c r="F117" s="11"/>
      <c r="G117" s="11"/>
      <c r="H117" s="11" t="s">
        <v>50</v>
      </c>
      <c r="I117" s="11" t="s">
        <v>40</v>
      </c>
      <c r="J117" s="11" t="s">
        <v>22</v>
      </c>
      <c r="K117" s="23" t="s">
        <v>599</v>
      </c>
      <c r="L117" s="18">
        <v>1</v>
      </c>
    </row>
    <row r="118" spans="1:12" ht="23.1" customHeight="1" x14ac:dyDescent="0.2">
      <c r="A118" s="11" t="s">
        <v>40</v>
      </c>
      <c r="B118" s="11"/>
      <c r="C118" s="11"/>
      <c r="D118" s="11"/>
      <c r="E118" s="11" t="s">
        <v>40</v>
      </c>
      <c r="F118" s="11"/>
      <c r="G118" s="21" t="s">
        <v>750</v>
      </c>
      <c r="H118" s="10" t="s">
        <v>50</v>
      </c>
      <c r="I118" s="10" t="s">
        <v>40</v>
      </c>
      <c r="J118" s="10" t="s">
        <v>22</v>
      </c>
      <c r="K118" s="21" t="s">
        <v>588</v>
      </c>
      <c r="L118" s="16">
        <v>1</v>
      </c>
    </row>
    <row r="119" spans="1:12" ht="23.1" customHeight="1" x14ac:dyDescent="0.2">
      <c r="A119" s="11" t="s">
        <v>40</v>
      </c>
      <c r="B119" s="11"/>
      <c r="C119" s="11"/>
      <c r="D119" s="11"/>
      <c r="E119" s="11" t="s">
        <v>40</v>
      </c>
      <c r="F119" s="11"/>
      <c r="G119" s="21" t="s">
        <v>751</v>
      </c>
      <c r="H119" s="10" t="s">
        <v>50</v>
      </c>
      <c r="I119" s="10" t="s">
        <v>40</v>
      </c>
      <c r="J119" s="10" t="s">
        <v>22</v>
      </c>
      <c r="K119" s="21" t="s">
        <v>615</v>
      </c>
      <c r="L119" s="16">
        <v>1</v>
      </c>
    </row>
    <row r="120" spans="1:12" ht="23.1" customHeight="1" x14ac:dyDescent="0.2">
      <c r="A120" s="11" t="s">
        <v>40</v>
      </c>
      <c r="B120" s="11"/>
      <c r="C120" s="11"/>
      <c r="D120" s="11"/>
      <c r="E120" s="11" t="s">
        <v>40</v>
      </c>
      <c r="F120" s="11"/>
      <c r="G120" s="21" t="s">
        <v>752</v>
      </c>
      <c r="H120" s="10" t="s">
        <v>50</v>
      </c>
      <c r="I120" s="10" t="s">
        <v>40</v>
      </c>
      <c r="J120" s="10" t="s">
        <v>22</v>
      </c>
      <c r="K120" s="21" t="s">
        <v>591</v>
      </c>
      <c r="L120" s="16">
        <v>1</v>
      </c>
    </row>
    <row r="121" spans="1:12" ht="23.1" customHeight="1" x14ac:dyDescent="0.2">
      <c r="A121" s="11" t="s">
        <v>40</v>
      </c>
      <c r="B121" s="11"/>
      <c r="C121" s="11"/>
      <c r="D121" s="11"/>
      <c r="E121" s="11" t="s">
        <v>40</v>
      </c>
      <c r="F121" s="11"/>
      <c r="G121" s="21" t="s">
        <v>753</v>
      </c>
      <c r="H121" s="10" t="s">
        <v>50</v>
      </c>
      <c r="I121" s="10" t="s">
        <v>40</v>
      </c>
      <c r="J121" s="10" t="s">
        <v>22</v>
      </c>
      <c r="K121" s="21" t="s">
        <v>629</v>
      </c>
      <c r="L121" s="16">
        <v>1</v>
      </c>
    </row>
    <row r="122" spans="1:12" ht="23.1" customHeight="1" x14ac:dyDescent="0.2">
      <c r="A122" s="11" t="s">
        <v>40</v>
      </c>
      <c r="B122" s="11"/>
      <c r="C122" s="11"/>
      <c r="D122" s="11"/>
      <c r="E122" s="11" t="s">
        <v>40</v>
      </c>
      <c r="F122" s="11"/>
      <c r="G122" s="21" t="s">
        <v>754</v>
      </c>
      <c r="H122" s="10" t="s">
        <v>50</v>
      </c>
      <c r="I122" s="10" t="s">
        <v>40</v>
      </c>
      <c r="J122" s="10" t="s">
        <v>22</v>
      </c>
      <c r="K122" s="21" t="s">
        <v>638</v>
      </c>
      <c r="L122" s="16">
        <v>1</v>
      </c>
    </row>
    <row r="123" spans="1:12" ht="23.1" customHeight="1" x14ac:dyDescent="0.2">
      <c r="A123" s="11" t="s">
        <v>40</v>
      </c>
      <c r="B123" s="11"/>
      <c r="C123" s="11"/>
      <c r="D123" s="11"/>
      <c r="E123" s="11" t="s">
        <v>40</v>
      </c>
      <c r="F123" s="11"/>
      <c r="G123" s="21" t="s">
        <v>755</v>
      </c>
      <c r="H123" s="10" t="s">
        <v>50</v>
      </c>
      <c r="I123" s="10" t="s">
        <v>40</v>
      </c>
      <c r="J123" s="10" t="s">
        <v>22</v>
      </c>
      <c r="K123" s="21" t="s">
        <v>609</v>
      </c>
      <c r="L123" s="16">
        <v>1</v>
      </c>
    </row>
    <row r="124" spans="1:12" ht="23.1" customHeight="1" x14ac:dyDescent="0.2">
      <c r="A124" s="11" t="s">
        <v>40</v>
      </c>
      <c r="B124" s="11"/>
      <c r="C124" s="11"/>
      <c r="D124" s="11"/>
      <c r="E124" s="11" t="s">
        <v>40</v>
      </c>
      <c r="F124" s="11"/>
      <c r="G124" s="21" t="s">
        <v>756</v>
      </c>
      <c r="H124" s="10" t="s">
        <v>50</v>
      </c>
      <c r="I124" s="10" t="s">
        <v>40</v>
      </c>
      <c r="J124" s="10" t="s">
        <v>22</v>
      </c>
      <c r="K124" s="21" t="s">
        <v>652</v>
      </c>
      <c r="L124" s="16">
        <v>1</v>
      </c>
    </row>
    <row r="125" spans="1:12" ht="23.1" customHeight="1" x14ac:dyDescent="0.2">
      <c r="A125" s="11" t="s">
        <v>40</v>
      </c>
      <c r="B125" s="11"/>
      <c r="C125" s="11"/>
      <c r="D125" s="11"/>
      <c r="E125" s="11" t="s">
        <v>40</v>
      </c>
      <c r="F125" s="11"/>
      <c r="G125" s="21" t="s">
        <v>757</v>
      </c>
      <c r="H125" s="10" t="s">
        <v>50</v>
      </c>
      <c r="I125" s="10" t="s">
        <v>40</v>
      </c>
      <c r="J125" s="10" t="s">
        <v>22</v>
      </c>
      <c r="K125" s="21" t="s">
        <v>606</v>
      </c>
      <c r="L125" s="16">
        <v>1</v>
      </c>
    </row>
    <row r="126" spans="1:12" ht="23.1" customHeight="1" x14ac:dyDescent="0.2">
      <c r="A126" s="11" t="s">
        <v>40</v>
      </c>
      <c r="B126" s="11"/>
      <c r="C126" s="11"/>
      <c r="D126" s="11"/>
      <c r="E126" s="11" t="s">
        <v>40</v>
      </c>
      <c r="F126" s="11"/>
      <c r="G126" s="21" t="s">
        <v>758</v>
      </c>
      <c r="H126" s="10" t="s">
        <v>50</v>
      </c>
      <c r="I126" s="10" t="s">
        <v>40</v>
      </c>
      <c r="J126" s="10" t="s">
        <v>22</v>
      </c>
      <c r="K126" s="21" t="s">
        <v>597</v>
      </c>
      <c r="L126" s="16">
        <v>1</v>
      </c>
    </row>
    <row r="127" spans="1:12" ht="23.1" customHeight="1" x14ac:dyDescent="0.2">
      <c r="A127" s="11" t="s">
        <v>40</v>
      </c>
      <c r="B127" s="11"/>
      <c r="C127" s="11"/>
      <c r="D127" s="11"/>
      <c r="E127" s="11" t="s">
        <v>40</v>
      </c>
      <c r="F127" s="11"/>
      <c r="G127" s="21" t="s">
        <v>759</v>
      </c>
      <c r="H127" s="10" t="s">
        <v>50</v>
      </c>
      <c r="I127" s="10" t="s">
        <v>40</v>
      </c>
      <c r="J127" s="10" t="s">
        <v>22</v>
      </c>
      <c r="K127" s="21" t="s">
        <v>618</v>
      </c>
      <c r="L127" s="16">
        <v>1</v>
      </c>
    </row>
    <row r="128" spans="1:12" ht="23.1" customHeight="1" x14ac:dyDescent="0.2">
      <c r="A128" s="11" t="s">
        <v>40</v>
      </c>
      <c r="B128" s="11"/>
      <c r="C128" s="11"/>
      <c r="D128" s="11"/>
      <c r="E128" s="11" t="s">
        <v>40</v>
      </c>
      <c r="F128" s="21" t="s">
        <v>72</v>
      </c>
      <c r="G128" s="21" t="s">
        <v>223</v>
      </c>
      <c r="H128" s="10" t="s">
        <v>50</v>
      </c>
      <c r="I128" s="10" t="s">
        <v>40</v>
      </c>
      <c r="J128" s="10" t="s">
        <v>22</v>
      </c>
      <c r="K128" s="21" t="s">
        <v>203</v>
      </c>
      <c r="L128" s="16">
        <v>1</v>
      </c>
    </row>
    <row r="129" spans="1:12" ht="23.1" customHeight="1" x14ac:dyDescent="0.2">
      <c r="A129" s="11" t="s">
        <v>40</v>
      </c>
      <c r="B129" s="11"/>
      <c r="C129" s="11"/>
      <c r="D129" s="11"/>
      <c r="E129" s="11" t="s">
        <v>40</v>
      </c>
      <c r="F129" s="21" t="s">
        <v>222</v>
      </c>
      <c r="G129" s="21" t="s">
        <v>224</v>
      </c>
      <c r="H129" s="10" t="s">
        <v>50</v>
      </c>
      <c r="I129" s="10" t="s">
        <v>40</v>
      </c>
      <c r="J129" s="10" t="s">
        <v>22</v>
      </c>
      <c r="K129" s="21" t="s">
        <v>200</v>
      </c>
      <c r="L129" s="16">
        <v>1</v>
      </c>
    </row>
    <row r="130" spans="1:12" ht="23.1" customHeight="1" x14ac:dyDescent="0.2">
      <c r="A130" s="11" t="s">
        <v>40</v>
      </c>
      <c r="B130" s="11"/>
      <c r="C130" s="11"/>
      <c r="D130" s="20" t="s">
        <v>580</v>
      </c>
      <c r="E130" s="10" t="s">
        <v>40</v>
      </c>
      <c r="F130" s="20" t="s">
        <v>719</v>
      </c>
      <c r="G130" s="21" t="s">
        <v>760</v>
      </c>
      <c r="H130" s="10" t="s">
        <v>50</v>
      </c>
      <c r="I130" s="21" t="s">
        <v>586</v>
      </c>
      <c r="J130" s="20" t="s">
        <v>20</v>
      </c>
      <c r="K130" s="21" t="s">
        <v>585</v>
      </c>
      <c r="L130" s="16">
        <v>1</v>
      </c>
    </row>
    <row r="131" spans="1:12" ht="23.1" customHeight="1" x14ac:dyDescent="0.2">
      <c r="A131" s="11" t="s">
        <v>40</v>
      </c>
      <c r="B131" s="11"/>
      <c r="C131" s="11"/>
      <c r="D131" s="11"/>
      <c r="E131" s="11" t="s">
        <v>40</v>
      </c>
      <c r="F131" s="11"/>
      <c r="G131" s="21" t="s">
        <v>579</v>
      </c>
      <c r="H131" s="10" t="s">
        <v>50</v>
      </c>
      <c r="I131" s="21" t="s">
        <v>578</v>
      </c>
      <c r="J131" s="10" t="s">
        <v>20</v>
      </c>
      <c r="K131" s="21" t="s">
        <v>576</v>
      </c>
      <c r="L131" s="16">
        <v>1</v>
      </c>
    </row>
    <row r="132" spans="1:12" ht="23.1" customHeight="1" x14ac:dyDescent="0.2">
      <c r="A132" s="11" t="s">
        <v>40</v>
      </c>
      <c r="B132" s="11"/>
      <c r="C132" s="11"/>
      <c r="D132" s="11"/>
      <c r="E132" s="11" t="s">
        <v>40</v>
      </c>
      <c r="F132" s="11"/>
      <c r="G132" s="21" t="s">
        <v>761</v>
      </c>
      <c r="H132" s="10" t="s">
        <v>50</v>
      </c>
      <c r="I132" s="21" t="s">
        <v>583</v>
      </c>
      <c r="J132" s="10" t="s">
        <v>20</v>
      </c>
      <c r="K132" s="21" t="s">
        <v>581</v>
      </c>
      <c r="L132" s="16">
        <v>1</v>
      </c>
    </row>
    <row r="133" spans="1:12" ht="23.1" customHeight="1" x14ac:dyDescent="0.2">
      <c r="A133" s="11" t="s">
        <v>40</v>
      </c>
      <c r="B133" s="11"/>
      <c r="C133" s="11"/>
      <c r="D133" s="20" t="s">
        <v>564</v>
      </c>
      <c r="E133" s="10" t="s">
        <v>40</v>
      </c>
      <c r="F133" s="21" t="s">
        <v>717</v>
      </c>
      <c r="G133" s="21" t="s">
        <v>762</v>
      </c>
      <c r="H133" s="10" t="s">
        <v>50</v>
      </c>
      <c r="I133" s="20" t="s">
        <v>40</v>
      </c>
      <c r="J133" s="20" t="s">
        <v>22</v>
      </c>
      <c r="K133" s="21" t="s">
        <v>561</v>
      </c>
      <c r="L133" s="16">
        <v>1</v>
      </c>
    </row>
    <row r="134" spans="1:12" ht="23.1" customHeight="1" x14ac:dyDescent="0.2">
      <c r="A134" s="11" t="s">
        <v>40</v>
      </c>
      <c r="B134" s="11"/>
      <c r="C134" s="11"/>
      <c r="D134" s="11"/>
      <c r="E134" s="11" t="s">
        <v>40</v>
      </c>
      <c r="F134" s="21" t="s">
        <v>721</v>
      </c>
      <c r="G134" s="21" t="s">
        <v>763</v>
      </c>
      <c r="H134" s="10" t="s">
        <v>50</v>
      </c>
      <c r="I134" s="10" t="s">
        <v>40</v>
      </c>
      <c r="J134" s="10" t="s">
        <v>22</v>
      </c>
      <c r="K134" s="21" t="s">
        <v>565</v>
      </c>
      <c r="L134" s="16">
        <v>1</v>
      </c>
    </row>
    <row r="135" spans="1:12" ht="23.1" customHeight="1" x14ac:dyDescent="0.2">
      <c r="A135" s="11" t="s">
        <v>40</v>
      </c>
      <c r="B135" s="11"/>
      <c r="C135" s="11"/>
      <c r="D135" s="11"/>
      <c r="E135" s="11" t="s">
        <v>40</v>
      </c>
      <c r="F135" s="21" t="s">
        <v>149</v>
      </c>
      <c r="G135" s="21" t="s">
        <v>764</v>
      </c>
      <c r="H135" s="10" t="s">
        <v>50</v>
      </c>
      <c r="I135" s="10" t="s">
        <v>40</v>
      </c>
      <c r="J135" s="10" t="s">
        <v>22</v>
      </c>
      <c r="K135" s="21" t="s">
        <v>568</v>
      </c>
      <c r="L135" s="16">
        <v>1</v>
      </c>
    </row>
    <row r="136" spans="1:12" ht="23.1" customHeight="1" x14ac:dyDescent="0.2">
      <c r="A136" s="11" t="s">
        <v>40</v>
      </c>
      <c r="B136" s="11"/>
      <c r="C136" s="11"/>
      <c r="D136" s="20" t="s">
        <v>515</v>
      </c>
      <c r="E136" s="10" t="s">
        <v>40</v>
      </c>
      <c r="F136" s="20" t="s">
        <v>718</v>
      </c>
      <c r="G136" s="21" t="s">
        <v>765</v>
      </c>
      <c r="H136" s="10" t="s">
        <v>50</v>
      </c>
      <c r="I136" s="10" t="s">
        <v>40</v>
      </c>
      <c r="J136" s="10" t="s">
        <v>22</v>
      </c>
      <c r="K136" s="21" t="s">
        <v>551</v>
      </c>
      <c r="L136" s="16">
        <v>1</v>
      </c>
    </row>
    <row r="137" spans="1:12" ht="23.1" customHeight="1" x14ac:dyDescent="0.2">
      <c r="A137" s="11" t="s">
        <v>40</v>
      </c>
      <c r="B137" s="11"/>
      <c r="C137" s="11"/>
      <c r="D137" s="11"/>
      <c r="E137" s="11" t="s">
        <v>40</v>
      </c>
      <c r="F137" s="11"/>
      <c r="G137" s="21" t="s">
        <v>766</v>
      </c>
      <c r="H137" s="10" t="s">
        <v>50</v>
      </c>
      <c r="I137" s="10" t="s">
        <v>40</v>
      </c>
      <c r="J137" s="10" t="s">
        <v>22</v>
      </c>
      <c r="K137" s="21" t="s">
        <v>523</v>
      </c>
      <c r="L137" s="16">
        <v>1</v>
      </c>
    </row>
    <row r="138" spans="1:12" ht="23.1" customHeight="1" x14ac:dyDescent="0.2">
      <c r="A138" s="11" t="s">
        <v>40</v>
      </c>
      <c r="B138" s="11"/>
      <c r="C138" s="11"/>
      <c r="D138" s="11"/>
      <c r="E138" s="11" t="s">
        <v>40</v>
      </c>
      <c r="F138" s="20" t="s">
        <v>717</v>
      </c>
      <c r="G138" s="21" t="s">
        <v>767</v>
      </c>
      <c r="H138" s="10" t="s">
        <v>50</v>
      </c>
      <c r="I138" s="21" t="s">
        <v>556</v>
      </c>
      <c r="J138" s="21" t="s">
        <v>20</v>
      </c>
      <c r="K138" s="21" t="s">
        <v>554</v>
      </c>
      <c r="L138" s="16">
        <v>1</v>
      </c>
    </row>
    <row r="139" spans="1:12" ht="23.1" customHeight="1" x14ac:dyDescent="0.2">
      <c r="A139" s="11" t="s">
        <v>40</v>
      </c>
      <c r="B139" s="11"/>
      <c r="C139" s="11"/>
      <c r="D139" s="11"/>
      <c r="E139" s="11" t="s">
        <v>40</v>
      </c>
      <c r="F139" s="11"/>
      <c r="G139" s="21" t="s">
        <v>768</v>
      </c>
      <c r="H139" s="10" t="s">
        <v>50</v>
      </c>
      <c r="I139" s="20" t="s">
        <v>40</v>
      </c>
      <c r="J139" s="20" t="s">
        <v>22</v>
      </c>
      <c r="K139" s="21" t="s">
        <v>526</v>
      </c>
      <c r="L139" s="16">
        <v>1</v>
      </c>
    </row>
    <row r="140" spans="1:12" ht="23.1" customHeight="1" x14ac:dyDescent="0.2">
      <c r="A140" s="11" t="s">
        <v>40</v>
      </c>
      <c r="B140" s="11"/>
      <c r="C140" s="11"/>
      <c r="D140" s="11"/>
      <c r="E140" s="11" t="s">
        <v>40</v>
      </c>
      <c r="F140" s="20" t="s">
        <v>721</v>
      </c>
      <c r="G140" s="21" t="s">
        <v>769</v>
      </c>
      <c r="H140" s="10" t="s">
        <v>50</v>
      </c>
      <c r="I140" s="10" t="s">
        <v>40</v>
      </c>
      <c r="J140" s="10" t="s">
        <v>22</v>
      </c>
      <c r="K140" s="21" t="s">
        <v>512</v>
      </c>
      <c r="L140" s="16">
        <v>1</v>
      </c>
    </row>
    <row r="141" spans="1:12" ht="23.1" customHeight="1" x14ac:dyDescent="0.2">
      <c r="A141" s="11" t="s">
        <v>40</v>
      </c>
      <c r="B141" s="11"/>
      <c r="C141" s="11"/>
      <c r="D141" s="11"/>
      <c r="E141" s="11" t="s">
        <v>40</v>
      </c>
      <c r="F141" s="11"/>
      <c r="G141" s="21" t="s">
        <v>770</v>
      </c>
      <c r="H141" s="10" t="s">
        <v>50</v>
      </c>
      <c r="I141" s="10" t="s">
        <v>40</v>
      </c>
      <c r="J141" s="10" t="s">
        <v>22</v>
      </c>
      <c r="K141" s="21" t="s">
        <v>534</v>
      </c>
      <c r="L141" s="16">
        <v>1</v>
      </c>
    </row>
    <row r="142" spans="1:12" ht="23.1" customHeight="1" x14ac:dyDescent="0.2">
      <c r="A142" s="11" t="s">
        <v>40</v>
      </c>
      <c r="B142" s="11"/>
      <c r="C142" s="11"/>
      <c r="D142" s="11"/>
      <c r="E142" s="11" t="s">
        <v>40</v>
      </c>
      <c r="F142" s="11"/>
      <c r="G142" s="21" t="s">
        <v>771</v>
      </c>
      <c r="H142" s="10" t="s">
        <v>50</v>
      </c>
      <c r="I142" s="10" t="s">
        <v>40</v>
      </c>
      <c r="J142" s="10" t="s">
        <v>22</v>
      </c>
      <c r="K142" s="21" t="s">
        <v>529</v>
      </c>
      <c r="L142" s="16">
        <v>1</v>
      </c>
    </row>
    <row r="143" spans="1:12" ht="23.1" customHeight="1" x14ac:dyDescent="0.2">
      <c r="A143" s="11" t="s">
        <v>40</v>
      </c>
      <c r="B143" s="11"/>
      <c r="C143" s="11"/>
      <c r="D143" s="11"/>
      <c r="E143" s="11" t="s">
        <v>40</v>
      </c>
      <c r="F143" s="21" t="s">
        <v>719</v>
      </c>
      <c r="G143" s="21" t="s">
        <v>772</v>
      </c>
      <c r="H143" s="10" t="s">
        <v>50</v>
      </c>
      <c r="I143" s="10" t="s">
        <v>40</v>
      </c>
      <c r="J143" s="10" t="s">
        <v>22</v>
      </c>
      <c r="K143" s="21" t="s">
        <v>520</v>
      </c>
      <c r="L143" s="16">
        <v>1</v>
      </c>
    </row>
    <row r="144" spans="1:12" ht="23.1" customHeight="1" x14ac:dyDescent="0.2">
      <c r="A144" s="11" t="s">
        <v>40</v>
      </c>
      <c r="B144" s="11"/>
      <c r="C144" s="11"/>
      <c r="D144" s="11"/>
      <c r="E144" s="11" t="s">
        <v>40</v>
      </c>
      <c r="F144" s="21" t="s">
        <v>149</v>
      </c>
      <c r="G144" s="21" t="s">
        <v>773</v>
      </c>
      <c r="H144" s="10" t="s">
        <v>50</v>
      </c>
      <c r="I144" s="10" t="s">
        <v>40</v>
      </c>
      <c r="J144" s="10" t="s">
        <v>22</v>
      </c>
      <c r="K144" s="21" t="s">
        <v>537</v>
      </c>
      <c r="L144" s="16">
        <v>1</v>
      </c>
    </row>
    <row r="145" spans="1:12" ht="23.1" customHeight="1" x14ac:dyDescent="0.2">
      <c r="A145" s="11" t="s">
        <v>40</v>
      </c>
      <c r="B145" s="11"/>
      <c r="C145" s="11"/>
      <c r="D145" s="11"/>
      <c r="E145" s="11" t="s">
        <v>40</v>
      </c>
      <c r="F145" s="20" t="s">
        <v>722</v>
      </c>
      <c r="G145" s="21" t="s">
        <v>545</v>
      </c>
      <c r="H145" s="10" t="s">
        <v>50</v>
      </c>
      <c r="I145" s="21" t="s">
        <v>544</v>
      </c>
      <c r="J145" s="20" t="s">
        <v>20</v>
      </c>
      <c r="K145" s="21" t="s">
        <v>542</v>
      </c>
      <c r="L145" s="16">
        <v>1</v>
      </c>
    </row>
    <row r="146" spans="1:12" ht="23.1" customHeight="1" x14ac:dyDescent="0.2">
      <c r="A146" s="11" t="s">
        <v>40</v>
      </c>
      <c r="B146" s="11"/>
      <c r="C146" s="11"/>
      <c r="D146" s="11"/>
      <c r="E146" s="11" t="s">
        <v>40</v>
      </c>
      <c r="F146" s="11"/>
      <c r="G146" s="21" t="s">
        <v>548</v>
      </c>
      <c r="H146" s="10" t="s">
        <v>50</v>
      </c>
      <c r="I146" s="21" t="s">
        <v>547</v>
      </c>
      <c r="J146" s="10" t="s">
        <v>20</v>
      </c>
      <c r="K146" s="21" t="s">
        <v>546</v>
      </c>
      <c r="L146" s="16">
        <v>1</v>
      </c>
    </row>
    <row r="147" spans="1:12" ht="23.1" customHeight="1" x14ac:dyDescent="0.2">
      <c r="A147" s="11" t="s">
        <v>40</v>
      </c>
      <c r="B147" s="11"/>
      <c r="C147" s="11"/>
      <c r="D147" s="11"/>
      <c r="E147" s="11" t="s">
        <v>40</v>
      </c>
      <c r="F147" s="20" t="s">
        <v>720</v>
      </c>
      <c r="G147" s="21" t="s">
        <v>774</v>
      </c>
      <c r="H147" s="10" t="s">
        <v>50</v>
      </c>
      <c r="I147" s="21" t="s">
        <v>518</v>
      </c>
      <c r="J147" s="10" t="s">
        <v>20</v>
      </c>
      <c r="K147" s="21" t="s">
        <v>516</v>
      </c>
      <c r="L147" s="16">
        <v>1</v>
      </c>
    </row>
    <row r="148" spans="1:12" ht="23.1" customHeight="1" x14ac:dyDescent="0.2">
      <c r="A148" s="11" t="s">
        <v>40</v>
      </c>
      <c r="B148" s="11"/>
      <c r="C148" s="11"/>
      <c r="D148" s="11"/>
      <c r="E148" s="11" t="s">
        <v>40</v>
      </c>
      <c r="F148" s="11"/>
      <c r="G148" s="21" t="s">
        <v>775</v>
      </c>
      <c r="H148" s="10" t="s">
        <v>50</v>
      </c>
      <c r="I148" s="20" t="s">
        <v>40</v>
      </c>
      <c r="J148" s="20" t="s">
        <v>22</v>
      </c>
      <c r="K148" s="21" t="s">
        <v>531</v>
      </c>
      <c r="L148" s="16">
        <v>1</v>
      </c>
    </row>
    <row r="149" spans="1:12" ht="23.1" customHeight="1" x14ac:dyDescent="0.2">
      <c r="A149" s="11" t="s">
        <v>40</v>
      </c>
      <c r="B149" s="11"/>
      <c r="C149" s="11"/>
      <c r="D149" s="11"/>
      <c r="E149" s="11" t="s">
        <v>40</v>
      </c>
      <c r="F149" s="11"/>
      <c r="G149" s="21" t="s">
        <v>776</v>
      </c>
      <c r="H149" s="10" t="s">
        <v>50</v>
      </c>
      <c r="I149" s="10" t="s">
        <v>40</v>
      </c>
      <c r="J149" s="10" t="s">
        <v>22</v>
      </c>
      <c r="K149" s="21" t="s">
        <v>540</v>
      </c>
      <c r="L149" s="16">
        <v>1</v>
      </c>
    </row>
    <row r="150" spans="1:12" ht="23.1" customHeight="1" x14ac:dyDescent="0.2">
      <c r="A150" s="11" t="s">
        <v>40</v>
      </c>
      <c r="B150" s="11"/>
      <c r="C150" s="11"/>
      <c r="D150" s="11"/>
      <c r="E150" s="11" t="s">
        <v>40</v>
      </c>
      <c r="F150" s="21" t="s">
        <v>337</v>
      </c>
      <c r="G150" s="21" t="s">
        <v>777</v>
      </c>
      <c r="H150" s="10" t="s">
        <v>50</v>
      </c>
      <c r="I150" s="10" t="s">
        <v>40</v>
      </c>
      <c r="J150" s="10" t="s">
        <v>22</v>
      </c>
      <c r="K150" s="21" t="s">
        <v>549</v>
      </c>
      <c r="L150" s="16">
        <v>1</v>
      </c>
    </row>
    <row r="151" spans="1:12" ht="23.1" customHeight="1" x14ac:dyDescent="0.2">
      <c r="A151" s="11" t="s">
        <v>40</v>
      </c>
      <c r="B151" s="11"/>
      <c r="C151" s="11"/>
      <c r="D151" s="20" t="s">
        <v>507</v>
      </c>
      <c r="E151" s="10" t="s">
        <v>40</v>
      </c>
      <c r="F151" s="21" t="s">
        <v>723</v>
      </c>
      <c r="G151" s="21" t="s">
        <v>506</v>
      </c>
      <c r="H151" s="10" t="s">
        <v>50</v>
      </c>
      <c r="I151" s="21" t="s">
        <v>505</v>
      </c>
      <c r="J151" s="20" t="s">
        <v>20</v>
      </c>
      <c r="K151" s="21" t="s">
        <v>503</v>
      </c>
      <c r="L151" s="16">
        <v>1</v>
      </c>
    </row>
    <row r="152" spans="1:12" ht="23.1" customHeight="1" x14ac:dyDescent="0.2">
      <c r="A152" s="11" t="s">
        <v>40</v>
      </c>
      <c r="B152" s="11"/>
      <c r="C152" s="11"/>
      <c r="D152" s="11"/>
      <c r="E152" s="11" t="s">
        <v>40</v>
      </c>
      <c r="F152" s="21" t="s">
        <v>724</v>
      </c>
      <c r="G152" s="21" t="s">
        <v>511</v>
      </c>
      <c r="H152" s="10" t="s">
        <v>50</v>
      </c>
      <c r="I152" s="21" t="s">
        <v>510</v>
      </c>
      <c r="J152" s="10" t="s">
        <v>20</v>
      </c>
      <c r="K152" s="21" t="s">
        <v>508</v>
      </c>
      <c r="L152" s="16">
        <v>1</v>
      </c>
    </row>
    <row r="153" spans="1:12" ht="23.1" customHeight="1" x14ac:dyDescent="0.2">
      <c r="A153" s="11" t="s">
        <v>40</v>
      </c>
      <c r="B153" s="11"/>
      <c r="C153" s="11"/>
      <c r="D153" s="21" t="s">
        <v>173</v>
      </c>
      <c r="E153" s="10" t="s">
        <v>40</v>
      </c>
      <c r="F153" s="21" t="s">
        <v>174</v>
      </c>
      <c r="G153" s="21" t="s">
        <v>172</v>
      </c>
      <c r="H153" s="10" t="s">
        <v>50</v>
      </c>
      <c r="I153" s="21" t="s">
        <v>171</v>
      </c>
      <c r="J153" s="10" t="s">
        <v>20</v>
      </c>
      <c r="K153" s="21" t="s">
        <v>169</v>
      </c>
      <c r="L153" s="16">
        <v>1</v>
      </c>
    </row>
    <row r="154" spans="1:12" ht="23.1" customHeight="1" x14ac:dyDescent="0.2">
      <c r="A154" s="11" t="s">
        <v>40</v>
      </c>
      <c r="B154" s="11"/>
      <c r="C154" s="11"/>
      <c r="D154" s="20" t="s">
        <v>466</v>
      </c>
      <c r="E154" s="10" t="s">
        <v>40</v>
      </c>
      <c r="F154" s="20" t="s">
        <v>718</v>
      </c>
      <c r="G154" s="21" t="s">
        <v>778</v>
      </c>
      <c r="H154" s="10" t="s">
        <v>50</v>
      </c>
      <c r="I154" s="20" t="s">
        <v>40</v>
      </c>
      <c r="J154" s="20" t="s">
        <v>22</v>
      </c>
      <c r="K154" s="21" t="s">
        <v>473</v>
      </c>
      <c r="L154" s="16">
        <v>1</v>
      </c>
    </row>
    <row r="155" spans="1:12" ht="23.1" customHeight="1" x14ac:dyDescent="0.2">
      <c r="A155" s="11" t="s">
        <v>40</v>
      </c>
      <c r="B155" s="11"/>
      <c r="C155" s="11"/>
      <c r="D155" s="11"/>
      <c r="E155" s="11" t="s">
        <v>40</v>
      </c>
      <c r="F155" s="11"/>
      <c r="G155" s="21" t="s">
        <v>779</v>
      </c>
      <c r="H155" s="10" t="s">
        <v>50</v>
      </c>
      <c r="I155" s="10" t="s">
        <v>40</v>
      </c>
      <c r="J155" s="10" t="s">
        <v>22</v>
      </c>
      <c r="K155" s="21" t="s">
        <v>476</v>
      </c>
      <c r="L155" s="16">
        <v>1</v>
      </c>
    </row>
    <row r="156" spans="1:12" ht="23.1" customHeight="1" x14ac:dyDescent="0.2">
      <c r="A156" s="11" t="s">
        <v>40</v>
      </c>
      <c r="B156" s="11"/>
      <c r="C156" s="11"/>
      <c r="D156" s="11"/>
      <c r="E156" s="11" t="s">
        <v>40</v>
      </c>
      <c r="F156" s="21" t="s">
        <v>717</v>
      </c>
      <c r="G156" s="21" t="s">
        <v>780</v>
      </c>
      <c r="H156" s="10" t="s">
        <v>50</v>
      </c>
      <c r="I156" s="10" t="s">
        <v>40</v>
      </c>
      <c r="J156" s="10" t="s">
        <v>22</v>
      </c>
      <c r="K156" s="21" t="s">
        <v>490</v>
      </c>
      <c r="L156" s="16">
        <v>1</v>
      </c>
    </row>
    <row r="157" spans="1:12" ht="23.1" customHeight="1" x14ac:dyDescent="0.2">
      <c r="A157" s="11" t="s">
        <v>40</v>
      </c>
      <c r="B157" s="11"/>
      <c r="C157" s="11"/>
      <c r="D157" s="11"/>
      <c r="E157" s="11" t="s">
        <v>40</v>
      </c>
      <c r="F157" s="20" t="s">
        <v>719</v>
      </c>
      <c r="G157" s="21" t="s">
        <v>486</v>
      </c>
      <c r="H157" s="10" t="s">
        <v>50</v>
      </c>
      <c r="I157" s="21" t="s">
        <v>485</v>
      </c>
      <c r="J157" s="20" t="s">
        <v>20</v>
      </c>
      <c r="K157" s="21" t="s">
        <v>484</v>
      </c>
      <c r="L157" s="16">
        <v>1</v>
      </c>
    </row>
    <row r="158" spans="1:12" ht="23.1" customHeight="1" x14ac:dyDescent="0.2">
      <c r="A158" s="11" t="s">
        <v>40</v>
      </c>
      <c r="B158" s="11"/>
      <c r="C158" s="11"/>
      <c r="D158" s="11"/>
      <c r="E158" s="11" t="s">
        <v>40</v>
      </c>
      <c r="F158" s="11"/>
      <c r="G158" s="21" t="s">
        <v>483</v>
      </c>
      <c r="H158" s="10" t="s">
        <v>50</v>
      </c>
      <c r="I158" s="21" t="s">
        <v>482</v>
      </c>
      <c r="J158" s="10" t="s">
        <v>20</v>
      </c>
      <c r="K158" s="21" t="s">
        <v>481</v>
      </c>
      <c r="L158" s="16">
        <v>1</v>
      </c>
    </row>
    <row r="159" spans="1:12" ht="23.1" customHeight="1" x14ac:dyDescent="0.2">
      <c r="A159" s="11" t="s">
        <v>40</v>
      </c>
      <c r="B159" s="11"/>
      <c r="C159" s="11"/>
      <c r="D159" s="11"/>
      <c r="E159" s="11" t="s">
        <v>40</v>
      </c>
      <c r="F159" s="11"/>
      <c r="G159" s="21" t="s">
        <v>781</v>
      </c>
      <c r="H159" s="10" t="s">
        <v>50</v>
      </c>
      <c r="I159" s="20" t="s">
        <v>40</v>
      </c>
      <c r="J159" s="20" t="s">
        <v>22</v>
      </c>
      <c r="K159" s="21" t="s">
        <v>493</v>
      </c>
      <c r="L159" s="16">
        <v>1</v>
      </c>
    </row>
    <row r="160" spans="1:12" ht="23.1" customHeight="1" x14ac:dyDescent="0.2">
      <c r="A160" s="11" t="s">
        <v>40</v>
      </c>
      <c r="B160" s="11"/>
      <c r="C160" s="11"/>
      <c r="D160" s="11"/>
      <c r="E160" s="11" t="s">
        <v>40</v>
      </c>
      <c r="F160" s="11"/>
      <c r="G160" s="21" t="s">
        <v>782</v>
      </c>
      <c r="H160" s="10" t="s">
        <v>50</v>
      </c>
      <c r="I160" s="10" t="s">
        <v>40</v>
      </c>
      <c r="J160" s="10" t="s">
        <v>22</v>
      </c>
      <c r="K160" s="21" t="s">
        <v>470</v>
      </c>
      <c r="L160" s="16">
        <v>1</v>
      </c>
    </row>
    <row r="161" spans="1:12" ht="23.1" customHeight="1" x14ac:dyDescent="0.2">
      <c r="A161" s="11" t="s">
        <v>40</v>
      </c>
      <c r="B161" s="11"/>
      <c r="C161" s="11"/>
      <c r="D161" s="11"/>
      <c r="E161" s="11" t="s">
        <v>40</v>
      </c>
      <c r="F161" s="11"/>
      <c r="G161" s="21" t="s">
        <v>469</v>
      </c>
      <c r="H161" s="10" t="s">
        <v>50</v>
      </c>
      <c r="I161" s="10" t="s">
        <v>40</v>
      </c>
      <c r="J161" s="10" t="s">
        <v>22</v>
      </c>
      <c r="K161" s="21" t="s">
        <v>467</v>
      </c>
      <c r="L161" s="16">
        <v>1</v>
      </c>
    </row>
    <row r="162" spans="1:12" ht="23.1" customHeight="1" x14ac:dyDescent="0.2">
      <c r="A162" s="11" t="s">
        <v>40</v>
      </c>
      <c r="B162" s="11"/>
      <c r="C162" s="11"/>
      <c r="D162" s="11"/>
      <c r="E162" s="11" t="s">
        <v>40</v>
      </c>
      <c r="F162" s="21" t="s">
        <v>722</v>
      </c>
      <c r="G162" s="21" t="s">
        <v>783</v>
      </c>
      <c r="H162" s="10" t="s">
        <v>50</v>
      </c>
      <c r="I162" s="10" t="s">
        <v>40</v>
      </c>
      <c r="J162" s="10" t="s">
        <v>22</v>
      </c>
      <c r="K162" s="21" t="s">
        <v>464</v>
      </c>
      <c r="L162" s="16">
        <v>1</v>
      </c>
    </row>
    <row r="163" spans="1:12" ht="23.1" customHeight="1" x14ac:dyDescent="0.2">
      <c r="A163" s="11" t="s">
        <v>40</v>
      </c>
      <c r="B163" s="11"/>
      <c r="C163" s="11"/>
      <c r="D163" s="11"/>
      <c r="E163" s="11" t="s">
        <v>40</v>
      </c>
      <c r="F163" s="20" t="s">
        <v>724</v>
      </c>
      <c r="G163" s="21" t="s">
        <v>784</v>
      </c>
      <c r="H163" s="10" t="s">
        <v>50</v>
      </c>
      <c r="I163" s="10" t="s">
        <v>40</v>
      </c>
      <c r="J163" s="10" t="s">
        <v>22</v>
      </c>
      <c r="K163" s="21" t="s">
        <v>495</v>
      </c>
      <c r="L163" s="16">
        <v>1</v>
      </c>
    </row>
    <row r="164" spans="1:12" ht="23.1" customHeight="1" x14ac:dyDescent="0.2">
      <c r="A164" s="11" t="s">
        <v>40</v>
      </c>
      <c r="B164" s="11"/>
      <c r="C164" s="11"/>
      <c r="D164" s="11"/>
      <c r="E164" s="11" t="s">
        <v>40</v>
      </c>
      <c r="F164" s="11"/>
      <c r="G164" s="21" t="s">
        <v>480</v>
      </c>
      <c r="H164" s="10" t="s">
        <v>50</v>
      </c>
      <c r="I164" s="10" t="s">
        <v>40</v>
      </c>
      <c r="J164" s="10" t="s">
        <v>22</v>
      </c>
      <c r="K164" s="21" t="s">
        <v>478</v>
      </c>
      <c r="L164" s="16">
        <v>1</v>
      </c>
    </row>
    <row r="165" spans="1:12" ht="23.1" customHeight="1" x14ac:dyDescent="0.2">
      <c r="A165" s="11" t="s">
        <v>40</v>
      </c>
      <c r="B165" s="11"/>
      <c r="C165" s="11"/>
      <c r="D165" s="11"/>
      <c r="E165" s="11" t="s">
        <v>40</v>
      </c>
      <c r="F165" s="21" t="s">
        <v>725</v>
      </c>
      <c r="G165" s="21" t="s">
        <v>785</v>
      </c>
      <c r="H165" s="10" t="s">
        <v>50</v>
      </c>
      <c r="I165" s="10" t="s">
        <v>40</v>
      </c>
      <c r="J165" s="10" t="s">
        <v>22</v>
      </c>
      <c r="K165" s="21" t="s">
        <v>487</v>
      </c>
      <c r="L165" s="16">
        <v>1</v>
      </c>
    </row>
    <row r="166" spans="1:12" ht="23.1" customHeight="1" x14ac:dyDescent="0.2">
      <c r="A166" s="11" t="s">
        <v>40</v>
      </c>
      <c r="B166" s="11"/>
      <c r="C166" s="11"/>
      <c r="D166" s="20" t="s">
        <v>426</v>
      </c>
      <c r="E166" s="10" t="s">
        <v>40</v>
      </c>
      <c r="F166" s="20" t="s">
        <v>718</v>
      </c>
      <c r="G166" s="21" t="s">
        <v>786</v>
      </c>
      <c r="H166" s="10" t="s">
        <v>50</v>
      </c>
      <c r="I166" s="10" t="s">
        <v>40</v>
      </c>
      <c r="J166" s="10" t="s">
        <v>22</v>
      </c>
      <c r="K166" s="21" t="s">
        <v>423</v>
      </c>
      <c r="L166" s="16">
        <v>1</v>
      </c>
    </row>
    <row r="167" spans="1:12" ht="23.1" customHeight="1" x14ac:dyDescent="0.2">
      <c r="A167" s="11" t="s">
        <v>40</v>
      </c>
      <c r="B167" s="11"/>
      <c r="C167" s="11"/>
      <c r="D167" s="11"/>
      <c r="E167" s="11" t="s">
        <v>40</v>
      </c>
      <c r="F167" s="11"/>
      <c r="G167" s="21" t="s">
        <v>787</v>
      </c>
      <c r="H167" s="10" t="s">
        <v>50</v>
      </c>
      <c r="I167" s="10" t="s">
        <v>40</v>
      </c>
      <c r="J167" s="10" t="s">
        <v>22</v>
      </c>
      <c r="K167" s="21" t="s">
        <v>445</v>
      </c>
      <c r="L167" s="16">
        <v>1</v>
      </c>
    </row>
    <row r="168" spans="1:12" ht="23.1" customHeight="1" x14ac:dyDescent="0.2">
      <c r="A168" s="11" t="s">
        <v>40</v>
      </c>
      <c r="B168" s="11"/>
      <c r="C168" s="11"/>
      <c r="D168" s="11"/>
      <c r="E168" s="11" t="s">
        <v>40</v>
      </c>
      <c r="F168" s="20" t="s">
        <v>717</v>
      </c>
      <c r="G168" s="21" t="s">
        <v>788</v>
      </c>
      <c r="H168" s="10" t="s">
        <v>50</v>
      </c>
      <c r="I168" s="10" t="s">
        <v>40</v>
      </c>
      <c r="J168" s="10" t="s">
        <v>22</v>
      </c>
      <c r="K168" s="21" t="s">
        <v>448</v>
      </c>
      <c r="L168" s="16">
        <v>1</v>
      </c>
    </row>
    <row r="169" spans="1:12" ht="23.1" customHeight="1" x14ac:dyDescent="0.2">
      <c r="A169" s="11" t="s">
        <v>40</v>
      </c>
      <c r="B169" s="11"/>
      <c r="C169" s="11"/>
      <c r="D169" s="11"/>
      <c r="E169" s="11" t="s">
        <v>40</v>
      </c>
      <c r="F169" s="11"/>
      <c r="G169" s="21" t="s">
        <v>789</v>
      </c>
      <c r="H169" s="10" t="s">
        <v>50</v>
      </c>
      <c r="I169" s="10" t="s">
        <v>40</v>
      </c>
      <c r="J169" s="10" t="s">
        <v>22</v>
      </c>
      <c r="K169" s="21" t="s">
        <v>427</v>
      </c>
      <c r="L169" s="16">
        <v>1</v>
      </c>
    </row>
    <row r="170" spans="1:12" ht="23.1" customHeight="1" x14ac:dyDescent="0.2">
      <c r="A170" s="11" t="s">
        <v>40</v>
      </c>
      <c r="B170" s="11"/>
      <c r="C170" s="11"/>
      <c r="D170" s="11"/>
      <c r="E170" s="11" t="s">
        <v>40</v>
      </c>
      <c r="F170" s="11"/>
      <c r="G170" s="21" t="s">
        <v>790</v>
      </c>
      <c r="H170" s="10" t="s">
        <v>50</v>
      </c>
      <c r="I170" s="10" t="s">
        <v>40</v>
      </c>
      <c r="J170" s="10" t="s">
        <v>22</v>
      </c>
      <c r="K170" s="21" t="s">
        <v>461</v>
      </c>
      <c r="L170" s="16">
        <v>1</v>
      </c>
    </row>
    <row r="171" spans="1:12" ht="23.1" customHeight="1" x14ac:dyDescent="0.2">
      <c r="A171" s="11" t="s">
        <v>40</v>
      </c>
      <c r="B171" s="11"/>
      <c r="C171" s="11"/>
      <c r="D171" s="11"/>
      <c r="E171" s="11" t="s">
        <v>40</v>
      </c>
      <c r="F171" s="20" t="s">
        <v>719</v>
      </c>
      <c r="G171" s="21" t="s">
        <v>444</v>
      </c>
      <c r="H171" s="10" t="s">
        <v>50</v>
      </c>
      <c r="I171" s="21" t="s">
        <v>443</v>
      </c>
      <c r="J171" s="20" t="s">
        <v>20</v>
      </c>
      <c r="K171" s="21" t="s">
        <v>442</v>
      </c>
      <c r="L171" s="16">
        <v>1</v>
      </c>
    </row>
    <row r="172" spans="1:12" ht="23.1" customHeight="1" x14ac:dyDescent="0.2">
      <c r="A172" s="11" t="s">
        <v>40</v>
      </c>
      <c r="B172" s="11"/>
      <c r="C172" s="11"/>
      <c r="D172" s="11"/>
      <c r="E172" s="11" t="s">
        <v>40</v>
      </c>
      <c r="F172" s="11"/>
      <c r="G172" s="21" t="s">
        <v>791</v>
      </c>
      <c r="H172" s="10" t="s">
        <v>50</v>
      </c>
      <c r="I172" s="21" t="s">
        <v>440</v>
      </c>
      <c r="J172" s="10" t="s">
        <v>20</v>
      </c>
      <c r="K172" s="21" t="s">
        <v>438</v>
      </c>
      <c r="L172" s="16">
        <v>1</v>
      </c>
    </row>
    <row r="173" spans="1:12" ht="23.1" customHeight="1" x14ac:dyDescent="0.2">
      <c r="A173" s="11" t="s">
        <v>40</v>
      </c>
      <c r="B173" s="11"/>
      <c r="C173" s="11"/>
      <c r="D173" s="11"/>
      <c r="E173" s="11" t="s">
        <v>40</v>
      </c>
      <c r="F173" s="11"/>
      <c r="G173" s="21" t="s">
        <v>453</v>
      </c>
      <c r="H173" s="10" t="s">
        <v>50</v>
      </c>
      <c r="I173" s="21" t="s">
        <v>452</v>
      </c>
      <c r="J173" s="10" t="s">
        <v>20</v>
      </c>
      <c r="K173" s="21" t="s">
        <v>450</v>
      </c>
      <c r="L173" s="16">
        <v>1</v>
      </c>
    </row>
    <row r="174" spans="1:12" ht="23.1" customHeight="1" x14ac:dyDescent="0.2">
      <c r="A174" s="11" t="s">
        <v>40</v>
      </c>
      <c r="B174" s="11"/>
      <c r="C174" s="11"/>
      <c r="D174" s="11"/>
      <c r="E174" s="11" t="s">
        <v>40</v>
      </c>
      <c r="F174" s="11"/>
      <c r="G174" s="21" t="s">
        <v>792</v>
      </c>
      <c r="H174" s="10" t="s">
        <v>50</v>
      </c>
      <c r="I174" s="20" t="s">
        <v>40</v>
      </c>
      <c r="J174" s="20" t="s">
        <v>22</v>
      </c>
      <c r="K174" s="21" t="s">
        <v>454</v>
      </c>
      <c r="L174" s="16">
        <v>1</v>
      </c>
    </row>
    <row r="175" spans="1:12" ht="23.1" customHeight="1" x14ac:dyDescent="0.2">
      <c r="A175" s="11" t="s">
        <v>40</v>
      </c>
      <c r="B175" s="11"/>
      <c r="C175" s="11"/>
      <c r="D175" s="11"/>
      <c r="E175" s="11" t="s">
        <v>40</v>
      </c>
      <c r="F175" s="11"/>
      <c r="G175" s="21" t="s">
        <v>793</v>
      </c>
      <c r="H175" s="10" t="s">
        <v>50</v>
      </c>
      <c r="I175" s="10" t="s">
        <v>40</v>
      </c>
      <c r="J175" s="10" t="s">
        <v>22</v>
      </c>
      <c r="K175" s="21" t="s">
        <v>457</v>
      </c>
      <c r="L175" s="16">
        <v>1</v>
      </c>
    </row>
    <row r="176" spans="1:12" ht="23.1" customHeight="1" x14ac:dyDescent="0.2">
      <c r="A176" s="11" t="s">
        <v>40</v>
      </c>
      <c r="B176" s="11"/>
      <c r="C176" s="11"/>
      <c r="D176" s="11"/>
      <c r="E176" s="11" t="s">
        <v>40</v>
      </c>
      <c r="F176" s="11"/>
      <c r="G176" s="21" t="s">
        <v>794</v>
      </c>
      <c r="H176" s="10" t="s">
        <v>50</v>
      </c>
      <c r="I176" s="10" t="s">
        <v>40</v>
      </c>
      <c r="J176" s="10" t="s">
        <v>22</v>
      </c>
      <c r="K176" s="21" t="s">
        <v>459</v>
      </c>
      <c r="L176" s="16">
        <v>1</v>
      </c>
    </row>
    <row r="177" spans="1:12" ht="23.1" customHeight="1" x14ac:dyDescent="0.2">
      <c r="A177" s="11" t="s">
        <v>40</v>
      </c>
      <c r="B177" s="11"/>
      <c r="C177" s="11"/>
      <c r="D177" s="11"/>
      <c r="E177" s="11" t="s">
        <v>40</v>
      </c>
      <c r="F177" s="21" t="s">
        <v>149</v>
      </c>
      <c r="G177" s="21" t="s">
        <v>437</v>
      </c>
      <c r="H177" s="10" t="s">
        <v>50</v>
      </c>
      <c r="I177" s="21" t="s">
        <v>436</v>
      </c>
      <c r="J177" s="20" t="s">
        <v>20</v>
      </c>
      <c r="K177" s="21" t="s">
        <v>434</v>
      </c>
      <c r="L177" s="16">
        <v>1</v>
      </c>
    </row>
    <row r="178" spans="1:12" ht="23.1" customHeight="1" x14ac:dyDescent="0.2">
      <c r="A178" s="11" t="s">
        <v>40</v>
      </c>
      <c r="B178" s="11"/>
      <c r="C178" s="11"/>
      <c r="D178" s="11"/>
      <c r="E178" s="11" t="s">
        <v>40</v>
      </c>
      <c r="F178" s="21" t="s">
        <v>337</v>
      </c>
      <c r="G178" s="21" t="s">
        <v>433</v>
      </c>
      <c r="H178" s="10" t="s">
        <v>50</v>
      </c>
      <c r="I178" s="21" t="s">
        <v>432</v>
      </c>
      <c r="J178" s="10" t="s">
        <v>20</v>
      </c>
      <c r="K178" s="21" t="s">
        <v>430</v>
      </c>
      <c r="L178" s="16">
        <v>1</v>
      </c>
    </row>
    <row r="179" spans="1:12" ht="23.1" customHeight="1" x14ac:dyDescent="0.2">
      <c r="A179" s="11" t="s">
        <v>40</v>
      </c>
      <c r="B179" s="11"/>
      <c r="C179" s="11"/>
      <c r="D179" s="20" t="s">
        <v>419</v>
      </c>
      <c r="E179" s="10" t="s">
        <v>40</v>
      </c>
      <c r="F179" s="21" t="s">
        <v>718</v>
      </c>
      <c r="G179" s="21" t="s">
        <v>795</v>
      </c>
      <c r="H179" s="10" t="s">
        <v>50</v>
      </c>
      <c r="I179" s="20" t="s">
        <v>40</v>
      </c>
      <c r="J179" s="20" t="s">
        <v>22</v>
      </c>
      <c r="K179" s="21" t="s">
        <v>420</v>
      </c>
      <c r="L179" s="16">
        <v>1</v>
      </c>
    </row>
    <row r="180" spans="1:12" ht="23.1" customHeight="1" x14ac:dyDescent="0.2">
      <c r="A180" s="11" t="s">
        <v>40</v>
      </c>
      <c r="B180" s="11"/>
      <c r="C180" s="11"/>
      <c r="D180" s="11"/>
      <c r="E180" s="11" t="s">
        <v>40</v>
      </c>
      <c r="F180" s="21" t="s">
        <v>149</v>
      </c>
      <c r="G180" s="21" t="s">
        <v>796</v>
      </c>
      <c r="H180" s="10" t="s">
        <v>50</v>
      </c>
      <c r="I180" s="10" t="s">
        <v>40</v>
      </c>
      <c r="J180" s="10" t="s">
        <v>22</v>
      </c>
      <c r="K180" s="21" t="s">
        <v>416</v>
      </c>
      <c r="L180" s="16">
        <v>1</v>
      </c>
    </row>
    <row r="181" spans="1:12" ht="23.1" customHeight="1" x14ac:dyDescent="0.2">
      <c r="A181" s="11" t="s">
        <v>40</v>
      </c>
      <c r="B181" s="11"/>
      <c r="C181" s="11"/>
      <c r="D181" s="20" t="s">
        <v>385</v>
      </c>
      <c r="E181" s="10" t="s">
        <v>40</v>
      </c>
      <c r="F181" s="20" t="s">
        <v>718</v>
      </c>
      <c r="G181" s="21" t="s">
        <v>797</v>
      </c>
      <c r="H181" s="10" t="s">
        <v>50</v>
      </c>
      <c r="I181" s="10" t="s">
        <v>40</v>
      </c>
      <c r="J181" s="10" t="s">
        <v>22</v>
      </c>
      <c r="K181" s="21" t="s">
        <v>382</v>
      </c>
      <c r="L181" s="16">
        <v>1</v>
      </c>
    </row>
    <row r="182" spans="1:12" ht="23.1" customHeight="1" x14ac:dyDescent="0.2">
      <c r="A182" s="11" t="s">
        <v>40</v>
      </c>
      <c r="B182" s="11"/>
      <c r="C182" s="11"/>
      <c r="D182" s="11"/>
      <c r="E182" s="11" t="s">
        <v>40</v>
      </c>
      <c r="F182" s="11"/>
      <c r="G182" s="21" t="s">
        <v>798</v>
      </c>
      <c r="H182" s="10" t="s">
        <v>50</v>
      </c>
      <c r="I182" s="10" t="s">
        <v>40</v>
      </c>
      <c r="J182" s="10" t="s">
        <v>22</v>
      </c>
      <c r="K182" s="21" t="s">
        <v>409</v>
      </c>
      <c r="L182" s="16">
        <v>1</v>
      </c>
    </row>
    <row r="183" spans="1:12" ht="23.1" customHeight="1" x14ac:dyDescent="0.2">
      <c r="A183" s="11" t="s">
        <v>40</v>
      </c>
      <c r="B183" s="11"/>
      <c r="C183" s="11"/>
      <c r="D183" s="11"/>
      <c r="E183" s="11" t="s">
        <v>40</v>
      </c>
      <c r="F183" s="21" t="s">
        <v>717</v>
      </c>
      <c r="G183" s="21" t="s">
        <v>396</v>
      </c>
      <c r="H183" s="10" t="s">
        <v>50</v>
      </c>
      <c r="I183" s="21" t="s">
        <v>395</v>
      </c>
      <c r="J183" s="20" t="s">
        <v>20</v>
      </c>
      <c r="K183" s="21" t="s">
        <v>394</v>
      </c>
      <c r="L183" s="16">
        <v>1</v>
      </c>
    </row>
    <row r="184" spans="1:12" ht="23.1" customHeight="1" x14ac:dyDescent="0.2">
      <c r="A184" s="11" t="s">
        <v>40</v>
      </c>
      <c r="B184" s="11"/>
      <c r="C184" s="11"/>
      <c r="D184" s="11"/>
      <c r="E184" s="11" t="s">
        <v>40</v>
      </c>
      <c r="F184" s="21" t="s">
        <v>721</v>
      </c>
      <c r="G184" s="21" t="s">
        <v>415</v>
      </c>
      <c r="H184" s="10" t="s">
        <v>50</v>
      </c>
      <c r="I184" s="21" t="s">
        <v>414</v>
      </c>
      <c r="J184" s="10" t="s">
        <v>20</v>
      </c>
      <c r="K184" s="21" t="s">
        <v>412</v>
      </c>
      <c r="L184" s="16">
        <v>1</v>
      </c>
    </row>
    <row r="185" spans="1:12" ht="23.1" customHeight="1" x14ac:dyDescent="0.2">
      <c r="A185" s="11" t="s">
        <v>40</v>
      </c>
      <c r="B185" s="11"/>
      <c r="C185" s="11"/>
      <c r="D185" s="11"/>
      <c r="E185" s="11" t="s">
        <v>40</v>
      </c>
      <c r="F185" s="20" t="s">
        <v>719</v>
      </c>
      <c r="G185" s="21" t="s">
        <v>393</v>
      </c>
      <c r="H185" s="10" t="s">
        <v>50</v>
      </c>
      <c r="I185" s="21" t="s">
        <v>392</v>
      </c>
      <c r="J185" s="10" t="s">
        <v>20</v>
      </c>
      <c r="K185" s="21" t="s">
        <v>390</v>
      </c>
      <c r="L185" s="16">
        <v>1</v>
      </c>
    </row>
    <row r="186" spans="1:12" ht="23.1" customHeight="1" x14ac:dyDescent="0.2">
      <c r="A186" s="11" t="s">
        <v>40</v>
      </c>
      <c r="B186" s="11"/>
      <c r="C186" s="11"/>
      <c r="D186" s="11"/>
      <c r="E186" s="11" t="s">
        <v>40</v>
      </c>
      <c r="F186" s="11"/>
      <c r="G186" s="21" t="s">
        <v>408</v>
      </c>
      <c r="H186" s="10" t="s">
        <v>50</v>
      </c>
      <c r="I186" s="21" t="s">
        <v>407</v>
      </c>
      <c r="J186" s="10" t="s">
        <v>20</v>
      </c>
      <c r="K186" s="21" t="s">
        <v>405</v>
      </c>
      <c r="L186" s="16">
        <v>1</v>
      </c>
    </row>
    <row r="187" spans="1:12" ht="23.1" customHeight="1" x14ac:dyDescent="0.2">
      <c r="A187" s="11" t="s">
        <v>40</v>
      </c>
      <c r="B187" s="11"/>
      <c r="C187" s="11"/>
      <c r="D187" s="11"/>
      <c r="E187" s="11" t="s">
        <v>40</v>
      </c>
      <c r="F187" s="20" t="s">
        <v>149</v>
      </c>
      <c r="G187" s="21" t="s">
        <v>389</v>
      </c>
      <c r="H187" s="10" t="s">
        <v>50</v>
      </c>
      <c r="I187" s="21" t="s">
        <v>388</v>
      </c>
      <c r="J187" s="10" t="s">
        <v>20</v>
      </c>
      <c r="K187" s="21" t="s">
        <v>386</v>
      </c>
      <c r="L187" s="16">
        <v>1</v>
      </c>
    </row>
    <row r="188" spans="1:12" ht="23.1" customHeight="1" x14ac:dyDescent="0.2">
      <c r="A188" s="11" t="s">
        <v>40</v>
      </c>
      <c r="B188" s="11"/>
      <c r="C188" s="11"/>
      <c r="D188" s="11"/>
      <c r="E188" s="11" t="s">
        <v>40</v>
      </c>
      <c r="F188" s="11"/>
      <c r="G188" s="21" t="s">
        <v>400</v>
      </c>
      <c r="H188" s="10" t="s">
        <v>50</v>
      </c>
      <c r="I188" s="21" t="s">
        <v>399</v>
      </c>
      <c r="J188" s="10" t="s">
        <v>20</v>
      </c>
      <c r="K188" s="21" t="s">
        <v>397</v>
      </c>
      <c r="L188" s="16">
        <v>1</v>
      </c>
    </row>
    <row r="189" spans="1:12" ht="23.1" customHeight="1" x14ac:dyDescent="0.2">
      <c r="A189" s="11" t="s">
        <v>40</v>
      </c>
      <c r="B189" s="11"/>
      <c r="C189" s="11"/>
      <c r="D189" s="11"/>
      <c r="E189" s="11" t="s">
        <v>40</v>
      </c>
      <c r="F189" s="21" t="s">
        <v>726</v>
      </c>
      <c r="G189" s="21" t="s">
        <v>404</v>
      </c>
      <c r="H189" s="10" t="s">
        <v>50</v>
      </c>
      <c r="I189" s="21" t="s">
        <v>403</v>
      </c>
      <c r="J189" s="10" t="s">
        <v>20</v>
      </c>
      <c r="K189" s="21" t="s">
        <v>401</v>
      </c>
      <c r="L189" s="16">
        <v>1</v>
      </c>
    </row>
    <row r="190" spans="1:12" ht="23.1" customHeight="1" x14ac:dyDescent="0.2">
      <c r="A190" s="11" t="s">
        <v>40</v>
      </c>
      <c r="B190" s="11"/>
      <c r="C190" s="11"/>
      <c r="D190" s="20" t="s">
        <v>374</v>
      </c>
      <c r="E190" s="10" t="s">
        <v>40</v>
      </c>
      <c r="F190" s="20" t="s">
        <v>717</v>
      </c>
      <c r="G190" s="21" t="s">
        <v>377</v>
      </c>
      <c r="H190" s="10" t="s">
        <v>50</v>
      </c>
      <c r="I190" s="21" t="s">
        <v>376</v>
      </c>
      <c r="J190" s="10" t="s">
        <v>20</v>
      </c>
      <c r="K190" s="21" t="s">
        <v>375</v>
      </c>
      <c r="L190" s="16">
        <v>1</v>
      </c>
    </row>
    <row r="191" spans="1:12" ht="23.1" customHeight="1" x14ac:dyDescent="0.2">
      <c r="A191" s="11" t="s">
        <v>40</v>
      </c>
      <c r="B191" s="11"/>
      <c r="C191" s="11"/>
      <c r="D191" s="11"/>
      <c r="E191" s="11" t="s">
        <v>40</v>
      </c>
      <c r="F191" s="11"/>
      <c r="G191" s="21" t="s">
        <v>373</v>
      </c>
      <c r="H191" s="10" t="s">
        <v>50</v>
      </c>
      <c r="I191" s="21" t="s">
        <v>372</v>
      </c>
      <c r="J191" s="10" t="s">
        <v>20</v>
      </c>
      <c r="K191" s="21" t="s">
        <v>370</v>
      </c>
      <c r="L191" s="16">
        <v>1</v>
      </c>
    </row>
    <row r="192" spans="1:12" ht="23.1" customHeight="1" x14ac:dyDescent="0.2">
      <c r="A192" s="11" t="s">
        <v>40</v>
      </c>
      <c r="B192" s="11"/>
      <c r="C192" s="11"/>
      <c r="D192" s="11"/>
      <c r="E192" s="11" t="s">
        <v>40</v>
      </c>
      <c r="F192" s="21" t="s">
        <v>727</v>
      </c>
      <c r="G192" s="21" t="s">
        <v>381</v>
      </c>
      <c r="H192" s="10" t="s">
        <v>50</v>
      </c>
      <c r="I192" s="21" t="s">
        <v>380</v>
      </c>
      <c r="J192" s="10" t="s">
        <v>20</v>
      </c>
      <c r="K192" s="21" t="s">
        <v>378</v>
      </c>
      <c r="L192" s="16">
        <v>1</v>
      </c>
    </row>
    <row r="193" spans="1:12" ht="23.1" customHeight="1" x14ac:dyDescent="0.2">
      <c r="A193" s="11" t="s">
        <v>40</v>
      </c>
      <c r="B193" s="11"/>
      <c r="C193" s="11"/>
      <c r="D193" s="20" t="s">
        <v>360</v>
      </c>
      <c r="E193" s="10" t="s">
        <v>40</v>
      </c>
      <c r="F193" s="21" t="s">
        <v>717</v>
      </c>
      <c r="G193" s="21" t="s">
        <v>799</v>
      </c>
      <c r="H193" s="10" t="s">
        <v>50</v>
      </c>
      <c r="I193" s="20" t="s">
        <v>40</v>
      </c>
      <c r="J193" s="20" t="s">
        <v>22</v>
      </c>
      <c r="K193" s="21" t="s">
        <v>361</v>
      </c>
      <c r="L193" s="16">
        <v>1</v>
      </c>
    </row>
    <row r="194" spans="1:12" ht="23.1" customHeight="1" x14ac:dyDescent="0.2">
      <c r="A194" s="11" t="s">
        <v>40</v>
      </c>
      <c r="B194" s="11"/>
      <c r="C194" s="11"/>
      <c r="D194" s="11"/>
      <c r="E194" s="11" t="s">
        <v>40</v>
      </c>
      <c r="F194" s="21" t="s">
        <v>721</v>
      </c>
      <c r="G194" s="21" t="s">
        <v>800</v>
      </c>
      <c r="H194" s="10" t="s">
        <v>50</v>
      </c>
      <c r="I194" s="10" t="s">
        <v>40</v>
      </c>
      <c r="J194" s="10" t="s">
        <v>22</v>
      </c>
      <c r="K194" s="21" t="s">
        <v>367</v>
      </c>
      <c r="L194" s="16">
        <v>1</v>
      </c>
    </row>
    <row r="195" spans="1:12" ht="23.1" customHeight="1" x14ac:dyDescent="0.2">
      <c r="A195" s="11" t="s">
        <v>40</v>
      </c>
      <c r="B195" s="11"/>
      <c r="C195" s="11"/>
      <c r="D195" s="11"/>
      <c r="E195" s="11" t="s">
        <v>40</v>
      </c>
      <c r="F195" s="21" t="s">
        <v>719</v>
      </c>
      <c r="G195" s="21" t="s">
        <v>801</v>
      </c>
      <c r="H195" s="20" t="s">
        <v>9</v>
      </c>
      <c r="I195" s="10" t="s">
        <v>40</v>
      </c>
      <c r="J195" s="10" t="s">
        <v>22</v>
      </c>
      <c r="K195" s="21" t="s">
        <v>357</v>
      </c>
      <c r="L195" s="16">
        <v>1</v>
      </c>
    </row>
    <row r="196" spans="1:12" ht="23.1" customHeight="1" x14ac:dyDescent="0.2">
      <c r="A196" s="11" t="s">
        <v>40</v>
      </c>
      <c r="B196" s="11"/>
      <c r="C196" s="11"/>
      <c r="D196" s="11"/>
      <c r="E196" s="11" t="s">
        <v>40</v>
      </c>
      <c r="F196" s="21" t="s">
        <v>720</v>
      </c>
      <c r="G196" s="21" t="s">
        <v>802</v>
      </c>
      <c r="H196" s="10" t="s">
        <v>9</v>
      </c>
      <c r="I196" s="10" t="s">
        <v>40</v>
      </c>
      <c r="J196" s="10" t="s">
        <v>22</v>
      </c>
      <c r="K196" s="21" t="s">
        <v>364</v>
      </c>
      <c r="L196" s="16">
        <v>1</v>
      </c>
    </row>
    <row r="197" spans="1:12" ht="23.1" customHeight="1" x14ac:dyDescent="0.2">
      <c r="A197" s="11" t="s">
        <v>40</v>
      </c>
      <c r="B197" s="11"/>
      <c r="C197" s="11"/>
      <c r="D197" s="20" t="s">
        <v>86</v>
      </c>
      <c r="E197" s="10" t="s">
        <v>40</v>
      </c>
      <c r="F197" s="21" t="s">
        <v>340</v>
      </c>
      <c r="G197" s="21" t="s">
        <v>354</v>
      </c>
      <c r="H197" s="20" t="s">
        <v>50</v>
      </c>
      <c r="I197" s="10" t="s">
        <v>40</v>
      </c>
      <c r="J197" s="10" t="s">
        <v>22</v>
      </c>
      <c r="K197" s="21" t="s">
        <v>232</v>
      </c>
      <c r="L197" s="16">
        <v>1</v>
      </c>
    </row>
    <row r="198" spans="1:12" ht="23.1" customHeight="1" x14ac:dyDescent="0.2">
      <c r="A198" s="11" t="s">
        <v>40</v>
      </c>
      <c r="B198" s="11"/>
      <c r="C198" s="11"/>
      <c r="D198" s="11"/>
      <c r="E198" s="11" t="s">
        <v>40</v>
      </c>
      <c r="F198" s="20" t="s">
        <v>72</v>
      </c>
      <c r="G198" s="21" t="s">
        <v>355</v>
      </c>
      <c r="H198" s="10" t="s">
        <v>50</v>
      </c>
      <c r="I198" s="10" t="s">
        <v>40</v>
      </c>
      <c r="J198" s="10" t="s">
        <v>22</v>
      </c>
      <c r="K198" s="21" t="s">
        <v>226</v>
      </c>
      <c r="L198" s="16">
        <v>1</v>
      </c>
    </row>
    <row r="199" spans="1:12" ht="23.1" customHeight="1" x14ac:dyDescent="0.2">
      <c r="A199" s="11" t="s">
        <v>40</v>
      </c>
      <c r="B199" s="11"/>
      <c r="C199" s="11"/>
      <c r="D199" s="11"/>
      <c r="E199" s="11" t="s">
        <v>40</v>
      </c>
      <c r="F199" s="11"/>
      <c r="G199" s="21" t="s">
        <v>225</v>
      </c>
      <c r="H199" s="10" t="s">
        <v>50</v>
      </c>
      <c r="I199" s="10" t="s">
        <v>40</v>
      </c>
      <c r="J199" s="10" t="s">
        <v>22</v>
      </c>
      <c r="K199" s="21" t="s">
        <v>207</v>
      </c>
      <c r="L199" s="16">
        <v>1</v>
      </c>
    </row>
    <row r="200" spans="1:12" ht="23.1" customHeight="1" x14ac:dyDescent="0.2">
      <c r="A200" s="11" t="s">
        <v>40</v>
      </c>
      <c r="B200" s="11"/>
      <c r="C200" s="11"/>
      <c r="D200" s="11"/>
      <c r="E200" s="11" t="s">
        <v>40</v>
      </c>
      <c r="F200" s="21" t="s">
        <v>94</v>
      </c>
      <c r="G200" s="21" t="s">
        <v>199</v>
      </c>
      <c r="H200" s="10" t="s">
        <v>50</v>
      </c>
      <c r="I200" s="10" t="s">
        <v>40</v>
      </c>
      <c r="J200" s="10" t="s">
        <v>22</v>
      </c>
      <c r="K200" s="21" t="s">
        <v>206</v>
      </c>
      <c r="L200" s="16">
        <v>1</v>
      </c>
    </row>
    <row r="201" spans="1:12" ht="23.1" customHeight="1" x14ac:dyDescent="0.2">
      <c r="A201" s="11" t="s">
        <v>40</v>
      </c>
      <c r="B201" s="11"/>
      <c r="C201" s="11"/>
      <c r="D201" s="11"/>
      <c r="E201" s="11" t="s">
        <v>40</v>
      </c>
      <c r="F201" s="21" t="s">
        <v>341</v>
      </c>
      <c r="G201" s="21" t="s">
        <v>356</v>
      </c>
      <c r="H201" s="10" t="s">
        <v>50</v>
      </c>
      <c r="I201" s="10" t="s">
        <v>40</v>
      </c>
      <c r="J201" s="10" t="s">
        <v>22</v>
      </c>
      <c r="K201" s="21" t="s">
        <v>229</v>
      </c>
      <c r="L201" s="16">
        <v>1</v>
      </c>
    </row>
    <row r="202" spans="1:12" ht="23.1" customHeight="1" x14ac:dyDescent="0.2">
      <c r="A202" s="11" t="s">
        <v>40</v>
      </c>
      <c r="B202" s="11"/>
      <c r="C202" s="11"/>
      <c r="D202" s="21" t="s">
        <v>572</v>
      </c>
      <c r="E202" s="10" t="s">
        <v>40</v>
      </c>
      <c r="F202" s="21" t="s">
        <v>721</v>
      </c>
      <c r="G202" s="21" t="s">
        <v>803</v>
      </c>
      <c r="H202" s="10" t="s">
        <v>50</v>
      </c>
      <c r="I202" s="10" t="s">
        <v>40</v>
      </c>
      <c r="J202" s="10" t="s">
        <v>22</v>
      </c>
      <c r="K202" s="21" t="s">
        <v>570</v>
      </c>
      <c r="L202" s="16">
        <v>1</v>
      </c>
    </row>
    <row r="203" spans="1:12" ht="23.1" customHeight="1" x14ac:dyDescent="0.2">
      <c r="A203" s="11" t="s">
        <v>40</v>
      </c>
      <c r="B203" s="11"/>
      <c r="C203" s="11"/>
      <c r="D203" s="21" t="s">
        <v>502</v>
      </c>
      <c r="E203" s="10" t="s">
        <v>40</v>
      </c>
      <c r="F203" s="21" t="s">
        <v>719</v>
      </c>
      <c r="G203" s="21" t="s">
        <v>501</v>
      </c>
      <c r="H203" s="10" t="s">
        <v>50</v>
      </c>
      <c r="I203" s="21" t="s">
        <v>500</v>
      </c>
      <c r="J203" s="21" t="s">
        <v>20</v>
      </c>
      <c r="K203" s="21" t="s">
        <v>498</v>
      </c>
      <c r="L203" s="16">
        <v>1</v>
      </c>
    </row>
    <row r="204" spans="1:12" ht="23.1" customHeight="1" x14ac:dyDescent="0.2">
      <c r="A204" s="11" t="s">
        <v>40</v>
      </c>
      <c r="B204" s="11"/>
      <c r="C204" s="11"/>
      <c r="D204" s="21" t="s">
        <v>575</v>
      </c>
      <c r="E204" s="10" t="s">
        <v>40</v>
      </c>
      <c r="F204" s="21" t="s">
        <v>721</v>
      </c>
      <c r="G204" s="21" t="s">
        <v>804</v>
      </c>
      <c r="H204" s="10" t="s">
        <v>50</v>
      </c>
      <c r="I204" s="20" t="s">
        <v>40</v>
      </c>
      <c r="J204" s="20" t="s">
        <v>22</v>
      </c>
      <c r="K204" s="21" t="s">
        <v>573</v>
      </c>
      <c r="L204" s="16">
        <v>1</v>
      </c>
    </row>
    <row r="205" spans="1:12" ht="23.1" customHeight="1" x14ac:dyDescent="0.2">
      <c r="A205" s="11" t="s">
        <v>40</v>
      </c>
      <c r="B205" s="11"/>
      <c r="C205" s="11"/>
      <c r="D205" s="21" t="s">
        <v>560</v>
      </c>
      <c r="E205" s="10" t="s">
        <v>40</v>
      </c>
      <c r="F205" s="21" t="s">
        <v>718</v>
      </c>
      <c r="G205" s="21" t="s">
        <v>805</v>
      </c>
      <c r="H205" s="10" t="s">
        <v>50</v>
      </c>
      <c r="I205" s="10" t="s">
        <v>40</v>
      </c>
      <c r="J205" s="10" t="s">
        <v>22</v>
      </c>
      <c r="K205" s="21" t="s">
        <v>558</v>
      </c>
      <c r="L205" s="16">
        <v>1</v>
      </c>
    </row>
    <row r="206" spans="1:12" ht="13.5" x14ac:dyDescent="0.2">
      <c r="A206" s="12" t="s">
        <v>40</v>
      </c>
      <c r="B206" s="12"/>
      <c r="C206" s="24" t="s">
        <v>49</v>
      </c>
      <c r="D206" s="14"/>
      <c r="E206" s="14"/>
      <c r="F206" s="14"/>
      <c r="G206" s="14"/>
      <c r="H206" s="14"/>
      <c r="I206" s="14"/>
      <c r="J206" s="14"/>
      <c r="K206" s="14"/>
      <c r="L206" s="19">
        <v>123</v>
      </c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4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4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4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4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4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4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4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4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4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4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4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4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4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4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4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4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4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4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4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4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4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4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4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4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4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4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4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4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4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4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4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4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4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4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4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4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4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4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4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4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4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4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4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4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4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4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4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4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4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4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4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4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4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4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4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4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4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5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5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5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5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5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5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5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5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5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5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5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5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5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5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5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5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5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5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5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5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5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5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5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5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5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5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5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5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5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5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5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5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5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5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5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5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5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5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5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5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5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5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5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5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5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5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5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5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5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5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5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5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5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5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5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5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5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5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5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5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5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5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5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5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5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5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5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5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5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5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5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5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5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5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5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5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5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5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5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5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5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5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5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5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5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5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5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5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5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5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5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5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5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5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5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5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5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5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5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5"/>
    </row>
  </sheetData>
  <autoFilter ref="A1:L164" xr:uid="{00000000-0009-0000-0000-000001000000}"/>
  <mergeCells count="183">
    <mergeCell ref="J43:J50"/>
    <mergeCell ref="J37:J41"/>
    <mergeCell ref="J30:J35"/>
    <mergeCell ref="J19:J20"/>
    <mergeCell ref="J9:J11"/>
    <mergeCell ref="J4:J5"/>
    <mergeCell ref="I204:I205"/>
    <mergeCell ref="I193:I202"/>
    <mergeCell ref="I179:I182"/>
    <mergeCell ref="J204:J205"/>
    <mergeCell ref="J193:J202"/>
    <mergeCell ref="J183:J192"/>
    <mergeCell ref="J179:J182"/>
    <mergeCell ref="J177:J178"/>
    <mergeCell ref="J174:J176"/>
    <mergeCell ref="J171:J173"/>
    <mergeCell ref="J159:J170"/>
    <mergeCell ref="J133:J137"/>
    <mergeCell ref="J130:J132"/>
    <mergeCell ref="J106:J129"/>
    <mergeCell ref="J100:J105"/>
    <mergeCell ref="J92:J95"/>
    <mergeCell ref="J89:J91"/>
    <mergeCell ref="J83:J88"/>
    <mergeCell ref="J76:J79"/>
    <mergeCell ref="J59:J60"/>
    <mergeCell ref="H4:H5"/>
    <mergeCell ref="G116:G117"/>
    <mergeCell ref="G114:G115"/>
    <mergeCell ref="G104:G105"/>
    <mergeCell ref="G32:G33"/>
    <mergeCell ref="F198:F199"/>
    <mergeCell ref="I139:I144"/>
    <mergeCell ref="I133:I137"/>
    <mergeCell ref="I106:I129"/>
    <mergeCell ref="I92:I95"/>
    <mergeCell ref="I83:I88"/>
    <mergeCell ref="I59:I60"/>
    <mergeCell ref="I43:I50"/>
    <mergeCell ref="I37:I41"/>
    <mergeCell ref="I30:I35"/>
    <mergeCell ref="H76:H79"/>
    <mergeCell ref="H59:H60"/>
    <mergeCell ref="H52:H53"/>
    <mergeCell ref="H47:H50"/>
    <mergeCell ref="H37:H45"/>
    <mergeCell ref="H30:H35"/>
    <mergeCell ref="H19:H20"/>
    <mergeCell ref="H15:H17"/>
    <mergeCell ref="H9:H11"/>
    <mergeCell ref="D166:D178"/>
    <mergeCell ref="F83:F84"/>
    <mergeCell ref="F78:F79"/>
    <mergeCell ref="F76:F77"/>
    <mergeCell ref="F59:F60"/>
    <mergeCell ref="F48:F49"/>
    <mergeCell ref="F45:F46"/>
    <mergeCell ref="F40:F41"/>
    <mergeCell ref="F37:F39"/>
    <mergeCell ref="F154:F155"/>
    <mergeCell ref="F147:F149"/>
    <mergeCell ref="F145:F146"/>
    <mergeCell ref="F140:F142"/>
    <mergeCell ref="F138:F139"/>
    <mergeCell ref="F136:F137"/>
    <mergeCell ref="F130:F132"/>
    <mergeCell ref="F106:F127"/>
    <mergeCell ref="F103:F105"/>
    <mergeCell ref="A2:A12"/>
    <mergeCell ref="D154:D165"/>
    <mergeCell ref="D151:D152"/>
    <mergeCell ref="D136:D150"/>
    <mergeCell ref="D133:D135"/>
    <mergeCell ref="D130:D132"/>
    <mergeCell ref="D103:D129"/>
    <mergeCell ref="D94:D101"/>
    <mergeCell ref="D88:D91"/>
    <mergeCell ref="D83:D87"/>
    <mergeCell ref="D76:D77"/>
    <mergeCell ref="D47:D49"/>
    <mergeCell ref="D45:D46"/>
    <mergeCell ref="D43:D44"/>
    <mergeCell ref="D37:D41"/>
    <mergeCell ref="D28:D35"/>
    <mergeCell ref="D19:D20"/>
    <mergeCell ref="D15:D17"/>
    <mergeCell ref="D9:D11"/>
    <mergeCell ref="D4:D5"/>
    <mergeCell ref="C83:C205"/>
    <mergeCell ref="C82:K82"/>
    <mergeCell ref="C80:K80"/>
    <mergeCell ref="C76:C79"/>
    <mergeCell ref="C3:K3"/>
    <mergeCell ref="B83:B206"/>
    <mergeCell ref="B52:B82"/>
    <mergeCell ref="B37:B51"/>
    <mergeCell ref="B28:B36"/>
    <mergeCell ref="B24:B27"/>
    <mergeCell ref="B13:B23"/>
    <mergeCell ref="B9:B12"/>
    <mergeCell ref="B7:B8"/>
    <mergeCell ref="B4:B6"/>
    <mergeCell ref="B2:B3"/>
    <mergeCell ref="C206:K206"/>
    <mergeCell ref="E83:E205"/>
    <mergeCell ref="E76:E79"/>
    <mergeCell ref="E52:E53"/>
    <mergeCell ref="E37:E50"/>
    <mergeCell ref="E28:E35"/>
    <mergeCell ref="E19:E20"/>
    <mergeCell ref="E15:E17"/>
    <mergeCell ref="E9:E11"/>
    <mergeCell ref="E4:E5"/>
    <mergeCell ref="D197:D201"/>
    <mergeCell ref="D193:D196"/>
    <mergeCell ref="D190:D192"/>
    <mergeCell ref="I4:I5"/>
    <mergeCell ref="F9:F11"/>
    <mergeCell ref="F4:F5"/>
    <mergeCell ref="F187:F188"/>
    <mergeCell ref="F185:F186"/>
    <mergeCell ref="F181:F182"/>
    <mergeCell ref="F171:F176"/>
    <mergeCell ref="F168:F170"/>
    <mergeCell ref="F166:F167"/>
    <mergeCell ref="F163:F164"/>
    <mergeCell ref="F157:F161"/>
    <mergeCell ref="C75:K75"/>
    <mergeCell ref="C28:C35"/>
    <mergeCell ref="C27:K27"/>
    <mergeCell ref="C25:K25"/>
    <mergeCell ref="C23:K23"/>
    <mergeCell ref="C21:K21"/>
    <mergeCell ref="C73:K73"/>
    <mergeCell ref="C71:K71"/>
    <mergeCell ref="C69:K69"/>
    <mergeCell ref="C67:K67"/>
    <mergeCell ref="C65:K65"/>
    <mergeCell ref="C63:K63"/>
    <mergeCell ref="C61:K61"/>
    <mergeCell ref="F101:F102"/>
    <mergeCell ref="F99:F100"/>
    <mergeCell ref="F94:F97"/>
    <mergeCell ref="F92:F93"/>
    <mergeCell ref="F89:F90"/>
    <mergeCell ref="F86:F87"/>
    <mergeCell ref="F190:F191"/>
    <mergeCell ref="I174:I176"/>
    <mergeCell ref="I159:I170"/>
    <mergeCell ref="I154:I156"/>
    <mergeCell ref="I148:I150"/>
    <mergeCell ref="H197:H205"/>
    <mergeCell ref="H195:H196"/>
    <mergeCell ref="H103:H194"/>
    <mergeCell ref="H83:H101"/>
    <mergeCell ref="J157:J158"/>
    <mergeCell ref="J154:J156"/>
    <mergeCell ref="J151:J153"/>
    <mergeCell ref="J148:J150"/>
    <mergeCell ref="J145:J147"/>
    <mergeCell ref="J139:J144"/>
    <mergeCell ref="I9:I11"/>
    <mergeCell ref="C58:K58"/>
    <mergeCell ref="C56:K56"/>
    <mergeCell ref="C54:K54"/>
    <mergeCell ref="C52:C53"/>
    <mergeCell ref="C51:K51"/>
    <mergeCell ref="C37:C50"/>
    <mergeCell ref="C36:K36"/>
    <mergeCell ref="C19:C20"/>
    <mergeCell ref="C18:K18"/>
    <mergeCell ref="C15:C17"/>
    <mergeCell ref="C14:K14"/>
    <mergeCell ref="C12:K12"/>
    <mergeCell ref="C9:C11"/>
    <mergeCell ref="F31:F34"/>
    <mergeCell ref="C8:K8"/>
    <mergeCell ref="C6:K6"/>
    <mergeCell ref="C4:C5"/>
    <mergeCell ref="D181:D189"/>
    <mergeCell ref="D179:D180"/>
    <mergeCell ref="A13:A206"/>
    <mergeCell ref="C59:C60"/>
  </mergeCells>
  <conditionalFormatting sqref="E1:E1048576">
    <cfRule type="cellIs" dxfId="5" priority="3" operator="equal">
      <formula>"&gt;DIFIERE&lt;"</formula>
    </cfRule>
  </conditionalFormatting>
  <conditionalFormatting sqref="I1:I1048576">
    <cfRule type="cellIs" dxfId="4" priority="7" operator="equal">
      <formula>"&gt;PENDIENTE&lt;"</formula>
    </cfRule>
  </conditionalFormatting>
  <conditionalFormatting sqref="A1:A1048576">
    <cfRule type="cellIs" dxfId="3" priority="2" operator="equal">
      <formula>"Faltante"</formula>
    </cfRule>
  </conditionalFormatting>
  <conditionalFormatting sqref="H1:H1048576">
    <cfRule type="cellIs" dxfId="2" priority="5" operator="equal">
      <formula>"Color"</formula>
    </cfRule>
  </conditionalFormatting>
  <conditionalFormatting sqref="J1:J1048576">
    <cfRule type="cellIs" dxfId="1" priority="17" operator="equal">
      <formula>"Cuenta Corriente"</formula>
    </cfRule>
  </conditionalFormatting>
  <conditionalFormatting sqref="L1:L1048576">
    <cfRule type="cellIs" dxfId="0" priority="1" operator="equal">
      <formula>1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páginas&amp;C179 avisos&amp;Rviernes 09 septiembre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2022-09-09T12:42:02Z</cp:lastPrinted>
  <dcterms:created xsi:type="dcterms:W3CDTF">2015-10-29T20:42:16Z</dcterms:created>
  <dcterms:modified xsi:type="dcterms:W3CDTF">2022-09-09T14:19:27Z</dcterms:modified>
</cp:coreProperties>
</file>