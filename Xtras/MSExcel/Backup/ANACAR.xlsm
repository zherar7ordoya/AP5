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backupFile="1" codeName="AdCon" hidePivotFieldList="1"/>
  <mc:AlternateContent xmlns:mc="http://schemas.openxmlformats.org/markup-compatibility/2006">
    <mc:Choice Requires="x15">
      <x15ac:absPath xmlns:x15ac="http://schemas.microsoft.com/office/spreadsheetml/2010/11/ac" url="C:\Documents\"/>
    </mc:Choice>
  </mc:AlternateContent>
  <xr:revisionPtr revIDLastSave="0" documentId="13_ncr:1_{C0A5E372-491B-40D9-B5E9-32954258570E}" xr6:coauthVersionLast="45" xr6:coauthVersionMax="45" xr10:uidLastSave="{00000000-0000-0000-0000-000000000000}"/>
  <bookViews>
    <workbookView xWindow="-120" yWindow="-120" windowWidth="20640" windowHeight="11310" activeTab="1" xr2:uid="{00000000-000D-0000-FFFF-FFFF00000000}"/>
  </bookViews>
  <sheets>
    <sheet name="InputSheet" sheetId="1162" r:id="rId1"/>
    <sheet name="OutputSheet" sheetId="101" r:id="rId2"/>
  </sheets>
  <definedNames>
    <definedName name="_xlnm.Print_Area" localSheetId="1">OutputSheet!$A:$L</definedName>
    <definedName name="_xlnm.Print_Titles" localSheetId="1">OutputSheet!$1:$1</definedName>
  </definedNames>
  <calcPr calcId="191029"/>
  <pivotCaches>
    <pivotCache cacheId="0" r:id="rId3"/>
  </pivotCaches>
</workbook>
</file>

<file path=xl/calcChain.xml><?xml version="1.0" encoding="utf-8"?>
<calcChain xmlns="http://schemas.openxmlformats.org/spreadsheetml/2006/main">
  <c r="S3" i="1162" l="1"/>
  <c r="S5" i="1162"/>
  <c r="S7" i="1162"/>
  <c r="S9" i="1162"/>
  <c r="S11" i="1162"/>
  <c r="S13" i="1162"/>
  <c r="S15" i="1162"/>
  <c r="S17" i="1162"/>
  <c r="S19" i="1162"/>
  <c r="S21" i="1162"/>
  <c r="S23" i="1162"/>
  <c r="S25" i="1162"/>
  <c r="S27" i="1162"/>
  <c r="S29" i="1162"/>
  <c r="S31" i="1162"/>
  <c r="S33" i="1162"/>
  <c r="S35" i="1162"/>
  <c r="S37" i="1162"/>
  <c r="S39" i="1162"/>
  <c r="S41" i="1162"/>
  <c r="S43" i="1162"/>
  <c r="S45" i="1162"/>
  <c r="S47" i="1162"/>
  <c r="S49" i="1162"/>
  <c r="S51" i="1162"/>
  <c r="S53" i="1162"/>
  <c r="S55" i="1162"/>
  <c r="S57" i="1162"/>
  <c r="S59" i="1162"/>
  <c r="S61" i="1162"/>
  <c r="S63" i="1162"/>
  <c r="S65" i="1162"/>
  <c r="S67" i="1162"/>
  <c r="S69" i="1162"/>
  <c r="S71" i="1162"/>
  <c r="S73" i="1162"/>
  <c r="S75" i="1162"/>
  <c r="S77" i="1162"/>
  <c r="S79" i="1162"/>
  <c r="S81" i="1162"/>
  <c r="R2" i="1162"/>
  <c r="S2" i="1162" s="1"/>
  <c r="R3" i="1162"/>
  <c r="R4" i="1162"/>
  <c r="S4" i="1162" s="1"/>
  <c r="R5" i="1162"/>
  <c r="R6" i="1162"/>
  <c r="S6" i="1162" s="1"/>
  <c r="R7" i="1162"/>
  <c r="R8" i="1162"/>
  <c r="S8" i="1162" s="1"/>
  <c r="R9" i="1162"/>
  <c r="R10" i="1162"/>
  <c r="S10" i="1162" s="1"/>
  <c r="R11" i="1162"/>
  <c r="R12" i="1162"/>
  <c r="S12" i="1162" s="1"/>
  <c r="R13" i="1162"/>
  <c r="R14" i="1162"/>
  <c r="S14" i="1162" s="1"/>
  <c r="R15" i="1162"/>
  <c r="R16" i="1162"/>
  <c r="S16" i="1162" s="1"/>
  <c r="R17" i="1162"/>
  <c r="R18" i="1162"/>
  <c r="S18" i="1162" s="1"/>
  <c r="R19" i="1162"/>
  <c r="R20" i="1162"/>
  <c r="S20" i="1162" s="1"/>
  <c r="R21" i="1162"/>
  <c r="R22" i="1162"/>
  <c r="S22" i="1162" s="1"/>
  <c r="R23" i="1162"/>
  <c r="R24" i="1162"/>
  <c r="S24" i="1162" s="1"/>
  <c r="R25" i="1162"/>
  <c r="R26" i="1162"/>
  <c r="S26" i="1162" s="1"/>
  <c r="R27" i="1162"/>
  <c r="R28" i="1162"/>
  <c r="S28" i="1162" s="1"/>
  <c r="R29" i="1162"/>
  <c r="R30" i="1162"/>
  <c r="S30" i="1162" s="1"/>
  <c r="R31" i="1162"/>
  <c r="R32" i="1162"/>
  <c r="S32" i="1162" s="1"/>
  <c r="R33" i="1162"/>
  <c r="R34" i="1162"/>
  <c r="S34" i="1162" s="1"/>
  <c r="R35" i="1162"/>
  <c r="R36" i="1162"/>
  <c r="S36" i="1162" s="1"/>
  <c r="R37" i="1162"/>
  <c r="R38" i="1162"/>
  <c r="S38" i="1162" s="1"/>
  <c r="R39" i="1162"/>
  <c r="R40" i="1162"/>
  <c r="S40" i="1162" s="1"/>
  <c r="R41" i="1162"/>
  <c r="R42" i="1162"/>
  <c r="S42" i="1162" s="1"/>
  <c r="R43" i="1162"/>
  <c r="R44" i="1162"/>
  <c r="S44" i="1162" s="1"/>
  <c r="R45" i="1162"/>
  <c r="R46" i="1162"/>
  <c r="S46" i="1162" s="1"/>
  <c r="R47" i="1162"/>
  <c r="R48" i="1162"/>
  <c r="S48" i="1162" s="1"/>
  <c r="R49" i="1162"/>
  <c r="R50" i="1162"/>
  <c r="S50" i="1162" s="1"/>
  <c r="R51" i="1162"/>
  <c r="R52" i="1162"/>
  <c r="S52" i="1162" s="1"/>
  <c r="R53" i="1162"/>
  <c r="R54" i="1162"/>
  <c r="S54" i="1162" s="1"/>
  <c r="R55" i="1162"/>
  <c r="R56" i="1162"/>
  <c r="S56" i="1162" s="1"/>
  <c r="R57" i="1162"/>
  <c r="R58" i="1162"/>
  <c r="S58" i="1162" s="1"/>
  <c r="R59" i="1162"/>
  <c r="R60" i="1162"/>
  <c r="S60" i="1162" s="1"/>
  <c r="R61" i="1162"/>
  <c r="R62" i="1162"/>
  <c r="S62" i="1162" s="1"/>
  <c r="R63" i="1162"/>
  <c r="R64" i="1162"/>
  <c r="S64" i="1162" s="1"/>
  <c r="R65" i="1162"/>
  <c r="R66" i="1162"/>
  <c r="S66" i="1162" s="1"/>
  <c r="R67" i="1162"/>
  <c r="R68" i="1162"/>
  <c r="S68" i="1162" s="1"/>
  <c r="R69" i="1162"/>
  <c r="R70" i="1162"/>
  <c r="S70" i="1162" s="1"/>
  <c r="R71" i="1162"/>
  <c r="R72" i="1162"/>
  <c r="S72" i="1162" s="1"/>
  <c r="R73" i="1162"/>
  <c r="R74" i="1162"/>
  <c r="S74" i="1162" s="1"/>
  <c r="R75" i="1162"/>
  <c r="R76" i="1162"/>
  <c r="S76" i="1162" s="1"/>
  <c r="R77" i="1162"/>
  <c r="R78" i="1162"/>
  <c r="S78" i="1162" s="1"/>
  <c r="R79" i="1162"/>
  <c r="R80" i="1162"/>
  <c r="S80" i="1162" s="1"/>
  <c r="R81" i="1162"/>
  <c r="R82" i="1162"/>
  <c r="S82" i="1162" s="1"/>
  <c r="Q2" i="1162"/>
  <c r="Q4" i="1162"/>
  <c r="Q6" i="1162"/>
  <c r="Q8" i="1162"/>
  <c r="Q10" i="1162"/>
  <c r="Q12" i="1162"/>
  <c r="Q14" i="1162"/>
  <c r="Q16" i="1162"/>
  <c r="Q18" i="1162"/>
  <c r="Q20" i="1162"/>
  <c r="Q22" i="1162"/>
  <c r="Q24" i="1162"/>
  <c r="Q26" i="1162"/>
  <c r="Q28" i="1162"/>
  <c r="Q30" i="1162"/>
  <c r="Q32" i="1162"/>
  <c r="Q34" i="1162"/>
  <c r="Q36" i="1162"/>
  <c r="Q38" i="1162"/>
  <c r="Q40" i="1162"/>
  <c r="Q42" i="1162"/>
  <c r="Q44" i="1162"/>
  <c r="Q46" i="1162"/>
  <c r="Q48" i="1162"/>
  <c r="Q50" i="1162"/>
  <c r="Q52" i="1162"/>
  <c r="Q54" i="1162"/>
  <c r="Q56" i="1162"/>
  <c r="Q58" i="1162"/>
  <c r="Q60" i="1162"/>
  <c r="Q62" i="1162"/>
  <c r="Q64" i="1162"/>
  <c r="Q66" i="1162"/>
  <c r="Q68" i="1162"/>
  <c r="Q70" i="1162"/>
  <c r="Q72" i="1162"/>
  <c r="Q74" i="1162"/>
  <c r="Q76" i="1162"/>
  <c r="Q78" i="1162"/>
  <c r="Q80" i="1162"/>
  <c r="Q82" i="1162"/>
  <c r="Q69" i="1162"/>
  <c r="Q73" i="1162"/>
  <c r="Q77" i="1162"/>
  <c r="Q81" i="1162"/>
  <c r="Q3" i="1162"/>
  <c r="Q5" i="1162"/>
  <c r="Q7" i="1162"/>
  <c r="Q9" i="1162"/>
  <c r="Q11" i="1162"/>
  <c r="Q13" i="1162"/>
  <c r="Q15" i="1162"/>
  <c r="Q17" i="1162"/>
  <c r="Q19" i="1162"/>
  <c r="Q21" i="1162"/>
  <c r="Q23" i="1162"/>
  <c r="Q25" i="1162"/>
  <c r="Q27" i="1162"/>
  <c r="Q29" i="1162"/>
  <c r="Q31" i="1162"/>
  <c r="Q33" i="1162"/>
  <c r="Q35" i="1162"/>
  <c r="Q37" i="1162"/>
  <c r="Q39" i="1162"/>
  <c r="Q41" i="1162"/>
  <c r="Q43" i="1162"/>
  <c r="Q45" i="1162"/>
  <c r="Q47" i="1162"/>
  <c r="Q49" i="1162"/>
  <c r="Q51" i="1162"/>
  <c r="Q53" i="1162"/>
  <c r="Q55" i="1162"/>
  <c r="Q57" i="1162"/>
  <c r="Q59" i="1162"/>
  <c r="Q61" i="1162"/>
  <c r="Q63" i="1162"/>
  <c r="Q65" i="1162"/>
  <c r="Q67" i="1162"/>
  <c r="Q71" i="1162"/>
  <c r="Q75" i="1162"/>
  <c r="Q79" i="1162"/>
</calcChain>
</file>

<file path=xl/sharedStrings.xml><?xml version="1.0" encoding="utf-8"?>
<sst xmlns="http://schemas.openxmlformats.org/spreadsheetml/2006/main" count="1546" uniqueCount="407">
  <si>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</si>
  <si>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</si>
  <si>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</si>
  <si>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</si>
  <si>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</si>
  <si>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</si>
  <si>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</si>
  <si>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</si>
  <si>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</si>
  <si>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</si>
  <si>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</si>
  <si>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</si>
  <si>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</si>
  <si>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</si>
  <si>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</si>
  <si>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</si>
  <si>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</si>
  <si>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</si>
  <si>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</si>
  <si>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</si>
  <si>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</si>
  <si>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B&amp;N</t>
  </si>
  <si>
    <t>OK</t>
  </si>
  <si>
    <t>Notables - Jujuy 1 Col</t>
  </si>
  <si>
    <t>Contado</t>
  </si>
  <si>
    <t>RODRIGUEZ QUIROGA MARTIN</t>
  </si>
  <si>
    <t>JPINTF</t>
  </si>
  <si>
    <t>El Mundo De Las Herramientas S.R.L.</t>
  </si>
  <si>
    <t>CARMOTO FERRETERIA INDUSTRIAL</t>
  </si>
  <si>
    <t>ECOMET S.R.L.</t>
  </si>
  <si>
    <t>METALNOR-METALES-CHATARRA</t>
  </si>
  <si>
    <t>JMATCO</t>
  </si>
  <si>
    <t>JCOM01</t>
  </si>
  <si>
    <t>Zamar  Juan Jose</t>
  </si>
  <si>
    <t>ALQUILO DEPTO CATEGORIA</t>
  </si>
  <si>
    <t>JALO01</t>
  </si>
  <si>
    <t>Cuerpo Central</t>
  </si>
  <si>
    <t>Editorial Comercial - Jujuy</t>
  </si>
  <si>
    <t>La Cocheria S.r.l.</t>
  </si>
  <si>
    <t>LA COCHERIA SRL</t>
  </si>
  <si>
    <t>SU</t>
  </si>
  <si>
    <t>Servicios Sociales Futuro S R L</t>
  </si>
  <si>
    <t>SERIVICIO SOCIALES FUTURO...</t>
  </si>
  <si>
    <t>SER</t>
  </si>
  <si>
    <t>BANCO DE DESARROLLO DE JUJUY SOCIEDAD DEL ESTADO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</si>
  <si>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</si>
  <si>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</si>
  <si>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</si>
  <si>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</si>
  <si>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</si>
  <si>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</si>
  <si>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Palavecino Rodriguez Jose Miguel</t>
  </si>
  <si>
    <t>PROBLEMAS DE COLUMNA Y EXTREMIDADES                 QUIROPRAM. Palavecino  M.P. 1899 Independencia 518 - Cel. 155090998.</t>
  </si>
  <si>
    <t>REPITE ANUNCIO</t>
  </si>
  <si>
    <t>JGKINES</t>
  </si>
  <si>
    <t>JGCONT</t>
  </si>
  <si>
    <t>JGABOGA</t>
  </si>
  <si>
    <t>Obituarios</t>
  </si>
  <si>
    <t>Werchow Servicios Sociales S.R.L.</t>
  </si>
  <si>
    <t>WERCHOW</t>
  </si>
  <si>
    <t>Obituario Modulo - Jujuy</t>
  </si>
  <si>
    <t>OBIMOD</t>
  </si>
  <si>
    <t>Ubic</t>
  </si>
  <si>
    <t>Imagen</t>
  </si>
  <si>
    <t>Med</t>
  </si>
  <si>
    <t>OP</t>
  </si>
  <si>
    <t xml:space="preserve"> </t>
  </si>
  <si>
    <t>5x17</t>
  </si>
  <si>
    <t>5x03</t>
  </si>
  <si>
    <t>2x02</t>
  </si>
  <si>
    <t>2x03</t>
  </si>
  <si>
    <t>1x10</t>
  </si>
  <si>
    <t>&gt;DIFIERE&lt;</t>
  </si>
  <si>
    <t>3x03</t>
  </si>
  <si>
    <t>1x02</t>
  </si>
  <si>
    <t>1x03</t>
  </si>
  <si>
    <t>1x06</t>
  </si>
  <si>
    <t>1x05</t>
  </si>
  <si>
    <t>1x14</t>
  </si>
  <si>
    <t>1x09</t>
  </si>
  <si>
    <t>LOPEZ PIERRE - FARMACIA</t>
  </si>
  <si>
    <t>LOPEZ PIERRE FARMACIA</t>
  </si>
  <si>
    <t>JVEN02</t>
  </si>
  <si>
    <t>Pastore  Ana Laura</t>
  </si>
  <si>
    <t>JVEN06</t>
  </si>
  <si>
    <t>RQ VENTA DE TERRENOS</t>
  </si>
  <si>
    <t>Editora Sociedad Anonima</t>
  </si>
  <si>
    <t>&gt;PENDIENTE&lt;</t>
  </si>
  <si>
    <t>Promocionales</t>
  </si>
  <si>
    <t>Carvajal Juan Carlos</t>
  </si>
  <si>
    <t>FERRETERIA CARBAJAL</t>
  </si>
  <si>
    <t>RENUEVA IMAGEN A PARTIR DEL 5/01</t>
  </si>
  <si>
    <t>1x07</t>
  </si>
  <si>
    <t>SUDC</t>
  </si>
  <si>
    <t>5x10</t>
  </si>
  <si>
    <t>JPEDID</t>
  </si>
  <si>
    <t>280813</t>
  </si>
  <si>
    <t>LOPEZ DELGADO CLAUDIA TATIANA</t>
  </si>
  <si>
    <t>PERICO  VENDO 2 TERRENOS juntos 10x27 c/u. Bº Municipal. Recibo camioneta C/D. 4x4  Cel. 388 154084933154084933</t>
  </si>
  <si>
    <t>JVEN01</t>
  </si>
  <si>
    <t>LÒPEZ  INMOBILIARIA  ESTAMOS EN TODA LA PROVINCIA COMPRAS- VS  S/ Ruta Prov.47  Santo Domingo-Perico TEL. 0388 8 4913660</t>
  </si>
  <si>
    <t>2x06</t>
  </si>
  <si>
    <t>VENDO CHERY TIGGO 2  Mod”2015 Full-Impecable. con 82.000km.  Cel. 38840849338  942015</t>
  </si>
  <si>
    <t>CANAL 7 PROGRAMACION ...</t>
  </si>
  <si>
    <t>2x10</t>
  </si>
  <si>
    <t>HORMIGONERA JUJUY S.R.L.</t>
  </si>
  <si>
    <t>HORMIGONERA  JUJUY S.R.L. VENTA DE ARIDOS: PIEDRA, ARENA, RIIO.  RELLENO DE TERRENO 4259148 - 4259548 ALTE BROW8 4259148</t>
  </si>
  <si>
    <t>JEMPCO</t>
  </si>
  <si>
    <t>HORMIGONERA -VENTA DE HORMIGON EN MIXER</t>
  </si>
  <si>
    <t>Urbania S.R.L.</t>
  </si>
  <si>
    <t>HORMIGONERA + DE 20 AÑOS</t>
  </si>
  <si>
    <t>repite de ultimo aviso</t>
  </si>
  <si>
    <t>BARAC MARTA GRACIELA</t>
  </si>
  <si>
    <t>GRACIELA BARAC C.P.N.º</t>
  </si>
  <si>
    <t>1x08</t>
  </si>
  <si>
    <t>JVEN08</t>
  </si>
  <si>
    <t>1-1437490-1</t>
  </si>
  <si>
    <t>1-1438551-1</t>
  </si>
  <si>
    <t>Vilar Cristian Leandro</t>
  </si>
  <si>
    <t>///// TASADOR ////  AVISO ARMADO  tasador</t>
  </si>
  <si>
    <t>Lopez  Jose Rafael Martin</t>
  </si>
  <si>
    <t>ATENCION MAESTROS /ESTUDIANTES NKIÑOS vendo pizarra p/fibron. Whats app 388-155007477.</t>
  </si>
  <si>
    <t>aviso para renovar con color Rojo</t>
  </si>
  <si>
    <t>Moreno Miguel Oscar</t>
  </si>
  <si>
    <t>EVEX EXPERES - EVELIA  /////AVISO ARMADO///</t>
  </si>
  <si>
    <t>JOTRSE</t>
  </si>
  <si>
    <t>Roca Enrique Vicente</t>
  </si>
  <si>
    <t>ROCA ALQUILA</t>
  </si>
  <si>
    <t>1-1439280-3</t>
  </si>
  <si>
    <t>Reinaldi Florencia</t>
  </si>
  <si>
    <t xml:space="preserve">                    ESTUDIO JURIDICO INTEGRAL Prestación Básos. Seguimientos de expedientes. Tel. 3885860216- 3885843944</t>
  </si>
  <si>
    <t>Salazar  Hugo</t>
  </si>
  <si>
    <t>bien remarcado tasaciones</t>
  </si>
  <si>
    <t>1-1439261-4</t>
  </si>
  <si>
    <t>1-1439491-2</t>
  </si>
  <si>
    <t>TASACIONES CASAS- TERRENOS- FINCAS. Martillero HUGO SALAZAR Cel.0388-154078693</t>
  </si>
  <si>
    <t>Marcos  Jose Alejandro</t>
  </si>
  <si>
    <t>3x10</t>
  </si>
  <si>
    <t>1-1439758-2</t>
  </si>
  <si>
    <t>Carchidi Ayarde Maria Celeste</t>
  </si>
  <si>
    <t>DRA. MARIA CELESTE CARCHIDI AYARDE ABOGADA Familia  Sucesionujuy Teléfono las 24 horas 0388-155749472 ///logo watsapp///</t>
  </si>
  <si>
    <t>LOGO DE WASTHSAPP  Y NOMBRE MAS GRANDE</t>
  </si>
  <si>
    <t>PAC</t>
  </si>
  <si>
    <t>12-1439955-5</t>
  </si>
  <si>
    <t>Reyna  Zulema Lucia</t>
  </si>
  <si>
    <t>PERICO VENDO CASAS  Bº JM DE ROSAS Bº SAN JOSÉ Bº ROMA LOTES    OFICINA:23 DE AGOSTO Nº 295 PERICO CEL. WAPP. 38  239000</t>
  </si>
  <si>
    <t>26598</t>
  </si>
  <si>
    <t>1-1439967-2</t>
  </si>
  <si>
    <t>Bernard  Barbara</t>
  </si>
  <si>
    <t>MONOTRIBUTO: AFIP, RENTAS, Inscripción, Regularización, etc.  Tu situación Impositiva en orden CPN. Cel. 388-608 6002352</t>
  </si>
  <si>
    <t>JGOTRPRO</t>
  </si>
  <si>
    <t>1-1439977-2</t>
  </si>
  <si>
    <t>Bianco  Claudia</t>
  </si>
  <si>
    <t>Dra. Claudia M. Bianco OTORRINOLARINGOLOGA ADULTOS Independencia N° 1008 Turnos solo por teléfono 0388-4833107 8   01008</t>
  </si>
  <si>
    <t>Dergam Srl</t>
  </si>
  <si>
    <t>279407 101</t>
  </si>
  <si>
    <t>1-1440109-3</t>
  </si>
  <si>
    <t>CAZON FLORENCIA</t>
  </si>
  <si>
    <t>DINERO T&amp;T PRESTAMOS - EMPEÑOS  EN EL ACTO Recibimos todas lijo 388- 4232023 ALVEAR 720 De 9 a 13.30 y 17.00 a 8 5844130</t>
  </si>
  <si>
    <t>modifico horario</t>
  </si>
  <si>
    <t>JDINER</t>
  </si>
  <si>
    <t>1-1440201-2</t>
  </si>
  <si>
    <t>Orce Remis Esteban</t>
  </si>
  <si>
    <t xml:space="preserve"> TERRAZAS Y ORCE REMIS ESTUDIO JURÍDICO  CONTABLE  ASESORAMIs y Judiciales.  Nuevo Domicilio  Argañaraz 141 Tel8 4988746</t>
  </si>
  <si>
    <t>MISMO DISEÑO SOLO CAMBIA EL NUMERO DE TELEFONO</t>
  </si>
  <si>
    <t>Carlos Carrillo.</t>
  </si>
  <si>
    <t>REPITE ULITMO AVISO PUBLICADO</t>
  </si>
  <si>
    <t>1-1440286-2</t>
  </si>
  <si>
    <t>Singh Gladys Paula Elizabeth</t>
  </si>
  <si>
    <t>ESTUDIO CONTABLE SINGH C.P.N. PAULA SINGH  Liquidación de Imincoln Nº 509 B° Luján nuevo. Tel:0388-4237041 Cel.8 4237041</t>
  </si>
  <si>
    <t>similar al anuncio 1361322_x000D_
_x000D_
cambia TEXTO._x000D_
_x000D_
gracias</t>
  </si>
  <si>
    <t>Reposicion</t>
  </si>
  <si>
    <t>1-1440615-2</t>
  </si>
  <si>
    <t>VENDO TERMOMETROS DIGITAL (pistola) $4.000 - BARBIJOS  QUIRU.   OXIMETRO $3.200  WHATSAPP 3885853326 Envios a domicilio.</t>
  </si>
  <si>
    <t>1-1440644-2</t>
  </si>
  <si>
    <t>280114</t>
  </si>
  <si>
    <t>278643</t>
  </si>
  <si>
    <t>JOFREC</t>
  </si>
  <si>
    <t>1-1440551-2</t>
  </si>
  <si>
    <t>Jorge  Subelza</t>
  </si>
  <si>
    <t>PROSELAB SERV. DE MANTENIMIENTO GRAL PLANTAS INDUSTRIALES 3885877874 - 3885164911. jorgesubelza@hotmail.com</t>
  </si>
  <si>
    <t>1-1440699-1</t>
  </si>
  <si>
    <t>2901901 1octubre</t>
  </si>
  <si>
    <t>1-1440700-1</t>
  </si>
  <si>
    <t>290201 1octubre</t>
  </si>
  <si>
    <t>1-1440701-1</t>
  </si>
  <si>
    <t>2901828 1octubre</t>
  </si>
  <si>
    <t>290901 1octubre</t>
  </si>
  <si>
    <t>1-1440639-2</t>
  </si>
  <si>
    <t>280117</t>
  </si>
  <si>
    <t>1-1440674-2</t>
  </si>
  <si>
    <t>278641</t>
  </si>
  <si>
    <t>1-1440664-3</t>
  </si>
  <si>
    <t>1-1440680-2</t>
  </si>
  <si>
    <t>278640</t>
  </si>
  <si>
    <t>1-1440707-2</t>
  </si>
  <si>
    <t>280115</t>
  </si>
  <si>
    <t>1-1440663-1</t>
  </si>
  <si>
    <t>1-1440642-2</t>
  </si>
  <si>
    <t>Empresa La Piedad S.A.</t>
  </si>
  <si>
    <t>280113</t>
  </si>
  <si>
    <t>Consultorios AV</t>
  </si>
  <si>
    <t>JGESTET</t>
  </si>
  <si>
    <t>1-1440696-1</t>
  </si>
  <si>
    <t>1-1440547-2</t>
  </si>
  <si>
    <t>Lopez Salgado Guillermo</t>
  </si>
  <si>
    <t xml:space="preserve"> ESTUDIO JURIDICO LOPEZ SALGADO  &amp; Asoc.  Dr. Ing. Guillermo Penal   Coronel Puch 432- Tel. Fijo 4236414 Cel.388 4236414</t>
  </si>
  <si>
    <t>2 Total</t>
  </si>
  <si>
    <t>3 Total</t>
  </si>
  <si>
    <t>0 Total</t>
  </si>
  <si>
    <t>2x04</t>
  </si>
  <si>
    <t>1-1440591-2</t>
  </si>
  <si>
    <t>1-1440794-3</t>
  </si>
  <si>
    <t>SERVICIOS FARMACIAS...</t>
  </si>
  <si>
    <t>2x35</t>
  </si>
  <si>
    <t>1x04</t>
  </si>
  <si>
    <t>4 Total</t>
  </si>
  <si>
    <t>Ads</t>
  </si>
  <si>
    <t>PagE</t>
  </si>
  <si>
    <t>EvaLoc</t>
  </si>
  <si>
    <t>¿Color?</t>
  </si>
  <si>
    <t>Modalidad</t>
  </si>
  <si>
    <t>1-1440985-2</t>
  </si>
  <si>
    <t>DUEÑO VENDE DUPLEX a estrenar, Alto La Viña. Tratar: 3884689890.</t>
  </si>
  <si>
    <t>1-1440990-2</t>
  </si>
  <si>
    <t>Jumi S.R.L.</t>
  </si>
  <si>
    <t>3 octubre</t>
  </si>
  <si>
    <t>Importante empresa del medio busca  Electricista de camionesreferencias comprobables     Enviar CV a: lm561854@8  561854</t>
  </si>
  <si>
    <t>aviso destacado con recuadro y a color si es posible</t>
  </si>
  <si>
    <t>1-1441088-2</t>
  </si>
  <si>
    <t>Diesel Jujuy S R L</t>
  </si>
  <si>
    <t>280135</t>
  </si>
  <si>
    <t>IMP EMP DEL MEDIO TECN OF MEC</t>
  </si>
  <si>
    <t>Direccion De Prensa Y Medios De Comunicacion</t>
  </si>
  <si>
    <t>23 Total</t>
  </si>
  <si>
    <t>1x12</t>
  </si>
  <si>
    <t>Asamblea Cm- Jujuy</t>
  </si>
  <si>
    <t>JASAMB</t>
  </si>
  <si>
    <t>1-1440875-1</t>
  </si>
  <si>
    <t>Rodriguez  Javier</t>
  </si>
  <si>
    <t>SEX SHOP ///AVISO ARMADO////</t>
  </si>
  <si>
    <t>27 Total</t>
  </si>
  <si>
    <t>1-1441132-2</t>
  </si>
  <si>
    <t>Condori  Fabio</t>
  </si>
  <si>
    <t>VENDO  GRISINERA  PANCHERA  Marca Argental, medio uso, $265.000, negociable. Cel 388-58180948 5818094</t>
  </si>
  <si>
    <t>"VENDO" en grande</t>
  </si>
  <si>
    <t>1-1441133-2</t>
  </si>
  <si>
    <t>VENDO SOBADORA (pesada), . marca Argenta, buen estado de conservación . y uso, $220.000, negociable. Cel 388-588 5818094</t>
  </si>
  <si>
    <t>12-1441306-1</t>
  </si>
  <si>
    <t>1-1441149-2</t>
  </si>
  <si>
    <t>Salomon  Natalia</t>
  </si>
  <si>
    <t>VENDO 3 TERRENOS continuos, zona Río Blanco, 10x30 c/u, todostruir, a 10 min del Centro, excelente zona. Cel 388 6856665</t>
  </si>
  <si>
    <t>12-1441301-2</t>
  </si>
  <si>
    <t>1-1441128-2</t>
  </si>
  <si>
    <t>ECO WAPSI S.R.L.</t>
  </si>
  <si>
    <t>279464</t>
  </si>
  <si>
    <t>INMOBILIARIA BARCENA VENDE (LOGO)</t>
  </si>
  <si>
    <t>1-1441138-1</t>
  </si>
  <si>
    <t>279465</t>
  </si>
  <si>
    <t>MARTILLERO VENDE DUPLEX LOS PERALES DPTO LOS PERALES DPTO HU ALTO COMEDERO 10 X 25  ALQUILER LOS PERALES  0388-154963270</t>
  </si>
  <si>
    <t>12-1441232-3</t>
  </si>
  <si>
    <t>Tejerina  Laura</t>
  </si>
  <si>
    <t>DUEÑO VENDE CASA en Monterrico T/ losa. 2Dorm. 2 Bños. Coc. artamento en el fondo. Terreno 10x25 Tratar: Cel. 3884543121</t>
  </si>
  <si>
    <t>con color</t>
  </si>
  <si>
    <t>12-1441295-2</t>
  </si>
  <si>
    <t>10-1441201-2</t>
  </si>
  <si>
    <t>Gorena Carlos</t>
  </si>
  <si>
    <t>CREDIS.   SELECCIONARA: COBRADOR / VENDEDOR   Con movilidad  años.   Por entrevistas comunicarse al: Cel. 388- 156821109</t>
  </si>
  <si>
    <t>1-1429529-15</t>
  </si>
  <si>
    <t>1-1440877-2</t>
  </si>
  <si>
    <t>2oct 20901</t>
  </si>
  <si>
    <t>1-1441111-4</t>
  </si>
  <si>
    <t>Puentedura Pedro Cesar</t>
  </si>
  <si>
    <t>EMPRESA DE TRANSPORTE Se encuentra en la búsqueda de Personas  Enviar CV a: rrhhtransportejujuy@gmail.com Cel.3885051925</t>
  </si>
  <si>
    <t>Notables - Jujuy +1 Col</t>
  </si>
  <si>
    <t>JAGRUP</t>
  </si>
  <si>
    <t>CANAL 2 PERICO PROGRAMACION ....</t>
  </si>
  <si>
    <t>Horizontes S A</t>
  </si>
  <si>
    <t>21656</t>
  </si>
  <si>
    <t>AGROFER...</t>
  </si>
  <si>
    <t>1-1441222-4</t>
  </si>
  <si>
    <t>GOBIENRO AYUDANOS A CORTAR LA CDENA DE CONTAGIO...</t>
  </si>
  <si>
    <t>1-1440552-3</t>
  </si>
  <si>
    <t>////LOGO///// DERECHO DE FAMILIA: Alimentos-Divorcio-Cuidadoitud de turnos: Cel. 388-5073068 .  Argañaraz Nº 298 5073068</t>
  </si>
  <si>
    <t>2x07</t>
  </si>
  <si>
    <t>12-1441381-4</t>
  </si>
  <si>
    <t>Coop. De Trabajo Textil Lda.</t>
  </si>
  <si>
    <t>EMPRESA TEXTIL Necesita costurero/a. Con experiencia en máqu PERICO. Frente mercado municipal o llamar  Cel.3888 5004283</t>
  </si>
  <si>
    <t>texto modificado a color segun corresponda</t>
  </si>
  <si>
    <t>PES</t>
  </si>
  <si>
    <t>1-1441466-2</t>
  </si>
  <si>
    <t>SEX  SHOP RINDA MAS Necochea 338 República de Siria 172  Sol superior a todo!!! TOTALMENTE NATURAL  ///logo li- chang///</t>
  </si>
  <si>
    <t>aviso con logo en la parte inferior, en carpeta de la fecha 19-05-2018_x000D_
_x000D_
LOGO- Li Chang- 19-05-2018</t>
  </si>
  <si>
    <t>Perez Luis Alberto.</t>
  </si>
  <si>
    <t>1-1441420-2</t>
  </si>
  <si>
    <t>MONICA MEZZENA</t>
  </si>
  <si>
    <t>VENDO  IMPORTANTE  CASA EN PLENO CENTRO calle independencia  apta vivienda, consultorio, estudios , etc.  Cel.3884779841</t>
  </si>
  <si>
    <t>con recuadro remarcado x favor</t>
  </si>
  <si>
    <t>280116</t>
  </si>
  <si>
    <t>DERGAM</t>
  </si>
  <si>
    <t>1-1441453-2</t>
  </si>
  <si>
    <t>Bustamante  Norma</t>
  </si>
  <si>
    <t>NECESITO AYUDANTE PRACTICO (varón). Presentarse en en Av. Exodo 532 de 10 a 16 horas.</t>
  </si>
  <si>
    <t>1-1441480-2</t>
  </si>
  <si>
    <t>A B CONSTRUCCIONES S R L</t>
  </si>
  <si>
    <t>280139</t>
  </si>
  <si>
    <t>BUSCAMOS VENDEDORES C/EXP...</t>
  </si>
  <si>
    <t>1-1441474-3</t>
  </si>
  <si>
    <t>Analia Segovia</t>
  </si>
  <si>
    <t>“RUMBOS”</t>
  </si>
  <si>
    <t>JGPSICO</t>
  </si>
  <si>
    <t>1-1441461-1</t>
  </si>
  <si>
    <t>Romero  Gabriel</t>
  </si>
  <si>
    <t>PODOLOGO UNIVERSITARIO GABRIEL ROMERO Uñas encarnadas- MicosALVEAR 730 PLATA ALTA RECIBIMOS TARJETAS DE CRÉDITO8 4228088</t>
  </si>
  <si>
    <t>TEXTO NUEVO_x000D_
SE AUMENTO:    "VENTA EXCLUSIVA DE PRODUCTOS PARA PODOLOGOS".</t>
  </si>
  <si>
    <t>JGPODOL</t>
  </si>
  <si>
    <t>2x05</t>
  </si>
  <si>
    <t>15 Total</t>
  </si>
  <si>
    <t>1x15</t>
  </si>
  <si>
    <t>2x12</t>
  </si>
  <si>
    <t>1-1441522-2</t>
  </si>
  <si>
    <t>Meza  Ramon Jose</t>
  </si>
  <si>
    <t>OPORTUNIDAD VENDO LOCAL Galeria Impulso, apto consultorio u oficina, $2.700.000. Ce 3884662183</t>
  </si>
  <si>
    <t>JVEN04</t>
  </si>
  <si>
    <t>1-1441671-2</t>
  </si>
  <si>
    <t>Adera Adriana</t>
  </si>
  <si>
    <t xml:space="preserve"> 3A PROPIEDADES VENDE TERRENO 800 m2 Los Perales, calle Cabe Meza, c/ escritura y servicios, u$d 45.000. Cel 388 5062768</t>
  </si>
  <si>
    <t>1-1441248-2</t>
  </si>
  <si>
    <t>Barreiro Maria Nazarena</t>
  </si>
  <si>
    <t>265622</t>
  </si>
  <si>
    <t>////LOGO INMOBILIARIA BARRERIRO////   CASAS  • Los Perales -rano - Calle Lavalle  Telef. (388) 4222609 - Cel. 38 4222609</t>
  </si>
  <si>
    <t>1-1441677-2</t>
  </si>
  <si>
    <t>3A PROPIEDADES VENDE Terreno B° El Arenal 362 m2. en esq., escritura y servicios  $1.400.000 CDO. Cel.155062768</t>
  </si>
  <si>
    <t>1-1441683-1</t>
  </si>
  <si>
    <t>279242</t>
  </si>
  <si>
    <t>VENDO TERRENO CON GALPON ....</t>
  </si>
  <si>
    <t>repite aviso de negocio 1438476</t>
  </si>
  <si>
    <t>1-1440094-4</t>
  </si>
  <si>
    <t>1-1440643-3</t>
  </si>
  <si>
    <t>1-1440647-5</t>
  </si>
  <si>
    <t>13-1441622-2</t>
  </si>
  <si>
    <t>Antonio Noguera</t>
  </si>
  <si>
    <t>“EL HORNERO”  ALQUILO CAMIONES VOLQUETES 18m3 y 6m6 “EL HORNUATERO  “EL HORNERO”  - VENDO AGUA-  Tel. 1568550158 4250352</t>
  </si>
  <si>
    <t>JMAQCO</t>
  </si>
  <si>
    <t>10-1441566-2</t>
  </si>
  <si>
    <t>Coop. De Provision Y Servicios Para Transportistas Serranias De Palpala</t>
  </si>
  <si>
    <t xml:space="preserve"> LA  COMISIÓN DIRECTIVA DEL CONCEJO ADMINISTRACIÓN DE LA COOE POR FINALIZACIÓN DE MANDATO.   RAUL GUTIERREZ  PR8  048205</t>
  </si>
  <si>
    <t>1-1440576-2</t>
  </si>
  <si>
    <t>CIEN SOCIEDAD ANONIMA</t>
  </si>
  <si>
    <t>2903019 1</t>
  </si>
  <si>
    <t>MARTILLERA LAURA BLANCO   *Departamento  Céntrico: (2 dormitlado del Comodín Duplex en Huaico 2 dorm, TRATAR: 3884979930</t>
  </si>
  <si>
    <t>AVISO CON RECUARDO ROJO_x000D_
_x000D_
_x000D_
archivo en notables de la fecha</t>
  </si>
  <si>
    <t>1-1440727-12</t>
  </si>
  <si>
    <t>1-1440728-10</t>
  </si>
  <si>
    <t>1-1441486-2</t>
  </si>
  <si>
    <t>Colegio De Tecnico De Jujuy</t>
  </si>
  <si>
    <t>29863</t>
  </si>
  <si>
    <t>COL. DE TECNICOS DIA DEL TECNICO...</t>
  </si>
  <si>
    <t>1-1441492-3</t>
  </si>
  <si>
    <t xml:space="preserve"> COMPAÑIA ARGENTINA DE SEGUROS LATITUD SUR SA</t>
  </si>
  <si>
    <t>279240</t>
  </si>
  <si>
    <t>INICIO DE LUCHA ANTIGRANIZO</t>
  </si>
  <si>
    <t>PAG3</t>
  </si>
  <si>
    <t>1-1436464-15</t>
  </si>
  <si>
    <t>Colegio De Escribanos De La Provincia De Jujuy</t>
  </si>
  <si>
    <t>GUARDIAS COLEGIO ESCRIBANOS....</t>
  </si>
  <si>
    <t>1-1440008-15</t>
  </si>
  <si>
    <t>1-1441484-2</t>
  </si>
  <si>
    <t>Mota  Facundo</t>
  </si>
  <si>
    <t>+ CÓRDOBA, Ramona Yolanda (q.e.p.d.) Falleció el día 10 de o rezar para que tu alma vuele y veas la gloria divina. Amén.</t>
  </si>
  <si>
    <t>1-1441593-2</t>
  </si>
  <si>
    <t>Alfaro Gaspar</t>
  </si>
  <si>
    <t>+ ROBERTO GASPAR “ Patita”      q.e.p.d. Falleció el día 30 nando, Héctor, Viviana, Adrián y Débora  y todos tus nietos.</t>
  </si>
  <si>
    <t>con foto color carpeta dia 10 atencion</t>
  </si>
  <si>
    <t>1-1441706-2</t>
  </si>
  <si>
    <t>Sanchez Juan Domingo.</t>
  </si>
  <si>
    <t>275759</t>
  </si>
  <si>
    <t xml:space="preserve">                                      AGRADECIMIENTO                              Falleció el día 3 de octubre de 2.020.</t>
  </si>
  <si>
    <t>1-1441713-1</t>
  </si>
  <si>
    <t>Ruiz Nora Del Rosario</t>
  </si>
  <si>
    <t>RAÚL RAMÓN UGARTE (Serrucho) Q.E.P.D Falleció el 10 de septiembre  de 2020   AVISO ARMADO</t>
  </si>
  <si>
    <t>1-1441715-2</t>
  </si>
  <si>
    <t>279153</t>
  </si>
  <si>
    <t>CARGAR CUENTA DE WERCHO MOD 1X3 BYN  + ALVARADO ESTABAN</t>
  </si>
  <si>
    <t>1-1441718-4</t>
  </si>
  <si>
    <t>GUTIERREZ EDUARDO ESTEBAN</t>
  </si>
  <si>
    <t>10102020</t>
  </si>
  <si>
    <t>+ RUIZ, Elizabeth Del Carmen de Ochoa. q.e.p.d. Falleció el  Rogamos elevar oraciones por el eterno descanso de su alma.</t>
  </si>
  <si>
    <t>va con foto</t>
  </si>
  <si>
    <t>1-1441719-2</t>
  </si>
  <si>
    <t xml:space="preserve"> VIDEO VISION LA QUIACA SOCIEDAD ANONIMA</t>
  </si>
  <si>
    <t>279154</t>
  </si>
  <si>
    <t>Giubergia, Miguel Ángel (q.e.p.d.) Falleció el día 8 de Octuamos nuestras oraciones para que encuentren pronto consuelo.</t>
  </si>
  <si>
    <t>Sup Salud</t>
  </si>
  <si>
    <t>1-1436417-5</t>
  </si>
  <si>
    <t>Caceres Carlos Roberto</t>
  </si>
  <si>
    <t>2763510</t>
  </si>
  <si>
    <t>DYMEC....</t>
  </si>
  <si>
    <t>1-1441651-2</t>
  </si>
  <si>
    <t>5 Total</t>
  </si>
  <si>
    <t>26 Total</t>
  </si>
  <si>
    <t>28 Total</t>
  </si>
  <si>
    <t>33 Total</t>
  </si>
  <si>
    <t>35 Total</t>
  </si>
  <si>
    <t>38 Total</t>
  </si>
  <si>
    <t>39 Total</t>
  </si>
  <si>
    <t>40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</si>
</sst>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-2C0A]#,##0.00;[$$ -2C0A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ARIAL"/>
      <charset val="1"/>
    </font>
    <font>
      <sz val="11"/>
      <color indexed="8"/>
      <name val="Century Gothic"/>
      <family val="2"/>
      <scheme val="minor"/>
    </font>
    <font>
      <sz val="11"/>
      <color theme="0" tint="-0.249977111117893"/>
      <name val="Century Gothic"/>
      <family val="2"/>
      <scheme val="minor"/>
    </font>
    <font>
      <sz val="10"/>
      <color indexed="8"/>
      <name val="JetBrains Mono"/>
      <family val="3"/>
    </font>
    <font>
      <b/>
      <sz val="10"/>
      <color indexed="8"/>
      <name val="JetBrains Mono"/>
      <family val="3"/>
    </font>
    <font>
      <sz val="8"/>
      <color rgb="FFFF0000"/>
      <name val="JetBrains Mono"/>
      <family val="3"/>
    </font>
    <font>
      <sz val="10"/>
      <color theme="0" tint="-0.249977111117893"/>
      <name val="JetBrains Mono"/>
      <family val="3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7">
    <xf numFmtId="0" fontId="0" fillId="0" borderId="0" xfId="0">
      <alignment vertical="top"/>
    </xf>
    <xf numFmtId="1" fontId="2" fillId="0" borderId="0" xfId="0" applyNumberFormat="1" applyFont="1">
      <alignment vertical="top"/>
    </xf>
    <xf numFmtId="164" fontId="2" fillId="0" borderId="0" xfId="0" applyNumberFormat="1" applyFont="1">
      <alignment vertical="top"/>
    </xf>
    <xf numFmtId="3" fontId="2" fillId="0" borderId="0" xfId="0" applyNumberFormat="1" applyFont="1">
      <alignment vertical="top"/>
    </xf>
    <xf numFmtId="4" fontId="2" fillId="0" borderId="0" xfId="0" applyNumberFormat="1" applyFont="1">
      <alignment vertical="top"/>
    </xf>
    <xf numFmtId="0" fontId="3" fillId="0" borderId="1" xfId="0" applyFont="1" applyBorder="1" applyAlignment="1">
      <alignment vertical="center"/>
    </xf>
    <xf numFmtId="0" fontId="4" fillId="0" borderId="1" xfId="0" applyFont="1" applyBorder="1" applyAlignment="1">
      <alignment horizontal="center" vertical="top"/>
    </xf>
    <xf numFmtId="0" fontId="5" fillId="0" borderId="2" xfId="0" pivotButton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2" xfId="0" applyFont="1" applyBorder="1" applyAlignment="1">
      <alignment vertical="center" wrapText="1"/>
    </xf>
    <xf numFmtId="0" fontId="6" fillId="0" borderId="2" xfId="0" applyFont="1" applyBorder="1" applyAlignment="1">
      <alignment horizontal="center" vertical="center"/>
    </xf>
    <xf numFmtId="0" fontId="5" fillId="0" borderId="2" xfId="0" applyFont="1" applyBorder="1" applyAlignment="1">
      <alignment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NumberFormat="1" applyFont="1" applyBorder="1" applyAlignment="1">
      <alignment horizontal="center" vertical="center"/>
    </xf>
    <xf numFmtId="0" fontId="5" fillId="0" borderId="4" xfId="0" applyFont="1" applyBorder="1" applyAlignment="1">
      <alignment vertical="center" wrapText="1"/>
    </xf>
    <xf numFmtId="0" fontId="7" fillId="0" borderId="2" xfId="0" applyFont="1" applyBorder="1" applyAlignment="1">
      <alignment vertical="center"/>
    </xf>
    <xf numFmtId="0" fontId="7" fillId="0" borderId="5" xfId="0" applyFont="1" applyBorder="1" applyAlignment="1">
      <alignment vertical="center"/>
    </xf>
    <xf numFmtId="0" fontId="7" fillId="0" borderId="3" xfId="0" applyNumberFormat="1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5" fillId="0" borderId="4" xfId="0" applyFont="1" applyBorder="1" applyAlignment="1">
      <alignment vertical="center"/>
    </xf>
    <xf numFmtId="0" fontId="5" fillId="0" borderId="6" xfId="0" applyFont="1" applyBorder="1" applyAlignment="1">
      <alignment vertical="center" wrapText="1"/>
    </xf>
    <xf numFmtId="0" fontId="7" fillId="0" borderId="7" xfId="0" applyFont="1" applyBorder="1" applyAlignment="1">
      <alignment vertical="center"/>
    </xf>
    <xf numFmtId="0" fontId="7" fillId="0" borderId="8" xfId="0" applyFont="1" applyBorder="1" applyAlignment="1">
      <alignment vertical="center"/>
    </xf>
    <xf numFmtId="0" fontId="7" fillId="0" borderId="9" xfId="0" applyNumberFormat="1" applyFont="1" applyBorder="1" applyAlignment="1">
      <alignment horizontal="center" vertical="center"/>
    </xf>
    <xf numFmtId="0" fontId="5" fillId="0" borderId="0" xfId="0" applyFont="1">
      <alignment vertical="top"/>
    </xf>
    <xf numFmtId="0" fontId="5" fillId="0" borderId="0" xfId="0" applyFont="1" applyAlignment="1">
      <alignment horizontal="center" vertical="top"/>
    </xf>
    <xf numFmtId="0" fontId="8" fillId="0" borderId="0" xfId="0" applyFont="1" applyAlignment="1">
      <alignment horizontal="center" vertical="top"/>
    </xf>
  </cellXfs>
  <cellStyles count="2">
    <cellStyle name="Normal" xfId="0" builtinId="0"/>
    <cellStyle name="Normal 2" xfId="1" xr:uid="{00000000-0005-0000-0000-000001000000}"/>
  </cellStyles>
  <dxfs count="1429"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font>
        <name val="JetBrains Mono"/>
      </font>
    </dxf>
    <dxf>
      <alignment wrapText="1"/>
    </dxf>
    <dxf>
      <alignment vertical="center"/>
    </dxf>
    <dxf>
      <alignment vertical="center"/>
    </dxf>
    <dxf>
      <alignment vertical="center"/>
    </dxf>
    <dxf>
      <font>
        <sz val="8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name val="InputMono"/>
        <family val="3"/>
        <scheme val="none"/>
      </font>
    </dxf>
    <dxf>
      <font>
        <name val="InputMono"/>
        <family val="3"/>
        <scheme val="none"/>
      </font>
    </dxf>
    <dxf>
      <font>
        <name val="InputMono"/>
        <family val="3"/>
        <scheme val="none"/>
      </font>
    </dxf>
    <dxf>
      <font>
        <name val="InputMono"/>
        <family val="3"/>
        <scheme val="none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color rgb="FFFF0000"/>
        <family val="3"/>
      </font>
    </dxf>
    <dxf>
      <font>
        <color rgb="FFFF0000"/>
      </font>
    </dxf>
    <dxf>
      <font>
        <name val="Consolas"/>
        <family val="3"/>
      </font>
    </dxf>
    <dxf>
      <font>
        <color rgb="FFFF0000"/>
        <family val="2"/>
      </font>
    </dxf>
    <dxf>
      <font>
        <color rgb="FFFF0000"/>
      </font>
    </dxf>
    <dxf>
      <font>
        <color indexed="8"/>
        <family val="2"/>
      </font>
    </dxf>
    <dxf>
      <font>
        <color indexed="8"/>
      </font>
    </dxf>
    <dxf>
      <alignment vertical="center"/>
    </dxf>
    <dxf>
      <alignment vertical="center"/>
    </dxf>
    <dxf>
      <alignment vertical="center"/>
    </dxf>
    <dxf>
      <alignment vertical="center"/>
    </dxf>
    <dxf>
      <alignment textRotation="0"/>
    </dxf>
    <dxf>
      <alignment textRotation="0"/>
    </dxf>
    <dxf>
      <alignment textRotation="0"/>
    </dxf>
    <dxf>
      <alignment textRotation="0"/>
    </dxf>
    <dxf>
      <font>
        <color rgb="FFFF0000"/>
        <family val="2"/>
      </font>
    </dxf>
    <dxf>
      <font>
        <color rgb="FFFF0000"/>
      </font>
    </dxf>
    <dxf>
      <font>
        <color indexed="8"/>
        <family val="2"/>
      </font>
    </dxf>
    <dxf>
      <font>
        <color indexed="8"/>
      </font>
    </dxf>
    <dxf>
      <alignment vertical="top"/>
    </dxf>
    <dxf>
      <alignment vertical="top"/>
    </dxf>
    <dxf>
      <alignment vertical="top"/>
    </dxf>
    <dxf>
      <alignment vertical="center"/>
    </dxf>
    <dxf>
      <font>
        <color rgb="FFFF0000"/>
        <family val="2"/>
      </font>
    </dxf>
    <dxf>
      <font>
        <color rgb="FFFF0000"/>
      </font>
    </dxf>
    <dxf>
      <font>
        <color indexed="8"/>
        <family val="2"/>
      </font>
    </dxf>
    <dxf>
      <font>
        <color indexed="8"/>
      </font>
    </dxf>
    <dxf>
      <alignment vertical="top"/>
    </dxf>
    <dxf>
      <font>
        <b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onsolas"/>
        <family val="3"/>
        <scheme val="none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name val="Century Gothic"/>
        <scheme val="major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sz val="11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font>
        <name val="Century Gothic"/>
        <family val="2"/>
        <scheme val="minor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textRotation="0"/>
    </dxf>
    <dxf>
      <alignment textRotation="0"/>
    </dxf>
    <dxf>
      <alignment textRotation="0"/>
    </dxf>
    <dxf>
      <alignment textRotation="0"/>
    </dxf>
    <dxf>
      <font>
        <name val="Courier New"/>
        <family val="3"/>
      </font>
    </dxf>
    <dxf>
      <font>
        <name val="Courier New"/>
        <family val="3"/>
      </font>
    </dxf>
    <dxf>
      <font>
        <name val="Courier New"/>
        <family val="3"/>
      </font>
    </dxf>
    <dxf>
      <font>
        <name val="Courier New"/>
        <family val="3"/>
      </font>
    </dxf>
    <dxf>
      <font>
        <name val="Courier New"/>
        <family val="3"/>
      </font>
    </dxf>
    <dxf>
      <font>
        <name val="Courier New"/>
        <family val="3"/>
      </font>
    </dxf>
    <dxf>
      <font>
        <name val="Courier New"/>
        <family val="3"/>
      </font>
    </dxf>
    <dxf>
      <font>
        <name val="Courier New"/>
        <family val="3"/>
      </font>
    </dxf>
    <dxf>
      <font>
        <name val="Courier New"/>
        <family val="3"/>
      </font>
    </dxf>
    <dxf>
      <font>
        <name val="Courier New"/>
        <family val="3"/>
      </font>
    </dxf>
    <dxf>
      <font>
        <name val="Courier New"/>
        <family val="3"/>
      </font>
    </dxf>
    <dxf>
      <font>
        <name val="Courier New"/>
        <family val="3"/>
      </font>
    </dxf>
    <dxf>
      <font>
        <color rgb="FFFF0000"/>
        <family val="2"/>
      </font>
    </dxf>
    <dxf>
      <font>
        <color rgb="FFFF0000"/>
      </font>
    </dxf>
    <dxf>
      <font>
        <color indexed="8"/>
        <family val="2"/>
      </font>
    </dxf>
    <dxf>
      <font>
        <color indexed="8"/>
      </font>
    </dxf>
    <dxf>
      <alignment horizontal="center"/>
    </dxf>
    <dxf>
      <alignment horizontal="center"/>
    </dxf>
    <dxf>
      <alignment horizontal="center"/>
    </dxf>
    <dxf>
      <font>
        <color rgb="FFFF0000"/>
        <family val="2"/>
      </font>
    </dxf>
    <dxf>
      <font>
        <color rgb="FFFF0000"/>
      </font>
    </dxf>
    <dxf>
      <font>
        <color indexed="8"/>
        <family val="2"/>
      </font>
    </dxf>
    <dxf>
      <font>
        <color indexed="8"/>
      </font>
    </dxf>
    <dxf>
      <alignment vertical="top"/>
    </dxf>
    <dxf>
      <alignment vertical="top"/>
    </dxf>
    <dxf>
      <alignment vertical="top"/>
    </dxf>
    <dxf>
      <alignment horizontal="center"/>
    </dxf>
    <dxf>
      <alignment horizontal="center"/>
    </dxf>
    <dxf>
      <alignment horizontal="center"/>
    </dxf>
    <dxf>
      <alignment textRotation="90"/>
    </dxf>
    <dxf>
      <alignment textRotation="90"/>
    </dxf>
    <dxf>
      <alignment textRotation="90"/>
    </dxf>
    <dxf>
      <alignment textRotation="90"/>
    </dxf>
    <dxf>
      <alignment vertical="bottom"/>
    </dxf>
    <dxf>
      <alignment vertical="bottom"/>
    </dxf>
    <dxf>
      <alignment vertical="bottom"/>
    </dxf>
    <dxf>
      <alignment vertical="bottom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vertical="center"/>
    </dxf>
    <dxf>
      <alignment horizontal="center"/>
    </dxf>
    <dxf>
      <alignment vertical="center"/>
    </dxf>
    <dxf>
      <font>
        <sz val="11"/>
      </font>
    </dxf>
    <dxf>
      <font>
        <name val="Consolas"/>
        <family val="3"/>
      </font>
    </dxf>
    <dxf>
      <alignment vertical="center"/>
    </dxf>
    <dxf>
      <font>
        <name val="Consolas"/>
        <family val="3"/>
      </font>
    </dxf>
    <dxf>
      <alignment horizontal="center"/>
    </dxf>
    <dxf>
      <alignment vertical="center"/>
    </dxf>
    <dxf>
      <font>
        <sz val="11"/>
      </font>
    </dxf>
    <dxf>
      <font>
        <name val="Consolas"/>
        <family val="3"/>
      </font>
    </dxf>
    <dxf>
      <alignment horizontal="center"/>
    </dxf>
    <dxf>
      <alignment vertical="center"/>
    </dxf>
    <dxf>
      <font>
        <sz val="11"/>
      </font>
    </dxf>
    <dxf>
      <font>
        <name val="Consolas"/>
        <family val="3"/>
      </font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strike val="0"/>
        <color theme="0"/>
      </font>
      <fill>
        <patternFill patternType="solid">
          <fgColor auto="1"/>
          <bgColor theme="1"/>
        </patternFill>
      </fill>
    </dxf>
    <dxf>
      <font>
        <b/>
        <i val="0"/>
        <strike val="0"/>
        <color auto="1"/>
      </font>
      <fill>
        <patternFill>
          <bgColor theme="0" tint="-0.14996795556505021"/>
        </patternFill>
      </fill>
    </dxf>
    <dxf>
      <font>
        <b val="0"/>
        <i val="0"/>
        <strike val="0"/>
        <color theme="0"/>
      </font>
    </dxf>
    <dxf>
      <font>
        <b/>
        <i val="0"/>
        <strike val="0"/>
        <color theme="0"/>
      </font>
      <fill>
        <patternFill patternType="solid">
          <fgColor auto="1"/>
          <bgColor theme="1"/>
        </patternFill>
      </fill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4114.409945717591" createdVersion="4" refreshedVersion="6" minRefreshableVersion="3" recordCount="81" xr:uid="{00000000-000A-0000-FFFF-FFFF1A000000}">
  <cacheSource type="worksheet">
    <worksheetSource name="InputData"/>
  </cacheSource>
  <cacheFields count="19">
    <cacheField name="Section" numFmtId="0">
      <sharedItems count="13">
        <s v="Clasificiados"/>
        <s v="Cuerpo Central"/>
        <s v="Guia Profesionaes"/>
        <s v="Obituarios"/>
        <s v="Sup Salud"/>
        <s v="Sup Especial" u="1"/>
        <s v="Sup La Noche" u="1"/>
        <s v="Sup Propuesta Educativa" u="1"/>
        <s v="Sup Construccion" u="1"/>
        <s v="Sup Especial 1" u="1"/>
        <s v="Sup Automotor" u="1"/>
        <s v="Sup Estilo" u="1"/>
        <s v="Sup Destino" u="1"/>
      </sharedItems>
    </cacheField>
    <cacheField name="Aviso" numFmtId="0">
      <sharedItems count="5171">
        <s v="1-1440591-2"/>
        <s v="1-1440615-2"/>
        <s v="1-1441132-2"/>
        <s v="1-1441133-2"/>
        <s v="1-1441466-2"/>
        <s v="12-1441306-1"/>
        <s v="1-1441522-2"/>
        <s v="1-1441671-2"/>
        <s v="1-1440644-2"/>
        <s v="1-1441149-2"/>
        <s v="1-1441248-2"/>
        <s v="12-1441301-2"/>
        <s v="1-1441677-2"/>
        <s v="1-1441683-1"/>
        <s v="12-1439955-5"/>
        <s v="1-1440985-2"/>
        <s v="1-1441128-2"/>
        <s v="1-1441138-1"/>
        <s v="12-1441232-3"/>
        <s v="12-1441295-2"/>
        <s v="1-1441420-2"/>
        <s v="1-1440094-4"/>
        <s v="1-1440643-3"/>
        <s v="1-1440647-5"/>
        <s v="1-1440990-2"/>
        <s v="1-1441088-2"/>
        <s v="10-1441201-2"/>
        <s v="12-1441381-4"/>
        <s v="1-1441453-2"/>
        <s v="1-1441480-2"/>
        <s v="1-1439261-4"/>
        <s v="1-1440551-2"/>
        <s v="1-1429529-15"/>
        <s v="13-1441622-2"/>
        <s v="1-1440699-1"/>
        <s v="1-1440700-1"/>
        <s v="1-1440701-1"/>
        <s v="1-1440109-3"/>
        <s v="1-1438551-1"/>
        <s v="1-1439491-2"/>
        <s v="10-1441566-2"/>
        <s v="1-1440576-2"/>
        <s v="1-1440639-2"/>
        <s v="1-1440877-2"/>
        <s v="1-1441111-4"/>
        <s v="1-1440727-12"/>
        <s v="1-1440728-10"/>
        <s v="1-1440875-1"/>
        <s v="1-1440674-2"/>
        <s v="1-1440664-3"/>
        <s v="1-1440680-2"/>
        <s v="1-1440707-2"/>
        <s v="1-1441486-2"/>
        <s v="1-1441492-3"/>
        <s v="1-1436464-15"/>
        <s v="1-1440008-15"/>
        <s v="1-1440663-1"/>
        <s v="1-1440794-3"/>
        <s v="1-1441222-4"/>
        <s v="1-1441474-3"/>
        <s v="1-1441461-1"/>
        <s v="1-1439967-2"/>
        <s v="1-1439977-2"/>
        <s v="1-1437490-1"/>
        <s v="1-1440642-2"/>
        <s v="1-1440286-2"/>
        <s v="1-1440696-1"/>
        <s v="1-1439280-3"/>
        <s v="1-1439758-2"/>
        <s v="1-1440201-2"/>
        <s v="1-1440547-2"/>
        <s v="1-1440552-3"/>
        <s v="1-1441484-2"/>
        <s v="1-1441593-2"/>
        <s v="1-1441706-2"/>
        <s v="1-1441713-1"/>
        <s v="1-1441715-2"/>
        <s v="1-1441718-4"/>
        <s v="1-1441719-2"/>
        <s v="1-1436417-5"/>
        <s v="1-1441651-2"/>
        <s v="1-1429047-3" u="1"/>
        <s v="1-1437961-5" u="1"/>
        <s v="10-1433334-4" u="1"/>
        <s v="1-1435561-3" u="1"/>
        <s v="1-1435653-3" u="1"/>
        <s v="10-1441001-2" u="1"/>
        <s v="12-1431970-24" u="1"/>
        <s v="1-1433237-2" u="1"/>
        <s v="1-1437246-2" u="1"/>
        <s v="1-1421237-2" u="1"/>
        <s v="1-1425154-2" u="1"/>
        <s v="1-1425338-2" u="1"/>
        <s v="1-1441236-2" u="1"/>
        <s v="10-1435746-2" u="1"/>
        <s v="1-1435845-3" u="1"/>
        <s v="1-1439870-2" u="1"/>
        <s v="1-1439962-2" u="1"/>
        <s v="1-1429728-10" u="1"/>
        <s v="1-1433061-2" u="1"/>
        <s v="1-1433429-2" u="1"/>
        <s v="1-1437070-2" u="1"/>
        <s v="12-1435918-6" u="1"/>
        <s v="1-1429047-4" u="1"/>
        <s v="1-1431660-3" u="1"/>
        <s v="1-1431952-2" u="1"/>
        <s v="1-1435561-4" u="1"/>
        <s v="1-1439862-3" u="1"/>
        <s v="1-1440029-13" u="1"/>
        <s v="1-1433129-4" u="1"/>
        <s v="1-1433161-2" u="1"/>
        <s v="1-1433437-2" u="1"/>
        <s v="1-1433944-7" u="1"/>
        <s v="1-1435861-3" u="1"/>
        <s v="1-1433537-2" u="1"/>
        <s v="1-1437270-2" u="1"/>
        <s v="1-1437454-2" u="1"/>
        <s v="1-1425270-2" u="1"/>
        <s v="1-1429047-5" u="1"/>
        <s v="1-1441244-3" u="1"/>
        <s v="1-1441260-2" u="1"/>
        <s v="1-1439862-4" u="1"/>
        <s v="11-1433425-2" u="1"/>
        <s v="1-1433637-2" u="1"/>
        <s v="1-1437738-2" u="1"/>
        <s v="1-1429839-2" u="1"/>
        <s v="10-1432757-2" u="1"/>
        <s v="1-1437546-3" u="1"/>
        <s v="1-1437638-3" u="1"/>
        <s v="1-1431029-2" u="1"/>
        <s v="1-1431045-1" u="1"/>
        <s v="1-1429047-6" u="1"/>
        <s v="1-1429755-2" u="1"/>
        <s v="1-1429939-2" u="1"/>
        <s v="11-1436437-2" u="1"/>
        <s v="1-1433561-2" u="1"/>
        <s v="1-1433637-3" u="1"/>
        <s v="1-1433853-1" u="1"/>
        <s v="1-1433929-2" u="1"/>
        <s v="1-1437846-2" u="1"/>
        <s v="1-1431037-2" u="1"/>
        <s v="1-1429839-3" u="1"/>
        <s v="1-1437654-3" u="1"/>
        <s v="1-1437762-2" u="1"/>
        <s v="1-1437854-2" u="1"/>
        <s v="1-1423937-6" u="1"/>
        <s v="1-1433930-11" u="1"/>
        <s v="1-1436415-15" u="1"/>
        <s v="1-1429847-3" u="1"/>
        <s v="1-1429939-3" u="1"/>
        <s v="1-1429955-2" u="1"/>
        <s v="1-1439770-6" u="1"/>
        <s v="10-1435665-2" u="1"/>
        <s v="1-1433637-4" u="1"/>
        <s v="1-1437754-3" u="1"/>
        <s v="1-1431037-3" u="1"/>
        <s v="1-1435138-3" u="1"/>
        <s v="1-1439163-2" u="1"/>
        <s v="1-1439347-2" u="1"/>
        <s v="1-1439439-2" u="1"/>
        <s v="10-1434917-2" u="1"/>
        <s v="11-1439437-2" u="1"/>
        <s v="1-1433861-2" u="1"/>
        <s v="1-1437654-4" u="1"/>
        <s v="1-1437655-17" u="1"/>
        <s v="1-1431061-2" u="1"/>
        <s v="1-1435146-3" u="1"/>
        <s v="1-1435162-2" u="1"/>
        <s v="1-1435438-2" u="1"/>
        <s v="1-1435546-1" u="1"/>
        <s v="1-1439739-1" u="1"/>
        <s v="1-1441552-4" u="1"/>
        <s v="1-1437862-3" u="1"/>
        <s v="1-1437970-2" u="1"/>
        <s v="11-1433356-2" u="1"/>
        <s v="1-1431037-4" u="1"/>
        <s v="1-1431437-2" u="1"/>
        <s v="1-1435170-2" u="1"/>
        <s v="1-1435446-2" u="1"/>
        <s v="1-1439439-3" u="1"/>
        <s v="1-1429763-4" u="1"/>
        <s v="1-1429871-3" u="1"/>
        <s v="1-1421290-26" u="1"/>
        <s v="1-1437654-5" u="1"/>
        <s v="11-1433344-2" u="1"/>
        <s v="1-1431245-3" u="1"/>
        <s v="1-1435454-2" u="1"/>
        <s v="1-1435470-1" u="1"/>
        <s v="1-1439447-3" u="1"/>
        <s v="1-1439539-3" u="1"/>
        <s v="1-1433637-6" u="1"/>
        <s v="1-1433837-5" u="1"/>
        <s v="11-1433424-2" u="1"/>
        <s v="1-1431037-5" u="1"/>
        <s v="1-1431545-2" u="1"/>
        <s v="1-1431637-2" u="1"/>
        <s v="1-1431729-2" u="1"/>
        <s v="1-1435262-3" u="1"/>
        <s v="1-1435462-2" u="1"/>
        <s v="1-1435554-2" u="1"/>
        <s v="1-1437654-6" u="1"/>
        <s v="10-1430932-1" u="1"/>
        <s v="1-1431645-2" u="1"/>
        <s v="1-1435562-2" u="1"/>
        <s v="1-1439447-4" u="1"/>
        <s v="1-1433038-2" u="1"/>
        <s v="1-1437047-2" u="1"/>
        <s v="1-1437139-2" u="1"/>
        <s v="1-1438264-13" u="1"/>
        <s v="1-1433637-7" u="1"/>
        <s v="1-1441145-1" u="1"/>
        <s v="1-1431929-2" u="1"/>
        <s v="1-1435246-5" u="1"/>
        <s v="1-1435554-3" u="1"/>
        <s v="1-1435570-2" u="1"/>
        <s v="1-1435662-2" u="1"/>
        <s v="1-1435738-3" u="1"/>
        <s v="1-1435754-2" u="1"/>
        <s v="1-1429529-10" u="1"/>
        <s v="11-1431379-2" u="1"/>
        <s v="1-1429048-3" u="1"/>
        <s v="1-1437654-7" u="1"/>
        <s v="1-1435562-3" u="1"/>
        <s v="1-1435670-2" u="1"/>
        <s v="1-1439863-2" u="1"/>
        <s v="1-1437447-1" u="1"/>
        <s v="1-1437539-1" u="1"/>
        <s v="1-1425155-2" u="1"/>
        <s v="10-1435664-2" u="1"/>
        <s v="1-1431453-4" u="1"/>
        <s v="1-1431853-2" u="1"/>
        <s v="1-1439871-2" u="1"/>
        <s v="1-1439963-2" u="1"/>
        <s v="11-1433379-2" u="1"/>
        <s v="1-1433338-2" u="1"/>
        <s v="1-1437347-2" u="1"/>
        <s v="1-1437439-2" u="1"/>
        <s v="1-1429048-4" u="1"/>
        <s v="1-1437654-8" u="1"/>
        <s v="1-1441245-2" u="1"/>
        <s v="1-1441337-2" u="1"/>
        <s v="10-1435636-3" u="1"/>
        <s v="1-1439863-3" u="1"/>
        <s v="1-1433070-2" u="1"/>
        <s v="1-1433146-3" u="1"/>
        <s v="1-1433162-2" u="1"/>
        <s v="1-1437355-2" u="1"/>
        <s v="1-1433262-2" u="1"/>
        <s v="1-1433338-3" u="1"/>
        <s v="1-1437271-2" u="1"/>
        <s v="12-1438144-11" u="1"/>
        <s v="1-1429048-5" u="1"/>
        <s v="1-1437654-9" u="1"/>
        <s v="1-1441137-4" u="1"/>
        <s v="10-1437728-3" u="1"/>
        <s v="11-1433343-2" u="1"/>
        <s v="1-1433454-2" u="1"/>
        <s v="1-1433638-2" u="1"/>
        <s v="12-1438144-9" u="1"/>
        <s v="1-1437071-4" u="1"/>
        <s v="1-1437747-2" u="1"/>
        <s v="1-1432139-23" u="1"/>
        <s v="1-1432379-11" u="1"/>
        <s v="1-1429048-6" u="1"/>
        <s v="1-1429572-2" u="1"/>
        <s v="1-1429848-2" u="1"/>
        <s v="13-1437983-2" u="1"/>
        <s v="1-1435562-6" u="1"/>
        <s v="1-1433470-2" u="1"/>
        <s v="1-1437847-2" u="1"/>
        <s v="10-1441126-2" u="1"/>
        <s v="1-1429856-2" u="1"/>
        <s v="11-1436435-2" u="1"/>
        <s v="1-1433770-1" u="1"/>
        <s v="1-1433938-2" u="1"/>
        <s v="1-1437655-3" u="1"/>
        <s v="1-1437747-3" u="1"/>
        <s v="10-1441114-2" u="1"/>
        <s v="1-1439448-1" u="1"/>
        <s v="1-1432379-21" u="1"/>
        <s v="12-1434071-10" u="1"/>
        <s v="1-1429048-7" u="1"/>
        <s v="1-1435562-7" u="1"/>
        <s v="1-1435870-5" u="1"/>
        <s v="1-1433638-4" u="1"/>
        <s v="1-1433746-3" u="1"/>
        <s v="1-1433854-2" u="1"/>
        <s v="1-1437863-2" u="1"/>
        <s v="1-1436464-13" u="1"/>
        <s v="1-1429764-3" u="1"/>
        <s v="1-1429780-2" u="1"/>
        <s v="10-1435663-2" u="1"/>
        <s v="1-1433770-2" u="1"/>
        <s v="1-1433846-3" u="1"/>
        <s v="1-1431062-2" u="1"/>
        <s v="1-1431246-2" u="1"/>
        <s v="1-1435147-3" u="1"/>
        <s v="1-1435439-2" u="1"/>
        <s v="1-1435547-1" u="1"/>
        <s v="1-1439172-2" u="1"/>
        <s v="1-1439264-2" u="1"/>
        <s v="1-1439356-2" u="1"/>
        <s v="1-1429956-3" u="1"/>
        <s v="1-1438000-2" u="1"/>
        <s v="1-1435544-10" u="1"/>
        <s v="1-1435562-8" u="1"/>
        <s v="1-1428797-11" u="1"/>
        <s v="10-1435635-3" u="1"/>
        <s v="10-1436939-2" u="1"/>
        <s v="12-1430794-5" u="1"/>
        <s v="1-1433746-4" u="1"/>
        <s v="1-1433838-4" u="1"/>
        <s v="1-1431070-2" u="1"/>
        <s v="1-1431254-2" u="1"/>
        <s v="1-1435171-2" u="1"/>
        <s v="1-1435447-2" u="1"/>
        <s v="1-1435539-2" u="1"/>
        <s v="1-1439364-2" u="1"/>
        <s v="1-1438100-2" u="1"/>
        <s v="12-1438983-4" u="1"/>
        <s v="10-1435807-3" u="1"/>
        <s v="12-1430874-5" u="1"/>
        <s v="1-1433862-3" u="1"/>
        <s v="1-1433938-4" u="1"/>
        <s v="1-1437747-5" u="1"/>
        <s v="1-1437871-3" u="1"/>
        <s v="1-1431262-2" u="1"/>
        <s v="1-1431538-2" u="1"/>
        <s v="1-1435455-2" u="1"/>
        <s v="1-1435471-1" u="1"/>
        <s v="1-1439172-3" u="1"/>
        <s v="1-1435562-9" u="1"/>
        <s v="1-1433870-3" u="1"/>
        <s v="11-1433342-2" u="1"/>
        <s v="1-1431546-2" u="1"/>
        <s v="1-1431638-2" u="1"/>
        <s v="1-1435371-2" u="1"/>
        <s v="1-1435571-1" u="1"/>
        <s v="1-1439656-2" u="1"/>
        <s v="1-1438073-13" u="1"/>
        <s v="12-1431970-4" u="1"/>
        <s v="1-1437655-6" u="1"/>
        <s v="1-1432379-19" u="1"/>
        <s v="11-1433406-3" u="1"/>
        <s v="11-1433422-2" u="1"/>
        <s v="11-1436458-2" u="1"/>
        <s v="1-1427947-9" u="1"/>
        <s v="1-1435563-2" u="1"/>
        <s v="1-1435747-2" u="1"/>
        <s v="1-1435839-2" u="1"/>
        <s v="1-1439648-3" u="1"/>
        <s v="1-1437048-2" u="1"/>
        <s v="13-1430593-4" u="1"/>
        <s v="1-1431362-3" u="1"/>
        <s v="1-1431838-2" u="1"/>
        <s v="1-1435371-3" u="1"/>
        <s v="1-1435571-2" u="1"/>
        <s v="1-1435847-2" u="1"/>
        <s v="1-1429162-10" u="1"/>
        <s v="1-1429254-10" u="1"/>
        <s v="1-1433047-2" u="1"/>
        <s v="1-1425056-2" u="1"/>
        <s v="1-1437655-7" u="1"/>
        <s v="1-1437747-7" u="1"/>
        <s v="10-1435686-2" u="1"/>
        <s v="1-1431846-2" u="1"/>
        <s v="1-1435455-4" u="1"/>
        <s v="1-1439372-4" u="1"/>
        <s v="1-1439864-2" u="1"/>
        <s v="1-1439956-2" u="1"/>
        <s v="12-1431970-25" u="1"/>
        <s v="1-1433055-2" u="1"/>
        <s v="1-1420999-30" u="1"/>
        <s v="10-1432914-2" u="1"/>
        <s v="10-1434938-2" u="1"/>
        <s v="1-1431454-4" u="1"/>
        <s v="1-1431854-2" u="1"/>
        <s v="1-1435263-5" u="1"/>
        <s v="1-1435371-4" u="1"/>
        <s v="1-1435755-3" u="1"/>
        <s v="1-1435771-2" u="1"/>
        <s v="1-1435939-3" u="1"/>
        <s v="1-1433047-3" u="1"/>
        <s v="1-1438749-13" u="1"/>
        <s v="1-1429049-4" u="1"/>
        <s v="1-1437655-8" u="1"/>
        <s v="1-1441246-2" u="1"/>
        <s v="1-1431662-3" u="1"/>
        <s v="1-1435671-3" u="1"/>
        <s v="1-1439864-3" u="1"/>
        <s v="11-1432365-2" u="1"/>
        <s v="11-1433377-2" u="1"/>
        <s v="1-1433163-2" u="1"/>
        <s v="1-1433255-2" u="1"/>
        <s v="1-1433439-2" u="1"/>
        <s v="1-1441238-3" u="1"/>
        <s v="10-1435742-2" u="1"/>
        <s v="1-1431670-3" u="1"/>
        <s v="1-1431962-2" u="1"/>
        <s v="1-1435371-5" u="1"/>
        <s v="1-1429522-12" u="1"/>
        <s v="1-1433047-4" u="1"/>
        <s v="1-1433171-2" u="1"/>
        <s v="1-1437256-3" u="1"/>
        <s v="1-1429049-5" u="1"/>
        <s v="1-1437655-9" u="1"/>
        <s v="1-1437747-9" u="1"/>
        <s v="1-1441354-2" u="1"/>
        <s v="1-1439880-3" u="1"/>
        <s v="10-1432697-2" u="1"/>
        <s v="1-1433255-3" u="1"/>
        <s v="1-1433455-2" u="1"/>
        <s v="12-1430148-2" u="1"/>
        <s v="1-1425264-3" u="1"/>
        <s v="1-1425280-2" u="1"/>
        <s v="1-1441070-3" u="1"/>
        <s v="1-1429522-22" u="1"/>
        <s v="10-1430553-3" u="1"/>
        <s v="10-1430937-2" u="1"/>
        <s v="10-1433697-2" u="1"/>
        <s v="11-1433341-2" u="1"/>
        <s v="1-1433047-5" u="1"/>
        <s v="1-1433539-3" u="1"/>
        <s v="1-1433739-2" u="1"/>
        <s v="1-1437380-2" u="1"/>
        <s v="1-1437472-2" u="1"/>
        <s v="1-1436300-2" u="1"/>
        <s v="1-1429049-6" u="1"/>
        <s v="1-1429849-2" u="1"/>
        <s v="10-1438650-2" u="1"/>
        <s v="13-1437977-3" u="1"/>
        <s v="1-1435671-5" u="1"/>
        <s v="1-1435871-4" u="1"/>
        <s v="11-1437469-2" u="1"/>
        <s v="1-1433255-4" u="1"/>
        <s v="1-1433471-2" u="1"/>
        <s v="1-1433563-2" u="1"/>
        <s v="1-1433671-1" u="1"/>
        <s v="1-1437664-2" u="1"/>
        <s v="1-1437848-2" u="1"/>
        <s v="1-1435048-2" u="1"/>
        <s v="1-1429857-2" u="1"/>
        <s v="1-1431362-7" u="1"/>
        <s v="1-1433339-5" u="1"/>
        <s v="1-1433555-3" u="1"/>
        <s v="1-1433847-2" u="1"/>
        <s v="1-1433863-1" u="1"/>
        <s v="1-1433939-2" u="1"/>
        <s v="1-1431047-2" u="1"/>
        <s v="1-1435056-2" u="1"/>
        <s v="1-1439065-2" u="1"/>
        <s v="1-1429049-7" u="1"/>
        <s v="1-1429973-1" u="1"/>
        <s v="1-1435671-6" u="1"/>
        <s v="1-1433255-5" u="1"/>
        <s v="1-1433839-3" u="1"/>
        <s v="1-1433947-2" u="1"/>
        <s v="1-1437864-2" u="1"/>
        <s v="10-1441112-2" u="1"/>
        <s v="1-1431055-2" u="1"/>
        <s v="1-1429781-2" u="1"/>
        <s v="1-1429873-2" u="1"/>
        <s v="1-1441470-3" u="1"/>
        <s v="1-1431362-8" u="1"/>
        <s v="10-1434829-3" u="1"/>
        <s v="10-1435657-3" u="1"/>
        <s v="13-1431980-2" u="1"/>
        <s v="1-1433339-6" u="1"/>
        <s v="1-1433555-4" u="1"/>
        <s v="1-1433971-1" u="1"/>
        <s v="1-1431063-2" u="1"/>
        <s v="1-1435148-3" u="1"/>
        <s v="1-1435456-1" u="1"/>
        <s v="1-1439265-2" u="1"/>
        <s v="1-1429865-3" u="1"/>
        <s v="1-1429881-2" u="1"/>
        <s v="1-1435709-11" u="1"/>
        <s v="1-1424493-12" u="1"/>
        <s v="10-1433805-3" u="1"/>
        <s v="1-1433255-6" u="1"/>
        <s v="1-1433671-3" u="1"/>
        <s v="1-1433855-3" u="1"/>
        <s v="1-1433963-2" u="1"/>
        <s v="1-1431439-2" u="1"/>
        <s v="1-1435156-3" u="1"/>
        <s v="1-1435172-2" u="1"/>
        <s v="1-1435356-2" u="1"/>
        <s v="1-1439273-2" u="1"/>
        <s v="1-1439457-2" u="1"/>
        <s v="1-1431171-2" u="1"/>
        <s v="1-1431339-3" u="1"/>
        <s v="1-1431539-2" u="1"/>
        <s v="1-1435256-3" u="1"/>
        <s v="1-1435548-2" u="1"/>
        <s v="1-1439173-3" u="1"/>
        <s v="1-1429049-9" u="1"/>
        <s v="1-1438001-3" u="1"/>
        <s v="1-1438401-1" u="1"/>
        <s v="10-1438565-3" u="1"/>
        <s v="1-1433255-7" u="1"/>
        <s v="1-1435264-3" u="1"/>
        <s v="1-1435372-2" u="1"/>
        <s v="12-1430147-2" u="1"/>
        <s v="10-1438829-3" u="1"/>
        <s v="1-1433555-6" u="1"/>
        <s v="11-1433340-2" u="1"/>
        <s v="11-1433416-3" u="1"/>
        <s v="1-1431171-3" u="1"/>
        <s v="1-1431555-2" u="1"/>
        <s v="1-1435180-3" u="1"/>
        <s v="1-1435564-2" u="1"/>
        <s v="1-1439757-2" u="1"/>
        <s v="12-1429661-2" u="1"/>
        <s v="11-1436364-2" u="1"/>
        <s v="11-1436456-2" u="1"/>
        <s v="1-1431455-3" u="1"/>
        <s v="1-1431471-2" u="1"/>
        <s v="1-1431839-2" u="1"/>
        <s v="1-1435356-4" u="1"/>
        <s v="1-1435372-3" u="1"/>
        <s v="1-1435448-4" u="1"/>
        <s v="1-1435648-3" u="1"/>
        <s v="1-1435756-2" u="1"/>
        <s v="1-1434400-2" u="1"/>
        <s v="1-1437057-2" u="1"/>
        <s v="1-1438501-2" u="1"/>
        <s v="1-1433339-9" u="1"/>
        <s v="1-1433555-7" u="1"/>
        <s v="11-1436352-2" u="1"/>
        <s v="1-1435748-3" u="1"/>
        <s v="1-1435764-2" u="1"/>
        <s v="11-1431387-2" u="1"/>
        <s v="1-1433056-2" u="1"/>
        <s v="1-1437449-1" u="1"/>
        <s v="1-1438601-2" u="1"/>
        <s v="1-1441239-2" u="1"/>
        <s v="1-1426518-15" u="1"/>
        <s v="1-1431947-2" u="1"/>
        <s v="1-1435556-4" u="1"/>
        <s v="1-1435572-3" u="1"/>
        <s v="1-1435648-4" u="1"/>
        <s v="11-1431375-2" u="1"/>
        <s v="1-1437349-2" u="1"/>
        <s v="1-1425073-2" u="1"/>
        <s v="1-1441339-2" u="1"/>
        <s v="10-1433924-2" u="1"/>
        <s v="1-1431863-2" u="1"/>
        <s v="1-1435672-3" u="1"/>
        <s v="1-1435748-4" u="1"/>
        <s v="1-1441271-1" u="1"/>
        <s v="10-1435644-3" u="1"/>
        <s v="1-1431747-4" u="1"/>
        <s v="1-1431963-2" u="1"/>
        <s v="1-1435556-5" u="1"/>
        <s v="1-1435572-4" u="1"/>
        <s v="1-1435648-5" u="1"/>
        <s v="1-1435864-3" u="1"/>
        <s v="11-1433375-2" u="1"/>
        <s v="1-1433080-2" u="1"/>
        <s v="1-1433172-2" u="1"/>
        <s v="1-1437365-2" u="1"/>
        <s v="12-1438144-12" u="1"/>
        <s v="1-1437654-10" u="1"/>
        <s v="10-1435632-3" u="1"/>
        <s v="1-1431971-2" u="1"/>
        <s v="1-1435672-4" u="1"/>
        <s v="1-1435748-5" u="1"/>
        <s v="1-1437373-2" u="1"/>
        <s v="1-1437649-2" u="1"/>
        <s v="1-1425081-3" u="1"/>
        <s v="1-1429166-4" u="1"/>
        <s v="1-1429566-2" u="1"/>
        <s v="1-1441363-2" u="1"/>
        <s v="10-1437752-2" u="1"/>
        <s v="1-1435556-6" u="1"/>
        <s v="1-1435648-6" u="1"/>
        <s v="12-1438147-2" u="1"/>
        <s v="1-1437381-2" u="1"/>
        <s v="12-1438144-20" u="1"/>
        <s v="1-1436301-2" u="1"/>
        <s v="1-1437654-20" u="1"/>
        <s v="1-1429190-3" u="1"/>
        <s v="1-1429758-2" u="1"/>
        <s v="1-1435672-5" u="1"/>
        <s v="1-1433472-2" u="1"/>
        <s v="1-1433564-2" u="1"/>
        <s v="1-1433672-1" u="1"/>
        <s v="1-1433948-1" u="1"/>
        <s v="1-1437373-3" u="1"/>
        <s v="1-1432100-3" u="1"/>
        <s v="1-1429166-5" u="1"/>
        <s v="1-1429858-2" u="1"/>
        <s v="1-1435556-7" u="1"/>
        <s v="1-1435572-6" u="1"/>
        <s v="1-1433464-3" u="1"/>
        <s v="1-1433480-2" u="1"/>
        <s v="1-1437857-2" u="1"/>
        <s v="12-1434071-11" u="1"/>
        <s v="1-1429190-4" u="1"/>
        <s v="1-1429666-3" u="1"/>
        <s v="1-1429866-2" u="1"/>
        <s v="1-1435672-6" u="1"/>
        <s v="12-1440202-6" u="1"/>
        <s v="1-1433856-2" u="1"/>
        <s v="1-1433948-2" u="1"/>
        <s v="1-1433964-1" u="1"/>
        <s v="1-1437373-4" u="1"/>
        <s v="1-1437681-2" u="1"/>
        <s v="1-1437773-2" u="1"/>
        <s v="12-1431306-2" u="1"/>
        <s v="1-1432500-2" u="1"/>
        <s v="1-1435049-3" u="1"/>
        <s v="1-1432141-15" u="1"/>
        <s v="1-1429290-4" u="1"/>
        <s v="1-1429782-2" u="1"/>
        <s v="1-1429874-2" u="1"/>
        <s v="1-1429966-2" u="1"/>
        <s v="1-1441471-3" u="1"/>
        <s v="12-1434071-9" u="1"/>
        <s v="1-1435556-8" u="1"/>
        <s v="1-1435572-7" u="1"/>
        <s v="1-1433556-4" u="1"/>
        <s v="1-1433956-2" u="1"/>
        <s v="1-1437873-2" u="1"/>
        <s v="1-1437949-3" u="1"/>
        <s v="11-1431374-2" u="1"/>
        <s v="1-1435165-2" u="1"/>
        <s v="1-1435457-1" u="1"/>
        <s v="1-1439358-2" u="1"/>
        <s v="1-1429790-2" u="1"/>
        <s v="1-1438002-2" u="1"/>
        <s v="1-1433856-3" u="1"/>
        <s v="1-1433948-3" u="1"/>
        <s v="1-1437373-5" u="1"/>
        <s v="1-1437881-2" u="1"/>
        <s v="1-1437973-2" u="1"/>
        <s v="1-1431072-2" u="1"/>
        <s v="1-1435173-2" u="1"/>
        <s v="1-1436801-2" u="1"/>
        <s v="1-1439258-3" u="1"/>
        <s v="1-1439274-2" u="1"/>
        <s v="1-1439458-2" u="1"/>
        <s v="1-1429290-5" u="1"/>
        <s v="1-1429890-2" u="1"/>
        <s v="1-1435572-8" u="1"/>
        <s v="1-1433556-5" u="1"/>
        <s v="1-1433956-3" u="1"/>
        <s v="1-1437654-18" u="1"/>
        <s v="1-1431156-3" u="1"/>
        <s v="1-1431172-2" u="1"/>
        <s v="1-1431464-1" u="1"/>
        <s v="1-1435365-2" u="1"/>
        <s v="1-1435549-2" u="1"/>
        <s v="1-1435565-1" u="1"/>
        <s v="1-1439282-2" u="1"/>
        <s v="1-1439466-2" u="1"/>
        <s v="1-1429990-2" u="1"/>
        <s v="1-1438110-2" u="1"/>
        <s v="1-1435562-10" u="1"/>
        <s v="10-1435815-3" u="1"/>
        <s v="1-1433948-4" u="1"/>
        <s v="1-1433980-2" u="1"/>
        <s v="1-1431548-2" u="1"/>
        <s v="1-1432900-2" u="1"/>
        <s v="1-1435265-3" u="1"/>
        <s v="1-1435281-2" u="1"/>
        <s v="1-1435449-3" u="1"/>
        <s v="1-1429290-6" u="1"/>
        <s v="1-1430100-2" u="1"/>
        <s v="1-1434201-2" u="1"/>
        <s v="1-1433848-5" u="1"/>
        <s v="1-1433956-4" u="1"/>
        <s v="1-1437949-5" u="1"/>
        <s v="1-1427947-10" u="1"/>
        <s v="1-1431172-3" u="1"/>
        <s v="1-1431372-2" u="1"/>
        <s v="1-1431648-2" u="1"/>
        <s v="1-1435181-3" u="1"/>
        <s v="1-1435257-4" u="1"/>
        <s v="1-1435365-3" u="1"/>
        <s v="1-1435473-2" u="1"/>
        <s v="1-1435549-3" u="1"/>
        <s v="12-1431970-18" u="1"/>
        <s v="1-1429990-3" u="1"/>
        <s v="1-1430209-15" u="1"/>
        <s v="1-1433672-5" u="1"/>
        <s v="1-1431072-4" u="1"/>
        <s v="1-1432900-3" u="1"/>
        <s v="1-1435757-2" u="1"/>
        <s v="1-1435849-2" u="1"/>
        <s v="1-1435957-1" u="1"/>
        <s v="10-1440025-3" u="1"/>
        <s v="1-1429290-7" u="1"/>
        <s v="1-1430100-3" u="1"/>
        <s v="1-1434401-2" u="1"/>
        <s v="1-1433956-5" u="1"/>
        <s v="12-1438014-3" u="1"/>
        <s v="1-1431172-4" u="1"/>
        <s v="1-1435257-5" u="1"/>
        <s v="1-1435365-4" u="1"/>
        <s v="1-1435857-2" u="1"/>
        <s v="1-1439666-3" u="1"/>
        <s v="1-1439774-2" u="1"/>
        <s v="1-1439958-2" u="1"/>
        <s v="12-1431970-26" u="1"/>
        <s v="1-1429990-4" u="1"/>
        <s v="1-1433149-2" u="1"/>
        <s v="1-1433165-1" u="1"/>
        <s v="1-1437066-2" u="1"/>
        <s v="1-1431856-2" u="1"/>
        <s v="1-1432900-4" u="1"/>
        <s v="1-1435573-3" u="1"/>
        <s v="11-1431369-3" u="1"/>
        <s v="1-1429290-8" u="1"/>
        <s v="1-1430100-4" u="1"/>
        <s v="1-1433065-2" u="1"/>
        <s v="1-1433157-2" u="1"/>
        <s v="1-1434601-2" u="1"/>
        <s v="1-1436010-1" u="1"/>
        <s v="1-1431172-5" u="1"/>
        <s v="1-1431664-3" u="1"/>
        <s v="1-1431864-2" u="1"/>
        <s v="1-1435257-6" u="1"/>
        <s v="1-1435365-5" u="1"/>
        <s v="1-1435457-5" u="1"/>
        <s v="1-1435673-3" u="1"/>
        <s v="1-1435965-2" u="1"/>
        <s v="1-1439790-2" u="1"/>
        <s v="1-1439866-3" u="1"/>
        <s v="11-1431373-2" u="1"/>
        <s v="11-1432477-2" u="1"/>
        <s v="1-1429990-5" u="1"/>
        <s v="1-1430400-3" u="1"/>
        <s v="1-1433073-2" u="1"/>
        <s v="1-1437174-2" u="1"/>
        <s v="1-1437358-2" u="1"/>
        <s v="1-1429475-1" u="1"/>
        <s v="1-1441456-1" u="1"/>
        <s v="1-1435573-4" u="1"/>
        <s v="1-1439658-5" u="1"/>
        <s v="1-1439982-2" u="1"/>
        <s v="1-1429290-9" u="1"/>
        <s v="1-1430100-5" u="1"/>
        <s v="1-1430700-2" u="1"/>
        <s v="1-1430900-1" u="1"/>
        <s v="1-1433081-2" u="1"/>
        <s v="1-1433173-2" u="1"/>
        <s v="1-1437366-2" u="1"/>
        <s v="1-1438610-3" u="1"/>
        <s v="1-1437655-10" u="1"/>
        <s v="1-1437747-10" u="1"/>
        <s v="12-1435918-7" u="1"/>
        <s v="1-1421449-2" u="1"/>
        <s v="1-1435257-7" u="1"/>
        <s v="1-1435365-6" u="1"/>
        <s v="1-1435673-4" u="1"/>
        <s v="1-1440029-14" u="1"/>
        <s v="10-1430969-2" u="1"/>
        <s v="1-1429990-6" u="1"/>
        <s v="1-1430800-2" u="1"/>
        <s v="1-1432101-2" u="1"/>
        <s v="1-1429167-4" u="1"/>
        <s v="1-1441364-2" u="1"/>
        <s v="1-1430100-6" u="1"/>
        <s v="1-1431049-1" u="1"/>
        <s v="1-1432201-2" u="1"/>
        <s v="1-1437655-20" u="1"/>
        <s v="1-1437747-20" u="1"/>
        <s v="1-1425274-3" u="1"/>
        <s v="1-1429667-2" u="1"/>
        <s v="1-1429759-2" u="1"/>
        <s v="1-1435673-5" u="1"/>
        <s v="1-1440200-2" u="1"/>
        <s v="1-1429990-7" u="1"/>
        <s v="1-1433473-2" u="1"/>
        <s v="1-1431149-1" u="1"/>
        <s v="1-1432301-2" u="1"/>
        <s v="1-1436202-3" u="1"/>
        <s v="1-1429167-5" u="1"/>
        <s v="11-1436465-2" u="1"/>
        <s v="1-1430100-7" u="1"/>
        <s v="1-1433449-4" u="1"/>
        <s v="1-1433465-3" u="1"/>
        <s v="1-1433681-1" u="1"/>
        <s v="1-1433865-1" u="1"/>
        <s v="1-1437382-3" u="1"/>
        <s v="1-1437658-3" u="1"/>
        <s v="1-1437858-2" u="1"/>
        <s v="12-1432064-2" u="1"/>
        <s v="1-1439067-2" u="1"/>
        <s v="1-1429575-3" u="1"/>
        <s v="1-1429975-1" u="1"/>
        <s v="1-1441464-3" u="1"/>
        <s v="11-1436361-2" u="1"/>
        <s v="12-1438213-2" u="1"/>
        <s v="1-1429990-8" u="1"/>
        <s v="1-1437866-2" u="1"/>
        <s v="1-1431057-2" u="1"/>
        <s v="1-1439075-2" u="1"/>
        <s v="1-1439167-2" u="1"/>
        <s v="1-1439259-2" u="1"/>
        <s v="1-1429691-2" u="1"/>
        <s v="1-1429783-2" u="1"/>
        <s v="1-1441472-3" u="1"/>
        <s v="12-1429830-2" u="1"/>
        <s v="1-1439658-8" u="1"/>
        <s v="1-1430100-8" u="1"/>
        <s v="1-1433481-3" u="1"/>
        <s v="1-1437658-4" u="1"/>
        <s v="11-1431384-2" u="1"/>
        <s v="1-1429791-2" u="1"/>
        <s v="1-1429991-1" u="1"/>
        <s v="1-1441372-4" u="1"/>
        <s v="1-1433581-3" u="1"/>
        <s v="1-1433857-3" u="1"/>
        <s v="1-1433965-2" u="1"/>
        <s v="1-1431073-2" u="1"/>
        <s v="1-1431457-1" u="1"/>
        <s v="1-1436802-2" u="1"/>
        <s v="1-1429967-3" u="1"/>
        <s v="1-1429983-2" u="1"/>
        <s v="1-1441380-4" u="1"/>
        <s v="1-1430100-9" u="1"/>
        <s v="1-1433849-4" u="1"/>
        <s v="1-1437658-5" u="1"/>
        <s v="1-1437890-2" u="1"/>
        <s v="1-1437655-18" u="1"/>
        <s v="1-1437747-18" u="1"/>
        <s v="1-1431157-3" u="1"/>
        <s v="1-1435258-3" u="1"/>
        <s v="1-1436810-2" u="1"/>
        <s v="1-1439267-3" u="1"/>
        <s v="1-1439559-2" u="1"/>
        <s v="1-1429049-10" u="1"/>
        <s v="1-1424902-2" u="1"/>
        <s v="1-1440800-2" u="1"/>
        <s v="1-1437990-2" u="1"/>
        <s v="10-1430968-2" u="1"/>
        <s v="1-1431273-2" u="1"/>
        <s v="1-1431549-2" u="1"/>
        <s v="1-1432901-2" u="1"/>
        <s v="1-1435266-3" u="1"/>
        <s v="1-1435282-2" u="1"/>
        <s v="1-1436802-3" u="1"/>
        <s v="10-1441179-2" u="1"/>
        <s v="1-1434110-2" u="1"/>
        <s v="1-1434202-2" u="1"/>
        <s v="1-1421290-27" u="1"/>
        <s v="1-1440900-2" u="1"/>
        <s v="1-1433557-6" u="1"/>
        <s v="1-1437658-6" u="1"/>
        <s v="1-1437890-3" u="1"/>
        <s v="1-1431649-2" u="1"/>
        <s v="1-1435258-4" u="1"/>
        <s v="1-1435366-3" u="1"/>
        <s v="1-1435566-2" u="1"/>
        <s v="1-1434302-2" u="1"/>
        <s v="1-1438003-4" u="1"/>
        <s v="1-1438311-2" u="1"/>
        <s v="10-1436921-2" u="1"/>
        <s v="10-1439865-2" u="1"/>
        <s v="12-1429957-2" u="1"/>
        <s v="1-1433965-4" u="1"/>
        <s v="10-1430928-3" u="1"/>
        <s v="1-1431073-4" u="1"/>
        <s v="1-1431857-1" u="1"/>
        <s v="1-1435390-2" u="1"/>
        <s v="1-1435590-1" u="1"/>
        <s v="1-1435758-2" u="1"/>
        <s v="1-1436802-4" u="1"/>
        <s v="1-1439567-3" u="1"/>
        <s v="1-1433339-10" u="1"/>
        <s v="1-1437658-7" u="1"/>
        <s v="1-1431849-2" u="1"/>
        <s v="1-1435258-5" u="1"/>
        <s v="1-1435290-3" u="1"/>
        <s v="1-1435766-2" u="1"/>
        <s v="12-1433167-2" u="1"/>
        <s v="1-1430401-2" u="1"/>
        <s v="1-1438203-4" u="1"/>
        <s v="1-1438264-14" u="1"/>
        <s v="1-1433965-5" u="1"/>
        <s v="1-1435482-3" u="1"/>
        <s v="1-1435590-2" u="1"/>
        <s v="1-1436802-5" u="1"/>
        <s v="1-1439859-3" u="1"/>
        <s v="13-1440474-2" u="1"/>
        <s v="1-1433266-1" u="1"/>
        <s v="1-1434602-2" u="1"/>
        <s v="1-1438611-2" u="1"/>
        <s v="1-1425259-2" u="1"/>
        <s v="1-1433557-8" u="1"/>
        <s v="1-1441249-2" u="1"/>
        <s v="1-1431865-2" u="1"/>
        <s v="1-1435258-6" u="1"/>
        <s v="1-1435674-3" u="1"/>
        <s v="1-1439775-3" u="1"/>
        <s v="1-1439791-2" u="1"/>
        <s v="11-1431383-2" u="1"/>
        <s v="1-1433258-2" u="1"/>
        <s v="1-1434610-2" u="1"/>
        <s v="1-1437067-3" u="1"/>
        <s v="1-1438203-5" u="1"/>
        <s v="1-1436003-2" u="1"/>
        <s v="1-1425175-2" u="1"/>
        <s v="1-1425267-2" u="1"/>
        <s v="1-1429476-1" u="1"/>
        <s v="1-1433965-6" u="1"/>
        <s v="10-1436692-2" u="1"/>
        <s v="1-1431873-2" u="1"/>
        <s v="11-1431371-2" u="1"/>
        <s v="1-1430701-2" u="1"/>
        <s v="1-1433066-3" u="1"/>
        <s v="1-1433082-2" u="1"/>
        <s v="1-1433174-2" u="1"/>
        <s v="1-1437075-3" u="1"/>
        <s v="1-1437183-2" u="1"/>
        <s v="1-1437367-2" u="1"/>
        <s v="1-1437459-2" u="1"/>
        <s v="1-1438811-2" u="1"/>
        <s v="12-1438144-13" u="1"/>
        <s v="1-1436211-1" u="1"/>
        <s v="1-1433557-9" u="1"/>
        <s v="1-1433258-3" u="1"/>
        <s v="1-1433274-2" u="1"/>
        <s v="1-1433458-2" u="1"/>
        <s v="1-1437083-3" u="1"/>
        <s v="1-1438203-6" u="1"/>
        <s v="1-1432010-2" u="1"/>
        <s v="1-1432102-2" u="1"/>
        <s v="1-1436203-2" u="1"/>
        <s v="1-1421182-2" u="1"/>
        <s v="1-1433965-7" u="1"/>
        <s v="1-1441073-3" u="1"/>
        <s v="1-1441273-2" u="1"/>
        <s v="1-1441365-2" u="1"/>
        <s v="10-1435640-3" u="1"/>
        <s v="1-1431949-4" u="1"/>
        <s v="1-1440301-1" u="1"/>
        <s v="1-1433282-2" u="1"/>
        <s v="1-1433358-3" u="1"/>
        <s v="1-1437183-3" u="1"/>
        <s v="1-1437367-3" u="1"/>
        <s v="1-1437659-2" u="1"/>
        <s v="12-1438144-21" u="1"/>
        <s v="1-1432110-2" u="1"/>
        <s v="1-1436011-3" u="1"/>
        <s v="1-1431881-3" u="1"/>
        <s v="12-1422979-2" u="1"/>
        <s v="1-1433290-2" u="1"/>
        <s v="1-1433658-2" u="1"/>
        <s v="1-1437359-4" u="1"/>
        <s v="1-1437375-3" u="1"/>
        <s v="12-1430154-2" u="1"/>
        <s v="12-1432086-2" u="1"/>
        <s v="1-1432010-3" u="1"/>
        <s v="1-1435159-1" u="1"/>
        <s v="1-1436511-1" u="1"/>
        <s v="1-1441473-2" u="1"/>
        <s v="1-1433374-3" u="1"/>
        <s v="1-1433482-2" u="1"/>
        <s v="1-1434710-4" u="1"/>
        <s v="1-1437183-4" u="1"/>
        <s v="1-1437367-4" u="1"/>
        <s v="1-1435059-2" u="1"/>
        <s v="1-1432139-24" u="1"/>
        <s v="1-1432379-12" u="1"/>
        <s v="12-1434071-12" u="1"/>
        <s v="1-1441373-3" u="1"/>
        <s v="1-1433258-5" u="1"/>
        <s v="1-1433382-3" u="1"/>
        <s v="1-1433490-2" u="1"/>
        <s v="1-1437375-4" u="1"/>
        <s v="1-1432010-4" u="1"/>
        <s v="1-1432410-2" u="1"/>
        <s v="1-1439368-1" u="1"/>
        <s v="1-1429784-2" u="1"/>
        <s v="1-1429968-2" u="1"/>
        <s v="1-1433965-9" u="1"/>
        <s v="12-1428920-2" u="1"/>
        <s v="1-1440501-2" u="1"/>
        <s v="1-1433374-4" u="1"/>
        <s v="1-1433590-2" u="1"/>
        <s v="1-1433682-2" u="1"/>
        <s v="1-1433866-2" u="1"/>
        <s v="1-1437183-5" u="1"/>
        <s v="1-1437367-5" u="1"/>
        <s v="1-1437859-3" u="1"/>
        <s v="11-1431378-3" u="1"/>
        <s v="1-1432379-22" u="1"/>
        <s v="12-1434071-20" u="1"/>
        <s v="1-1429792-2" u="1"/>
        <s v="1-1429976-2" u="1"/>
        <s v="1-1438004-2" u="1"/>
        <s v="1-1433258-6" u="1"/>
        <s v="1-1433290-4" u="1"/>
        <s v="1-1433382-4" u="1"/>
        <s v="1-1433782-2" u="1"/>
        <s v="1-1433858-3" u="1"/>
        <s v="1-1437375-5" u="1"/>
        <s v="1-1432010-5" u="1"/>
        <s v="1-1432610-2" u="1"/>
        <s v="1-1435083-2" u="1"/>
        <s v="1-1435267-2" u="1"/>
        <s v="1-1435467-1" u="1"/>
        <s v="1-1439092-2" u="1"/>
        <s v="1-1429876-3" u="1"/>
        <s v="1-1429968-3" u="1"/>
        <s v="1-1428812-2" u="1"/>
        <s v="1-1433682-3" u="1"/>
        <s v="1-1433866-3" u="1"/>
        <s v="11-1433378-3" u="1"/>
        <s v="1-1435259-3" u="1"/>
        <s v="1-1435367-2" u="1"/>
        <s v="1-1436811-2" u="1"/>
        <s v="1-1436903-2" u="1"/>
        <s v="1-1439176-3" u="1"/>
        <s v="1-1439192-2" u="1"/>
        <s v="1-1429976-3" u="1"/>
        <s v="1-1438204-2" u="1"/>
        <s v="1-1440801-2" u="1"/>
        <s v="10-1435743-3" u="1"/>
        <s v="1-1433258-7" u="1"/>
        <s v="1-1433290-5" u="1"/>
        <s v="1-1433382-5" u="1"/>
        <s v="1-1433966-3" u="1"/>
        <s v="1-1433982-2" u="1"/>
        <s v="1-1437791-3" u="1"/>
        <s v="13-1439018-2" u="1"/>
        <s v="1-1431090-2" u="1"/>
        <s v="1-1431458-2" u="1"/>
        <s v="1-1432010-6" u="1"/>
        <s v="1-1435175-3" u="1"/>
        <s v="1-1435283-2" u="1"/>
        <s v="1-1439492-1" u="1"/>
        <s v="1-1429892-3" u="1"/>
        <s v="10-1436943-2" u="1"/>
        <s v="1-1433682-4" u="1"/>
        <s v="1-1431466-2" u="1"/>
        <s v="1-1431558-2" u="1"/>
        <s v="1-1432910-2" u="1"/>
        <s v="1-1435183-3" u="1"/>
        <s v="1-1435259-4" u="1"/>
        <s v="1-1435859-1" u="1"/>
        <s v="12-1431970-19" u="1"/>
        <s v="1-1429976-4" u="1"/>
        <s v="1-1430110-2" u="1"/>
        <s v="1-1430202-2" u="1"/>
        <s v="1-1434211-2" u="1"/>
        <s v="1-1438204-3" u="1"/>
        <s v="1-1438220-2" u="1"/>
        <s v="1-1433258-8" u="1"/>
        <s v="1-1433382-6" u="1"/>
        <s v="1-1437791-4" u="1"/>
        <s v="10-1430938-3" u="1"/>
        <s v="10-1432686-3" u="1"/>
        <s v="1-1435267-4" u="1"/>
        <s v="1-1435483-2" u="1"/>
        <s v="1-1435559-3" u="1"/>
        <s v="1-1435575-2" u="1"/>
        <s v="1-1436911-3" u="1"/>
        <s v="1-1439568-3" u="1"/>
        <s v="12-1431970-5" u="1"/>
        <s v="1-1433682-5" u="1"/>
        <s v="11-1436474-2" u="1"/>
        <s v="1-1435259-5" u="1"/>
        <s v="1-1435567-3" u="1"/>
        <s v="1-1439776-2" u="1"/>
        <s v="1-1439792-1" u="1"/>
        <s v="10-1440233-2" u="1"/>
        <s v="12-1430141-2" u="1"/>
        <s v="1-1429976-5" u="1"/>
        <s v="1-1434503-2" u="1"/>
        <s v="1-1437791-5" u="1"/>
        <s v="1-1435267-5" u="1"/>
        <s v="1-1435391-3" u="1"/>
        <s v="1-1435667-3" u="1"/>
        <s v="1-1435683-2" u="1"/>
        <s v="1-1439968-2" u="1"/>
        <s v="1-1429162-11" u="1"/>
        <s v="1-1429254-11" u="1"/>
        <s v="11-1431389-3" u="1"/>
        <s v="1-1430302-3" u="1"/>
        <s v="1-1433067-2" u="1"/>
        <s v="1-1433267-1" u="1"/>
        <s v="1-1434603-2" u="1"/>
        <s v="1-1437076-2" u="1"/>
        <s v="1-1433682-6" u="1"/>
        <s v="1-1431590-2" u="1"/>
        <s v="1-1431958-2" u="1"/>
        <s v="1-1435567-4" u="1"/>
        <s v="1-1435675-3" u="1"/>
        <s v="1-1439868-3" u="1"/>
        <s v="10-1441113-3" u="1"/>
        <s v="11-1431577-2" u="1"/>
        <s v="1-1434703-2" u="1"/>
        <s v="1-1437084-2" u="1"/>
        <s v="1-1438620-2" u="1"/>
        <s v="1-1423983-1" u="1"/>
        <s v="1-1436004-2" u="1"/>
        <s v="1-1437791-6" u="1"/>
        <s v="1-1435267-6" u="1"/>
        <s v="1-1435391-4" u="1"/>
        <s v="1-1439568-5" u="1"/>
        <s v="1-1429290-10" u="1"/>
        <s v="11-1431381-2" u="1"/>
        <s v="1-1421290-8" u="1"/>
        <s v="1-1430410-3" u="1"/>
        <s v="1-1433083-2" u="1"/>
        <s v="1-1437368-2" u="1"/>
        <s v="1-1438612-3" u="1"/>
        <s v="1-1441174-2" u="1"/>
        <s v="1-1435567-5" u="1"/>
        <s v="1-1439868-4" u="1"/>
        <s v="11-1431737-2" u="1"/>
        <s v="12-1435429-2" u="1"/>
        <s v="1-1430710-2" u="1"/>
        <s v="1-1433259-3" u="1"/>
        <s v="1-1434611-3" u="1"/>
        <s v="1-1437068-4" u="1"/>
        <s v="1-1432011-2" u="1"/>
        <s v="1-1432103-2" u="1"/>
        <s v="1-1437791-7" u="1"/>
        <s v="1-1431690-3" u="1"/>
        <s v="1-1431890-2" u="1"/>
        <s v="1-1431982-2" u="1"/>
        <s v="1-1435267-7" u="1"/>
        <s v="1-1440102-2" u="1"/>
        <s v="1-1429522-13" u="1"/>
        <s v="10-1430977-2" u="1"/>
        <s v="11-1431709-3" u="1"/>
        <s v="1-1438904-3" u="1"/>
        <s v="10-1441188-2" u="1"/>
        <s v="1-1432111-2" u="1"/>
        <s v="1-1436012-3" u="1"/>
        <s v="1-1425076-4" u="1"/>
        <s v="1-1441282-2" u="1"/>
        <s v="1-1431866-4" u="1"/>
        <s v="1-1435259-8" u="1"/>
        <s v="1-1435383-6" u="1"/>
        <s v="1-1435567-6" u="1"/>
        <s v="1-1439868-5" u="1"/>
        <s v="1-1430910-2" u="1"/>
        <s v="1-1433383-2" u="1"/>
        <s v="1-1433567-2" u="1"/>
        <s v="1-1433859-1" u="1"/>
        <s v="1-1437176-4" u="1"/>
        <s v="1-1436204-3" u="1"/>
        <s v="1-1437791-8" u="1"/>
        <s v="1-1441458-3" u="1"/>
        <s v="1-1439768-6" u="1"/>
        <s v="1-1440302-2" u="1"/>
        <s v="1-1429522-23" u="1"/>
        <s v="11-1436485-2" u="1"/>
        <s v="1-1433283-3" u="1"/>
        <s v="1-1438904-4" u="1"/>
        <s v="12-1430428-2" u="1"/>
        <s v="1-1439069-2" u="1"/>
        <s v="1-1429869-2" u="1"/>
        <s v="1-1441374-3" u="1"/>
        <s v="1-1435259-9" u="1"/>
        <s v="1-1435567-7" u="1"/>
        <s v="1-1439868-6" u="1"/>
        <s v="1-1440110-3" u="1"/>
        <s v="10-1430925-3" u="1"/>
        <s v="1-1433583-2" u="1"/>
        <s v="1-1437868-2" u="1"/>
        <s v="1-1437884-1" u="1"/>
        <s v="1-1431059-2" u="1"/>
        <s v="1-1432503-2" u="1"/>
        <s v="1-1436020-4" u="1"/>
        <s v="1-1429785-2" u="1"/>
        <s v="1-1429969-2" u="1"/>
        <s v="1-1437791-9" u="1"/>
        <s v="1-1433591-2" u="1"/>
        <s v="1-1433683-2" u="1"/>
        <s v="1-1433867-2" u="1"/>
        <s v="1-1438904-5" u="1"/>
        <s v="1-1432711-1" u="1"/>
        <s v="1-1426704-6" u="1"/>
        <s v="1-1429793-2" u="1"/>
        <s v="1-1429885-2" u="1"/>
        <s v="12-1436989-6" u="1"/>
        <s v="1-1435567-8" u="1"/>
        <s v="1-1433583-3" u="1"/>
        <s v="1-1437868-3" u="1"/>
        <s v="1-1431259-2" u="1"/>
        <s v="1-1435084-2" u="1"/>
        <s v="1-1436020-5" u="1"/>
        <s v="1-1429985-2" u="1"/>
        <s v="1-1434004-2" u="1"/>
        <s v="1-1438105-2" u="1"/>
        <s v="1-1430100-10" u="1"/>
        <s v="1-1433867-3" u="1"/>
        <s v="1-1433883-2" u="1"/>
        <s v="1-1437784-3" u="1"/>
        <s v="1-1438904-6" u="1"/>
        <s v="11-1431380-2" u="1"/>
        <s v="1-1431159-3" u="1"/>
        <s v="1-1431175-2" u="1"/>
        <s v="1-1431559-1" u="1"/>
        <s v="1-1439193-2" u="1"/>
        <s v="1-1439469-2" u="1"/>
        <s v="1-1429993-2" u="1"/>
        <s v="1-1435709-12" u="1"/>
        <s v="1-1435567-9" u="1"/>
        <s v="10-1435645-4" u="1"/>
        <s v="1-1433583-4" u="1"/>
        <s v="1-1437868-4" u="1"/>
        <s v="10-1430988-2" u="1"/>
        <s v="11-1433376-3" u="1"/>
        <s v="1-1431367-2" u="1"/>
        <s v="1-1435284-2" u="1"/>
        <s v="1-1436820-2" u="1"/>
        <s v="1-1436912-2" u="1"/>
        <s v="1-1439277-3" u="1"/>
        <s v="1-1438321-1" u="1"/>
        <s v="1-1440902-2" u="1"/>
        <s v="1-1433683-4" u="1"/>
        <s v="1-1433867-4" u="1"/>
        <s v="1-1438904-7" u="1"/>
        <s v="11-1433380-2" u="1"/>
        <s v="1-1431467-2" u="1"/>
        <s v="1-1435568-2" u="1"/>
        <s v="1-1435584-1" u="1"/>
        <s v="1-1435676-1" u="1"/>
        <s v="1-1435768-1" u="1"/>
        <s v="1-1436812-3" u="1"/>
        <s v="12-1430083-2" u="1"/>
        <s v="1-1429993-3" u="1"/>
        <s v="1-1430203-2" u="1"/>
        <s v="1-1438221-2" u="1"/>
        <s v="10-1436941-2" u="1"/>
        <s v="12-1429977-2" u="1"/>
        <s v="1-1433891-3" u="1"/>
        <s v="1-1432611-4" u="1"/>
        <s v="1-1435376-3" u="1"/>
        <s v="1-1435668-2" u="1"/>
        <s v="1-1436020-7" u="1"/>
        <s v="1-1433683-5" u="1"/>
        <s v="1-1433867-5" u="1"/>
        <s v="11-1433632-2" u="1"/>
        <s v="1-1431591-1" u="1"/>
        <s v="1-1435292-3" u="1"/>
        <s v="1-1435568-3" u="1"/>
        <s v="1-1435676-2" u="1"/>
        <s v="1-1430403-2" u="1"/>
        <s v="1-1434412-2" u="1"/>
        <s v="1-1437069-2" u="1"/>
        <s v="1-1438513-2" u="1"/>
        <s v="1-1433583-6" u="1"/>
        <s v="1-1433891-4" u="1"/>
        <s v="1-1433983-4" u="1"/>
        <s v="11-1436748-2" u="1"/>
        <s v="1-1431583-2" u="1"/>
        <s v="1-1435376-4" u="1"/>
        <s v="1-1435668-3" u="1"/>
        <s v="1-1435684-2" u="1"/>
        <s v="1-1435884-1" u="1"/>
        <s v="1-1439893-1" u="1"/>
        <s v="1-1430303-3" u="1"/>
        <s v="1-1430411-2" u="1"/>
        <s v="1-1434604-2" u="1"/>
        <s v="1-1437169-2" u="1"/>
        <s v="1-1438505-3" u="1"/>
        <s v="1-1423776-2" u="1"/>
        <s v="1-1433683-6" u="1"/>
        <s v="1-1433867-6" u="1"/>
        <s v="1-1431683-2" u="1"/>
        <s v="1-1431867-2" u="1"/>
        <s v="1-1435384-4" u="1"/>
        <s v="1-1435568-4" u="1"/>
        <s v="1-1435676-3" u="1"/>
        <s v="12-1433147-3" u="1"/>
        <s v="1-1434612-2" u="1"/>
        <s v="1-1434720-1" u="1"/>
        <s v="1-1437085-2" u="1"/>
        <s v="1-1437177-2" u="1"/>
        <s v="1-1437285-1" u="1"/>
        <s v="1-1425269-2" u="1"/>
        <s v="1-1433891-5" u="1"/>
        <s v="1-1435268-6" u="1"/>
        <s v="1-1435668-4" u="1"/>
        <s v="1-1435776-3" u="1"/>
        <s v="1-1439877-3" u="1"/>
        <s v="1-1430703-2" u="1"/>
        <s v="12-1438144-14" u="1"/>
        <s v="1-1440810-5" u="1"/>
        <s v="1-1426705-3" u="1"/>
        <s v="1-1433683-7" u="1"/>
        <s v="1-1433867-7" u="1"/>
        <s v="1-1441267-2" u="1"/>
        <s v="1-1431483-4" u="1"/>
        <s v="1-1431883-2" u="1"/>
        <s v="1-1435568-5" u="1"/>
        <s v="1-1435676-4" u="1"/>
        <s v="11-1431563-2" u="1"/>
        <s v="1-1430803-2" u="1"/>
        <s v="1-1432012-2" u="1"/>
        <s v="1-1432104-2" u="1"/>
        <s v="1-1431875-3" u="1"/>
        <s v="1-1431983-2" u="1"/>
        <s v="1-1435376-6" u="1"/>
        <s v="1-1435668-5" u="1"/>
        <s v="1-1430703-3" u="1"/>
        <s v="1-1430811-2" u="1"/>
        <s v="1-1433084-3" u="1"/>
        <s v="1-1434420-4" u="1"/>
        <s v="12-1438144-22" u="1"/>
        <s v="1-1436013-3" u="1"/>
        <s v="1-1436305-2" u="1"/>
        <s v="1-1437654-11" u="1"/>
        <s v="1-1425293-2" u="1"/>
        <s v="1-1426705-4" u="1"/>
        <s v="1-1433683-8" u="1"/>
        <s v="1-1433867-8" u="1"/>
        <s v="1-1431991-2" u="1"/>
        <s v="1-1435568-6" u="1"/>
        <s v="1-1440003-3" u="1"/>
        <s v="12-1435215-3" u="1"/>
        <s v="1-1430911-2" u="1"/>
        <s v="1-1433384-2" u="1"/>
        <s v="1-1433476-2" u="1"/>
        <s v="1-1420911-6" u="1"/>
        <s v="1-1432012-3" u="1"/>
        <s v="1-1432120-2" u="1"/>
        <s v="1-1436421-1" u="1"/>
        <s v="1-1429186-4" u="1"/>
        <s v="1-1433891-7" u="1"/>
        <s v="10-1436940-2" u="1"/>
        <s v="1-1431567-6" u="1"/>
        <s v="1-1435376-7" u="1"/>
        <s v="1-1440303-2" u="1"/>
        <s v="1-1430703-4" u="1"/>
        <s v="1-1433284-3" u="1"/>
        <s v="1-1433868-1" u="1"/>
        <s v="1-1435077-1" u="1"/>
        <s v="1-1437654-21" u="1"/>
        <s v="12-1434071-13" u="1"/>
        <s v="1-1426705-5" u="1"/>
        <s v="1-1433867-9" u="1"/>
        <s v="1-1435568-7" u="1"/>
        <s v="1-1433292-3" u="1"/>
        <s v="1-1432012-4" u="1"/>
        <s v="1-1432120-3" u="1"/>
        <s v="1-1432412-2" u="1"/>
        <s v="1-1436205-4" u="1"/>
        <s v="1-1439186-1" u="1"/>
        <s v="1-1429186-5" u="1"/>
        <s v="1-1429786-2" u="1"/>
        <s v="1-1433891-8" u="1"/>
        <s v="10-1439536-5" u="1"/>
        <s v="1-1435376-8" u="1"/>
        <s v="1-1440503-2" u="1"/>
        <s v="1-1430703-5" u="1"/>
        <s v="1-1433468-4" u="1"/>
        <s v="1-1433592-2" u="1"/>
        <s v="1-1433868-2" u="1"/>
        <s v="1-1438905-5" u="1"/>
        <s v="10-1440230-2" u="1"/>
        <s v="1-1432220-3" u="1"/>
        <s v="1-1432420-2" u="1"/>
        <s v="1-1436321-3" u="1"/>
        <s v="12-1434071-21" u="1"/>
        <s v="1-1429794-2" u="1"/>
        <s v="1-1429978-2" u="1"/>
        <s v="1-1429994-1" u="1"/>
        <s v="1-1438006-2" u="1"/>
        <s v="1-1430711-5" u="1"/>
        <s v="1-1437869-3" u="1"/>
        <s v="1-1432012-5" u="1"/>
        <s v="1-1432120-4" u="1"/>
        <s v="1-1432520-2" u="1"/>
        <s v="1-1432612-2" u="1"/>
        <s v="1-1435469-1" u="1"/>
        <s v="1-1436621-2" u="1"/>
        <s v="1-1436805-2" u="1"/>
        <s v="1-1439078-3" u="1"/>
        <s v="1-1439094-2" u="1"/>
        <s v="1-1432141-16" u="1"/>
        <s v="1-1425885-2" u="1"/>
        <s v="1-1429186-6" u="1"/>
        <s v="1-1433891-9" u="1"/>
        <s v="1-1438106-2" u="1"/>
        <s v="1-1435376-9" u="1"/>
        <s v="1-1433792-2" u="1"/>
        <s v="1-1431176-2" u="1"/>
        <s v="1-1431268-2" u="1"/>
        <s v="1-1432620-2" u="1"/>
        <s v="1-1435477-1" u="1"/>
        <s v="1-1439178-3" u="1"/>
        <s v="1-1429994-2" u="1"/>
        <s v="1-1433892-2" u="1"/>
        <s v="1-1433984-2" u="1"/>
        <s v="11-1431562-2" u="1"/>
        <s v="1-1432012-6" u="1"/>
        <s v="1-1432120-5" u="1"/>
        <s v="1-1435085-3" u="1"/>
        <s v="1-1438322-1" u="1"/>
        <s v="1-1428722-3" u="1"/>
        <s v="1-1437654-19" u="1"/>
        <s v="1-1431468-2" u="1"/>
        <s v="1-1435293-2" u="1"/>
        <s v="1-1435569-2" u="1"/>
        <s v="1-1439394-2" u="1"/>
        <s v="1-1429994-3" u="1"/>
        <s v="1-1434213-2" u="1"/>
        <s v="1-1438130-2" u="1"/>
        <s v="1-1438222-2" u="1"/>
        <s v="1-1435562-11" u="1"/>
        <s v="1-1431568-2" u="1"/>
        <s v="1-1432120-6" u="1"/>
        <s v="1-1432920-2" u="1"/>
        <s v="1-1435393-2" u="1"/>
        <s v="1-1435485-2" u="1"/>
        <s v="10-1441093-2" u="1"/>
        <s v="1-1430304-2" u="1"/>
        <s v="1-1438230-2" u="1"/>
        <s v="1-1440811-3" u="1"/>
        <s v="12-1429467-5" u="1"/>
        <s v="1-1427947-11" u="1"/>
        <s v="12-1437334-2" u="1"/>
        <s v="1-1432712-4" u="1"/>
        <s v="1-1432912-3" u="1"/>
        <s v="1-1435369-4" u="1"/>
        <s v="1-1435677-2" u="1"/>
        <s v="10-1441173-2" u="1"/>
        <s v="12-1431970-28" u="1"/>
        <s v="1-1430220-2" u="1"/>
        <s v="1-1434213-3" u="1"/>
        <s v="1-1438330-2" u="1"/>
        <s v="1-1433892-4" u="1"/>
        <s v="1-1431492-2" u="1"/>
        <s v="1-1432120-7" u="1"/>
        <s v="1-1435593-2" u="1"/>
        <s v="1-1436821-4" u="1"/>
        <s v="1-1433069-2" u="1"/>
        <s v="1-1434421-2" u="1"/>
        <s v="1-1434605-2" u="1"/>
        <s v="1-1438706-2" u="1"/>
        <s v="1-1435385-4" u="1"/>
        <s v="1-1435677-3" u="1"/>
        <s v="1-1439886-2" u="1"/>
        <s v="1-1430420-2" u="1"/>
        <s v="1-1430620-1" u="1"/>
        <s v="1-1434613-2" u="1"/>
        <s v="1-1434705-2" u="1"/>
        <s v="1-1438530-2" u="1"/>
        <s v="1-1438806-2" u="1"/>
        <s v="1-1436006-2" u="1"/>
        <s v="1-1425086-2" u="1"/>
        <s v="1-1433892-5" u="1"/>
        <s v="1-1431784-2" u="1"/>
        <s v="1-1435885-2" u="1"/>
        <s v="1-1436821-5" u="1"/>
        <s v="1-1439878-3" u="1"/>
        <s v="10-1441013-4" u="1"/>
        <s v="11-1431385-3" u="1"/>
        <s v="1-1433085-2" u="1"/>
        <s v="1-1433269-2" u="1"/>
        <s v="1-1434513-3" u="1"/>
        <s v="1-1434805-2" u="1"/>
        <s v="1-1437078-3" u="1"/>
        <s v="1-1431884-2" u="1"/>
        <s v="1-1431976-2" u="1"/>
        <s v="1-1435677-4" u="1"/>
        <s v="1-1430404-4" u="1"/>
        <s v="1-1430804-2" u="1"/>
        <s v="1-1433277-2" u="1"/>
        <s v="1-1434721-2" u="1"/>
        <s v="1-1437286-2" u="1"/>
        <s v="1-1437394-1" u="1"/>
        <s v="1-1432013-2" u="1"/>
        <s v="1-1433892-6" u="1"/>
        <s v="1-1435993-2" u="1"/>
        <s v="1-1440012-2" u="1"/>
        <s v="11-1431561-2" u="1"/>
        <s v="12-1437369-2" u="1"/>
        <s v="1-1430412-4" u="1"/>
        <s v="1-1430812-2" u="1"/>
        <s v="1-1430904-2" u="1"/>
        <s v="1-1433469-2" u="1"/>
        <s v="1-1434713-3" u="1"/>
        <s v="1-1432113-2" u="1"/>
        <s v="1-1436014-3" u="1"/>
        <s v="1-1436122-2" u="1"/>
        <s v="1-1437655-11" u="1"/>
        <s v="1-1437747-11" u="1"/>
        <s v="12-1435918-8" u="1"/>
        <s v="1-1429779-1" u="1"/>
        <s v="1-1441468-2" u="1"/>
        <s v="1-1431868-4" u="1"/>
        <s v="1-1431992-2" u="1"/>
        <s v="1-1440004-3" u="1"/>
        <s v="1-1430912-2" u="1"/>
        <s v="1-1433293-2" u="1"/>
        <s v="1-1434213-6" u="1"/>
        <s v="1-1420912-6" u="1"/>
        <s v="1-1432121-2" u="1"/>
        <s v="1-1441384-2" u="1"/>
        <s v="1-1441476-2" u="1"/>
        <s v="10-1434910-3" u="1"/>
        <s v="1-1424222-2" u="1"/>
        <s v="1-1431892-3" u="1"/>
        <s v="1-1440120-2" u="1"/>
        <s v="1-1440304-2" u="1"/>
        <s v="1-1430920-2" u="1"/>
        <s v="1-1433393-2" u="1"/>
        <s v="1-1433577-2" u="1"/>
        <s v="1-1436230-2" u="1"/>
        <s v="1-1436322-2" u="1"/>
        <s v="1-1436506-2" u="1"/>
        <s v="1-1437655-21" u="1"/>
        <s v="1-1429595-2" u="1"/>
        <s v="1-1429979-1" u="1"/>
        <s v="1-1431792-4" u="1"/>
        <s v="1-1433477-3" u="1"/>
        <s v="1-1434213-7" u="1"/>
        <s v="1-1437886-1" u="1"/>
        <s v="10-1441172-2" u="1"/>
        <s v="1-1432321-2" u="1"/>
        <s v="1-1432413-2" u="1"/>
        <s v="1-1435086-1" u="1"/>
        <s v="1-1436222-3" u="1"/>
        <s v="1-1436622-1" u="1"/>
        <s v="1-1437791-10" u="1"/>
        <s v="1-1429679-3" u="1"/>
        <s v="1-1429787-2" u="1"/>
        <s v="1-1433892-8" u="1"/>
        <s v="1-1421290-30" u="1"/>
        <s v="10-1430933-3" u="1"/>
        <s v="1-1433593-2" u="1"/>
        <s v="1-1433869-2" u="1"/>
        <s v="1-1437494-3" u="1"/>
        <s v="1-1437786-2" u="1"/>
        <s v="1-1438830-4" u="1"/>
        <s v="1-1431069-2" u="1"/>
        <s v="1-1432421-2" u="1"/>
        <s v="1-1435094-1" u="1"/>
        <s v="1-1429795-2" u="1"/>
        <s v="1-1429995-1" u="1"/>
        <s v="1-1441268-5" u="1"/>
        <s v="1-1440512-2" u="1"/>
        <s v="11-1438585-2" u="1"/>
        <s v="1-1433493-3" u="1"/>
        <s v="1-1434213-8" u="1"/>
        <s v="1-1432613-2" u="1"/>
        <s v="1-1436330-3" u="1"/>
        <s v="1-1439279-2" u="1"/>
        <s v="1-1429895-2" u="1"/>
        <s v="1-1433892-9" u="1"/>
        <s v="1-1433984-9" u="1"/>
        <s v="1-1438031-1" u="1"/>
        <s v="1-1438107-2" u="1"/>
        <s v="1-1440704-2" u="1"/>
        <s v="1-1433793-2" u="1"/>
        <s v="1-1433869-3" u="1"/>
        <s v="1-1433977-2" u="1"/>
        <s v="11-1431768-2" u="1"/>
        <s v="12-1432608-2" u="1"/>
        <s v="1-1431177-2" u="1"/>
        <s v="1-1432405-4" u="1"/>
        <s v="1-1429995-2" u="1"/>
        <s v="1-1440604-3" u="1"/>
        <s v="1-1440804-2" u="1"/>
        <s v="1-1434213-9" u="1"/>
        <s v="11-1431572-2" u="1"/>
        <s v="11-1431756-2" u="1"/>
        <s v="1-1432721-2" u="1"/>
        <s v="1-1435178-3" u="1"/>
        <s v="1-1438123-2" u="1"/>
        <s v="1-1438215-2" u="1"/>
        <s v="1-1437786-4" u="1"/>
        <s v="1-1437655-19" u="1"/>
        <s v="1-1437747-19" u="1"/>
        <s v="11-1431560-2" u="1"/>
        <s v="1-1435386-2" u="1"/>
        <s v="1-1436814-3" u="1"/>
        <s v="1-1439395-2" u="1"/>
        <s v="1-1429049-11" u="1"/>
        <s v="12-1431299-2" u="1"/>
        <s v="13-1432047-2" u="1"/>
        <s v="10-1441087-3" u="1"/>
        <s v="1-1430305-2" u="1"/>
        <s v="1-1434130-2" u="1"/>
        <s v="1-1440812-3" u="1"/>
        <s v="10-1430972-2" u="1"/>
        <s v="12-1437052-3" u="1"/>
        <s v="1-1431685-1" u="1"/>
        <s v="1-1435678-2" u="1"/>
        <s v="1-1430405-2" u="1"/>
        <s v="1-1434230-2" u="1"/>
        <s v="1-1438223-3" u="1"/>
        <s v="1-1440820-3" u="1"/>
        <s v="1-1431769-2" u="1"/>
        <s v="1-1439895-1" u="1"/>
        <s v="10-1441171-2" u="1"/>
        <s v="1-1434514-2" u="1"/>
        <s v="1-1434606-2" u="1"/>
        <s v="1-1437079-2" u="1"/>
        <s v="1-1438231-3" u="1"/>
        <s v="1-1438615-2" u="1"/>
        <s v="1-1441269-1" u="1"/>
        <s v="11-1438596-2" u="1"/>
        <s v="1-1431593-2" u="1"/>
        <s v="1-1431777-2" u="1"/>
        <s v="1-1435494-3" u="1"/>
        <s v="1-1436922-4" u="1"/>
        <s v="1-1439795-2" u="1"/>
        <s v="10-1441435-2" u="1"/>
        <s v="12-1430131-3" u="1"/>
        <s v="1-1434122-4" u="1"/>
        <s v="1-1434230-3" u="1"/>
        <s v="1-1434414-3" u="1"/>
        <s v="1-1434506-3" u="1"/>
        <s v="1-1434706-2" u="1"/>
        <s v="1-1438331-3" u="1"/>
        <s v="1-1438264-15" u="1"/>
        <s v="1-1440820-4" u="1"/>
        <s v="1-1431785-2" u="1"/>
        <s v="1-1435886-2" u="1"/>
        <s v="1-1435978-2" u="1"/>
        <s v="1-1429529-12" u="1"/>
        <s v="1-1437387-1" u="1"/>
        <s v="1-1428307-9" u="1"/>
        <s v="1-1432114-1" u="1"/>
        <s v="1-1425187-2" u="1"/>
        <s v="1-1425279-2" u="1"/>
        <s v="1-1429196-2" u="1"/>
        <s v="1-1430621-2" u="1"/>
        <s v="1-1430805-2" u="1"/>
        <s v="1-1433478-1" u="1"/>
        <s v="1-1434230-4" u="1"/>
        <s v="1-1432014-2" u="1"/>
        <s v="1-1436023-2" u="1"/>
        <s v="1-1440820-5" u="1"/>
        <s v="1-1429296-2" u="1"/>
        <s v="1-1435994-2" u="1"/>
        <s v="1-1440013-2" u="1"/>
        <s v="12-1436275-2" u="1"/>
        <s v="1-1430813-2" u="1"/>
        <s v="1-1434530-3" u="1"/>
        <s v="1-1434806-3" u="1"/>
        <s v="1-1437095-3" u="1"/>
        <s v="1-1437679-1" u="1"/>
        <s v="1-1438831-2" u="1"/>
        <s v="1-1436307-2" u="1"/>
        <s v="1-1429196-3" u="1"/>
        <s v="1-1440205-2" u="1"/>
        <s v="1-1430821-2" u="1"/>
        <s v="1-1433078-4" u="1"/>
        <s v="1-1433294-2" u="1"/>
        <s v="1-1433678-1" u="1"/>
        <s v="1-1437287-3" u="1"/>
        <s v="1-1432014-3" u="1"/>
        <s v="1-1432122-2" u="1"/>
        <s v="1-1440820-6" u="1"/>
        <s v="1-1441277-3" u="1"/>
        <s v="1-1441293-2" u="1"/>
        <s v="1-1440305-2" u="1"/>
        <s v="1-1430905-3" u="1"/>
        <s v="1-1433486-2" u="1"/>
        <s v="1-1432130-2" u="1"/>
        <s v="1-1436215-3" u="1"/>
        <s v="1-1432139-15" u="1"/>
        <s v="1-1433867-10" u="1"/>
        <s v="12-1434071-14" u="1"/>
        <s v="1-1429196-4" u="1"/>
        <s v="1-1441285-3" u="1"/>
        <s v="1-1424507-2" u="1"/>
        <s v="1-1428040-3" u="1"/>
        <s v="1-1440113-3" u="1"/>
        <s v="10-1430971-2" u="1"/>
        <s v="1-1430913-3" u="1"/>
        <s v="1-1433678-2" u="1"/>
        <s v="1-1437887-1" u="1"/>
        <s v="1-1432014-4" u="1"/>
        <s v="1-1432106-4" u="1"/>
        <s v="1-1432122-3" u="1"/>
        <s v="1-1436223-3" u="1"/>
        <s v="1-1429788-2" u="1"/>
        <s v="1-1434007-1" u="1"/>
        <s v="11-1436475-3" u="1"/>
        <s v="12-1437331-2" u="1"/>
        <s v="1-1430721-4" u="1"/>
        <s v="1-1433686-2" u="1"/>
        <s v="1-1437787-2" u="1"/>
        <s v="10-1441554-1" u="1"/>
        <s v="1-1432314-3" u="1"/>
        <s v="1-1432806-1" u="1"/>
        <s v="1-1432139-25" u="1"/>
        <s v="1-1432379-13" u="1"/>
        <s v="12-1434071-22" u="1"/>
        <s v="1-1429196-5" u="1"/>
        <s v="1-1429796-2" u="1"/>
        <s v="1-1429888-2" u="1"/>
        <s v="1-1428040-4" u="1"/>
        <s v="1-1440605-2" u="1"/>
        <s v="10-1430931-3" u="1"/>
        <s v="1-1434230-7" u="1"/>
        <s v="12-1431434-2" u="1"/>
        <s v="1-1432014-5" u="1"/>
        <s v="1-1432122-4" u="1"/>
        <s v="1-1432522-2" u="1"/>
        <s v="1-1436531-2" u="1"/>
        <s v="1-1439188-2" u="1"/>
        <s v="1-1429988-2" u="1"/>
        <s v="1-1434023-1" u="1"/>
        <s v="1-1435376-10" u="1"/>
        <s v="1-1428740-1" u="1"/>
        <s v="1-1428816-2" u="1"/>
        <s v="1-1433886-2" u="1"/>
        <s v="1-1433978-2" u="1"/>
        <s v="1-1437787-3" u="1"/>
        <s v="1-1432530-2" u="1"/>
        <s v="1-1435095-2" u="1"/>
        <s v="1-1436123-5" u="1"/>
        <s v="1-1436523-3" u="1"/>
        <s v="1-1436815-2" u="1"/>
        <s v="1-1432379-23" u="1"/>
        <s v="1-1429196-6" u="1"/>
        <s v="1-1440113-5" u="1"/>
        <s v="1-1440805-2" u="1"/>
        <s v="1-1433878-3" u="1"/>
        <s v="1-1432014-6" u="1"/>
        <s v="1-1432106-6" u="1"/>
        <s v="1-1432122-5" u="1"/>
        <s v="1-1432522-3" u="1"/>
        <s v="1-1432906-2" u="1"/>
        <s v="1-1435179-3" u="1"/>
        <s v="1-1436623-3" u="1"/>
        <s v="1-1439296-2" u="1"/>
        <s v="1-1429896-3" u="1"/>
        <s v="1-1429988-3" u="1"/>
        <s v="1-1438032-2" u="1"/>
        <s v="1-1438216-2" u="1"/>
        <s v="1-1440721-2" u="1"/>
        <s v="10-1438899-3" u="1"/>
        <s v="1-1433394-5" u="1"/>
        <s v="1-1431286-2" u="1"/>
        <s v="1-1435387-2" u="1"/>
        <s v="1-1436923-2" u="1"/>
        <s v="1-1439396-2" u="1"/>
        <s v="13-1430217-2" u="1"/>
        <s v="1-1435544-12" u="1"/>
        <s v="1-1424923-2" u="1"/>
        <s v="1-1440113-6" u="1"/>
        <s v="12-1430794-7" u="1"/>
        <s v="1-1432122-6" u="1"/>
        <s v="1-1432522-4" u="1"/>
        <s v="1-1432830-2" u="1"/>
        <s v="1-1435487-2" u="1"/>
        <s v="1-1429988-4" u="1"/>
        <s v="1-1430014-3" u="1"/>
        <s v="1-1434023-3" u="1"/>
        <s v="1-1434407-2" u="1"/>
        <s v="1-1438232-2" u="1"/>
        <s v="1-1438324-2" u="1"/>
        <s v="1-1440813-3" u="1"/>
        <s v="12-1437538-2" u="1"/>
        <s v="1-1435495-2" u="1"/>
        <s v="1-1429996-4" u="1"/>
        <s v="1-1430406-2" u="1"/>
        <s v="1-1434231-2" u="1"/>
        <s v="1-1438516-2" u="1"/>
        <s v="10-1430970-2" u="1"/>
        <s v="1-1432106-8" u="1"/>
        <s v="1-1432522-5" u="1"/>
        <s v="1-1429988-5" u="1"/>
        <s v="1-1430506-2" u="1"/>
        <s v="1-1434023-4" u="1"/>
        <s v="1-1434607-2" u="1"/>
        <s v="12-1431970-6" u="1"/>
        <s v="12-1438142-3" u="1"/>
        <s v="1-1431578-3" u="1"/>
        <s v="1-1430330-2" u="1"/>
        <s v="1-1433079-2" u="1"/>
        <s v="1-1434431-2" u="1"/>
        <s v="1-1434707-2" u="1"/>
        <s v="1-1438808-2" u="1"/>
        <s v="1-1441094-1" u="1"/>
        <s v="1-1431786-2" u="1"/>
        <s v="1-1431986-1" u="1"/>
        <s v="1-1432122-8" u="1"/>
        <s v="1-1435687-3" u="1"/>
        <s v="1-1435887-2" u="1"/>
        <s v="1-1435979-2" u="1"/>
        <s v="1-1429162-12" u="1"/>
        <s v="12-1430005-5" u="1"/>
        <s v="13-1435033-2" u="1"/>
        <s v="1-1429988-6" u="1"/>
        <s v="1-1430614-2" u="1"/>
        <s v="1-1434023-5" u="1"/>
        <s v="1-1434531-2" u="1"/>
        <s v="1-1434623-2" u="1"/>
        <s v="1-1437188-2" u="1"/>
        <s v="1-1425188-2" u="1"/>
        <s v="11-1431377-4" u="1"/>
        <s v="12-1434073-3" u="1"/>
        <s v="1-1430806-2" u="1"/>
        <s v="1-1433095-2" u="1"/>
        <s v="1-1433479-1" u="1"/>
        <s v="1-1437288-2" u="1"/>
        <s v="1-1432015-2" u="1"/>
        <s v="1-1432107-2" u="1"/>
        <s v="1-1429290-11" u="1"/>
        <s v="11-1431565-3" u="1"/>
        <s v="11-1431581-2" u="1"/>
        <s v="1-1429988-7" u="1"/>
        <s v="1-1430722-2" u="1"/>
        <s v="1-1430814-2" u="1"/>
        <s v="1-1430906-2" u="1"/>
        <s v="1-1434423-4" u="1"/>
        <s v="1-1438616-4" u="1"/>
        <s v="1-1438832-2" u="1"/>
        <s v="1-1432023-2" u="1"/>
        <s v="1-1436308-2" u="1"/>
        <s v="1-1441286-2" u="1"/>
        <s v="1-1431578-5" u="1"/>
        <s v="1-1431994-2" u="1"/>
        <s v="1-1436415-9" u="1"/>
        <s v="1-1440206-2" u="1"/>
        <s v="1-1440314-1" u="1"/>
        <s v="10-1430989-3" u="1"/>
        <s v="1-1430622-3" u="1"/>
        <s v="1-1430822-2" u="1"/>
        <s v="1-1430914-2" u="1"/>
        <s v="1-1433387-2" u="1"/>
        <s v="12-1435918-10" u="1"/>
        <s v="1-1432107-3" u="1"/>
        <s v="1-1436008-4" u="1"/>
        <s v="1-1440030-2" u="1"/>
        <s v="1-1440306-2" u="1"/>
        <s v="1-1429522-14" u="1"/>
        <s v="1-1430830-2" u="1"/>
        <s v="1-1430922-2" u="1"/>
        <s v="1-1433579-2" u="1"/>
        <s v="1-1434931-2" u="1"/>
        <s v="1-1437496-2" u="1"/>
        <s v="1-1438616-5" u="1"/>
        <s v="1-1432115-3" u="1"/>
        <s v="1-1432407-2" u="1"/>
        <s v="1-1436216-3" u="1"/>
        <s v="1-1436308-3" u="1"/>
        <s v="1-1440114-3" u="1"/>
        <s v="1-1433295-3" u="1"/>
        <s v="1-1433587-2" u="1"/>
        <s v="1-1423987-4" u="1"/>
        <s v="1-1432031-3" u="1"/>
        <s v="1-1432107-4" u="1"/>
        <s v="1-1432507-2" u="1"/>
        <s v="1-1436316-3" u="1"/>
        <s v="1-1429789-2" u="1"/>
        <s v="1-1429989-1" u="1"/>
        <s v="10-1437650-4" u="1"/>
        <s v="1-1429522-24" u="1"/>
        <s v="1-1434423-6" u="1"/>
        <s v="1-1437788-2" u="1"/>
        <s v="12-1430428-3" u="1"/>
        <s v="1-1432607-2" u="1"/>
        <s v="1-1436308-4" u="1"/>
        <s v="1-1436524-2" u="1"/>
        <s v="1-1429797-2" u="1"/>
        <s v="1-1428717-2" u="1"/>
        <s v="1-1433695-2" u="1"/>
        <s v="1-1437888-2" u="1"/>
        <s v="13-1435228-2" u="1"/>
        <s v="1-1432107-5" u="1"/>
        <s v="1-1432323-3" u="1"/>
        <s v="1-1432431-2" u="1"/>
        <s v="1-1436008-6" u="1"/>
        <s v="1-1433892-10" u="1"/>
        <s v="1-1420907-1" u="1"/>
        <s v="1-1424916-1" u="1"/>
        <s v="1-1428741-1" u="1"/>
        <s v="1-1433395-4" u="1"/>
        <s v="1-1433979-2" u="1"/>
        <s v="1-1434423-7" u="1"/>
        <s v="1-1437896-2" u="1"/>
        <s v="1-1438616-7" u="1"/>
        <s v="12-1432536-2" u="1"/>
        <s v="1-1436308-5" u="1"/>
        <s v="1-1436632-2" u="1"/>
        <s v="1-1436724-2" u="1"/>
        <s v="1-1429997-2" u="1"/>
        <s v="1-1424524-3" u="1"/>
        <s v="1-1424908-2" u="1"/>
        <s v="1-1440622-2" u="1"/>
        <s v="1-1432631-2" u="1"/>
        <s v="1-1436008-7" u="1"/>
        <s v="1-1436532-3" u="1"/>
        <s v="1-1439389-2" u="1"/>
        <s v="1-1434040-1" u="1"/>
        <s v="1-1438217-2" u="1"/>
        <s v="1-1435995-6" u="1"/>
        <s v="1-1433887-3" u="1"/>
        <s v="1-1438616-8" u="1"/>
        <s v="11-1431564-3" u="1"/>
        <s v="11-1431580-2" u="1"/>
        <s v="1-1435388-2" u="1"/>
        <s v="1-1436308-6" u="1"/>
        <s v="1-1436740-2" u="1"/>
        <s v="1-1436832-2" u="1"/>
        <s v="1-1436924-2" u="1"/>
        <s v="1-1438117-3" u="1"/>
        <s v="1-1435709-13" u="1"/>
        <s v="1-1424724-3" u="1"/>
        <s v="1-1428733-3" u="1"/>
        <s v="1-1437888-4" u="1"/>
        <s v="1-1431095-3" u="1"/>
        <s v="1-1431295-2" u="1"/>
        <s v="1-1436008-8" u="1"/>
        <s v="1-1439497-2" u="1"/>
        <s v="12-1431399-2" u="1"/>
        <s v="1-1434040-2" u="1"/>
        <s v="1-1434316-2" u="1"/>
        <s v="1-1438325-2" u="1"/>
        <s v="1-1440922-2" u="1"/>
        <s v="1-1434423-9" u="1"/>
        <s v="12-1439388-2" u="1"/>
        <s v="1-1431487-2" u="1"/>
        <s v="1-1432715-4" u="1"/>
        <s v="1-1435588-2" u="1"/>
        <s v="1-1434124-3" u="1"/>
        <s v="1-1438317-3" u="1"/>
        <s v="1-1438517-2" u="1"/>
        <s v="1-1438809-1" u="1"/>
        <s v="1-1424940-2" u="1"/>
        <s v="1-1437888-5" u="1"/>
        <s v="1-1436008-9" u="1"/>
        <s v="1-1439897-1" u="1"/>
        <s v="1-1430231-2" u="1"/>
        <s v="1-1434608-2" u="1"/>
        <s v="1-1438341-2" u="1"/>
        <s v="10-1437741-4" u="1"/>
        <s v="1-1431779-2" u="1"/>
        <s v="1-1435696-2" u="1"/>
        <s v="1-1435788-2" u="1"/>
        <s v="1-1430331-2" u="1"/>
        <s v="1-1440914-4" u="1"/>
        <s v="1-1437888-6" u="1"/>
        <s v="11-1436472-3" u="1"/>
        <s v="1-1431679-3" u="1"/>
        <s v="1-1435596-3" u="1"/>
        <s v="1-1430615-2" u="1"/>
        <s v="1-1433088-2" u="1"/>
        <s v="1-1434532-2" u="1"/>
        <s v="1-1437389-1" u="1"/>
        <s v="1-1438725-2" u="1"/>
        <s v="1-1438909-2" u="1"/>
        <s v="12-1438144-16" u="1"/>
        <s v="1-1435988-2" u="1"/>
        <s v="11-1431587-3" u="1"/>
        <s v="1-1430223-4" u="1"/>
        <s v="1-1430807-2" u="1"/>
        <s v="1-1432016-2" u="1"/>
        <s v="1-1437888-7" u="1"/>
        <s v="1-1430631-2" u="1"/>
        <s v="1-1430907-2" u="1"/>
        <s v="1-1430923-1" u="1"/>
        <s v="1-1434640-2" u="1"/>
        <s v="1-1434716-3" u="1"/>
        <s v="1-1434916-2" u="1"/>
        <s v="1-1432116-2" u="1"/>
        <s v="1-1432208-2" u="1"/>
        <s v="1-1436309-2" u="1"/>
        <s v="1-1440023-2" u="1"/>
        <s v="10-1430999-3" u="1"/>
        <s v="12-1432603-2" u="1"/>
        <s v="13-1438135-2" u="1"/>
        <s v="1-1430407-5" u="1"/>
        <s v="1-1430823-2" u="1"/>
        <s v="1-1430915-2" u="1"/>
        <s v="1-1433388-2" u="1"/>
        <s v="1-1434632-3" u="1"/>
        <s v="1-1434740-2" u="1"/>
        <s v="1-1432016-3" u="1"/>
        <s v="1-1432416-1" u="1"/>
        <s v="1-1437888-8" u="1"/>
        <s v="1-1440307-2" u="1"/>
        <s v="11-1432763-2" u="1"/>
        <s v="1-1433288-3" u="1"/>
        <s v="1-1433488-2" u="1"/>
        <s v="1-1437497-2" u="1"/>
        <s v="1-1432132-2" u="1"/>
        <s v="1-1436309-3" u="1"/>
        <s v="1-1436417-2" u="1"/>
        <s v="12-1434071-15" u="1"/>
        <s v="1-1429598-2" u="1"/>
        <s v="1-1441287-3" u="1"/>
        <s v="1-1440315-2" u="1"/>
        <s v="1-1433096-4" u="1"/>
        <s v="1-1437289-4" u="1"/>
        <s v="1-1423988-4" u="1"/>
        <s v="1-1432324-2" u="1"/>
        <s v="1-1432508-2" u="1"/>
        <s v="1-1436241-2" u="1"/>
        <s v="1-1436317-3" u="1"/>
        <s v="1-1436425-2" u="1"/>
        <s v="1-1437888-9" u="1"/>
        <s v="1-1441387-3" u="1"/>
        <s v="1-1430723-4" u="1"/>
        <s v="1-1433688-2" u="1"/>
        <s v="1-1432132-3" u="1"/>
        <s v="1-1432516-2" u="1"/>
        <s v="1-1436417-3" u="1"/>
        <s v="1-1436817-1" u="1"/>
        <s v="1-1437654-22" u="1"/>
        <s v="12-1434071-23" u="1"/>
        <s v="1-1429798-2" u="1"/>
        <s v="1-1434017-1" u="1"/>
        <s v="1-1433696-2" u="1"/>
        <s v="1-1437289-5" u="1"/>
        <s v="13-1433214-2" u="1"/>
        <s v="1-1432016-5" u="1"/>
        <s v="1-1432340-2" u="1"/>
        <s v="1-1436625-2" u="1"/>
        <s v="1-1433965-11" u="1"/>
        <s v="1-1430815-5" u="1"/>
        <s v="1-1433688-3" u="1"/>
        <s v="1-1437897-2" u="1"/>
        <s v="1-1432024-5" u="1"/>
        <s v="1-1432132-4" u="1"/>
        <s v="1-1432440-2" u="1"/>
        <s v="1-1432532-2" u="1"/>
        <s v="1-1432716-2" u="1"/>
        <s v="1-1436417-4" u="1"/>
        <s v="1-1430008-2" u="1"/>
        <s v="1-1438026-2" u="1"/>
        <s v="1-1392722-2" u="1"/>
        <s v="1-1440407-4" u="1"/>
        <s v="1-1432540-2" u="1"/>
        <s v="1-1436241-4" u="1"/>
        <s v="1-1432141-17" u="1"/>
        <s v="1-1429898-3" u="1"/>
        <s v="1-1430016-2" u="1"/>
        <s v="1-1438218-2" u="1"/>
        <s v="1-1424425-4" u="1"/>
        <s v="11-1431682-2" u="1"/>
        <s v="1-1432132-5" u="1"/>
        <s v="1-1435389-2" u="1"/>
        <s v="1-1436741-2" u="1"/>
        <s v="11-1441157-2" u="1"/>
        <s v="1-1430024-2" u="1"/>
        <s v="1-1430132-1" u="1"/>
        <s v="1-1438318-2" u="1"/>
        <s v="1-1437289-7" u="1"/>
        <s v="1-1432340-4" u="1"/>
        <s v="1-1432740-2" u="1"/>
        <s v="1-1432924-2" u="1"/>
        <s v="1-1436917-3" u="1"/>
        <s v="13-1432249-2" u="1"/>
        <s v="1-1434225-2" u="1"/>
        <s v="1-1434317-2" u="1"/>
        <s v="1-1434409-2" u="1"/>
        <s v="1-1440815-3" u="1"/>
        <s v="1-1433396-6" u="1"/>
        <s v="1-1431488-2" u="1"/>
        <s v="1-1435589-2" u="1"/>
        <s v="1-1430040-2" u="1"/>
        <s v="1-1430224-2" u="1"/>
        <s v="1-1434233-2" u="1"/>
        <s v="1-1434417-2" u="1"/>
        <s v="1-1424941-2" u="1"/>
        <s v="1-1437289-8" u="1"/>
        <s v="1-1435597-2" u="1"/>
        <s v="1-1430216-3" u="1"/>
        <s v="1-1434317-3" u="1"/>
        <s v="1-1434609-2" u="1"/>
        <s v="1-1438250-2" u="1"/>
        <s v="12-1429467-6" u="1"/>
        <s v="1-1425098-1" u="1"/>
        <s v="1-1427947-12" u="1"/>
        <s v="1-1431596-2" u="1"/>
        <s v="1-1432132-7" u="1"/>
        <s v="1-1435589-3" u="1"/>
        <s v="1-1435789-2" u="1"/>
        <s v="12-1430361-2" u="1"/>
        <s v="12-1431557-2" u="1"/>
        <s v="1-1430040-3" u="1"/>
        <s v="1-1430332-2" u="1"/>
        <s v="1-1433189-1" u="1"/>
        <s v="1-1434417-3" u="1"/>
        <s v="1-1434525-2" u="1"/>
        <s v="1-1431788-2" u="1"/>
        <s v="1-1435597-3" u="1"/>
        <s v="1-1435889-2" u="1"/>
        <s v="1-1435997-1" u="1"/>
        <s v="1-1430216-4" u="1"/>
        <s v="1-1430432-2" u="1"/>
        <s v="1-1430616-2" u="1"/>
        <s v="1-1433089-2" u="1"/>
        <s v="1-1433289-1" u="1"/>
        <s v="1-1434809-2" u="1"/>
        <s v="1-1438450-2" u="1"/>
        <s v="1-1438726-2" u="1"/>
        <s v="1-1432009-2" u="1"/>
        <s v="1-1436018-2" u="1"/>
        <s v="11-1436470-3" u="1"/>
        <s v="1-1431888-2" u="1"/>
        <s v="1-1432132-8" u="1"/>
        <s v="1-1440008-2" u="1"/>
        <s v="1-1430040-4" u="1"/>
        <s v="1-1430332-3" u="1"/>
        <s v="1-1430808-2" u="1"/>
        <s v="1-1433097-2" u="1"/>
        <s v="1-1434417-4" u="1"/>
        <s v="10-1431009-2" u="1"/>
        <s v="1-1432017-2" u="1"/>
        <s v="1-1436026-2" u="1"/>
        <s v="1-1436118-2" u="1"/>
        <s v="1-1435597-4" u="1"/>
        <s v="1-1440016-2" u="1"/>
        <s v="1-1440124-1" u="1"/>
        <s v="1-1430340-3" u="1"/>
        <s v="1-1434533-3" u="1"/>
        <s v="1-1434641-2" u="1"/>
        <s v="1-1438742-2" u="1"/>
        <s v="1-1432117-2" u="1"/>
        <s v="1-1432209-2" u="1"/>
        <s v="1-1436018-3" u="1"/>
        <s v="1-1436415-10" u="1"/>
        <s v="1-1435697-4" u="1"/>
        <s v="1-1435989-3" u="1"/>
        <s v="1-1440008-3" u="1"/>
        <s v="11-1431681-2" u="1"/>
        <s v="1-1430040-5" u="1"/>
        <s v="1-1430732-2" u="1"/>
        <s v="1-1430824-2" u="1"/>
        <s v="1-1430916-2" u="1"/>
        <s v="1-1434741-2" u="1"/>
        <s v="1-1434833-2" u="1"/>
        <s v="1-1438918-3" u="1"/>
        <s v="12-1435918-11" u="1"/>
        <s v="1-1432217-2" u="1"/>
        <s v="1-1436226-2" u="1"/>
        <s v="1-1435597-5" u="1"/>
        <s v="1-1440032-2" u="1"/>
        <s v="1-1440308-2" u="1"/>
        <s v="1-1430216-6" u="1"/>
        <s v="1-1430724-3" u="1"/>
        <s v="1-1430908-3" u="1"/>
        <s v="1-1433489-2" u="1"/>
        <s v="1-1434841-2" u="1"/>
        <s v="1-1437498-2" u="1"/>
        <s v="1-1432409-2" u="1"/>
        <s v="1-1436018-4" u="1"/>
        <s v="1-1436050-2" u="1"/>
        <s v="1-1436142-2" u="1"/>
        <s v="1-1436234-2" u="1"/>
        <s v="1-1436418-2" u="1"/>
        <s v="1-1437655-12" u="1"/>
        <s v="1-1429599-2" u="1"/>
        <s v="1-1441488-2" u="1"/>
        <s v="1-1422130-28" u="1"/>
        <s v="1-1440008-4" u="1"/>
        <s v="12-1437357-3" u="1"/>
        <s v="1-1430040-6" u="1"/>
        <s v="1-1433389-3" u="1"/>
        <s v="1-1438750-3" u="1"/>
        <s v="1-1428750-7" u="1"/>
        <s v="1-1432141-2" u="1"/>
        <s v="1-1432417-2" u="1"/>
        <s v="1-1436134-3" u="1"/>
        <s v="1-1436150-2" u="1"/>
        <s v="1-1436426-2" u="1"/>
        <s v="12-1429986-3" u="1"/>
        <s v="1-1435597-6" u="1"/>
        <s v="1-1421290-21" u="1"/>
        <s v="1-1429988-10" u="1"/>
        <s v="1-1430908-4" u="1"/>
        <s v="1-1433689-2" u="1"/>
        <s v="1-1434841-3" u="1"/>
        <s v="1-1423997-4" u="1"/>
        <s v="1-1432517-2" u="1"/>
        <s v="1-1436018-5" u="1"/>
        <s v="1-1436434-2" u="1"/>
        <s v="1-1437655-22" u="1"/>
        <s v="1-1429799-2" u="1"/>
        <s v="1-1441396-3" u="1"/>
        <s v="10-1435910-4" u="1"/>
        <s v="10-1438746-5" u="1"/>
        <s v="1-1430040-7" u="1"/>
        <s v="1-1430824-4" u="1"/>
        <s v="1-1428732-10" u="1"/>
        <s v="1-1432141-3" u="1"/>
        <s v="1-1432341-2" u="1"/>
        <s v="1-1432525-2" u="1"/>
        <s v="1-1432617-2" u="1"/>
        <s v="1-1436134-4" u="1"/>
        <s v="1-1436534-2" u="1"/>
        <s v="1-1436626-2" u="1"/>
        <s v="1-1437791-11" u="1"/>
        <s v="1-1428727-2" u="1"/>
        <s v="1-1428743-1" u="1"/>
        <s v="1-1440708-2" u="1"/>
        <s v="1-1430908-5" u="1"/>
        <s v="1-1433889-2" u="1"/>
        <s v="12-1431360-2" u="1"/>
        <s v="1-1432441-2" u="1"/>
        <s v="1-1432533-2" u="1"/>
        <s v="1-1436342-3" u="1"/>
        <s v="1-1436542-2" u="1"/>
        <s v="1-1436818-2" u="1"/>
        <s v="1-1430040-8" u="1"/>
        <s v="1-1433789-3" u="1"/>
        <s v="1-1437998-2" u="1"/>
        <s v="1-1431097-2" u="1"/>
        <s v="1-1432141-4" u="1"/>
        <s v="1-1432541-2" u="1"/>
        <s v="1-1432633-2" u="1"/>
        <s v="1-1436134-5" u="1"/>
        <s v="1-1429899-3" u="1"/>
        <s v="1-1438219-2" u="1"/>
        <s v="1-1440708-3" u="1"/>
        <s v="1-1440816-2" u="1"/>
        <s v="1-1440908-2" u="1"/>
        <s v="1-1430908-6" u="1"/>
        <s v="1-1436218-6" u="1"/>
        <s v="1-1436742-2" u="1"/>
        <s v="1-1436818-3" u="1"/>
        <s v="1-1436926-2" u="1"/>
        <s v="1-1439399-2" u="1"/>
        <s v="1-1430209-2" u="1"/>
        <s v="1-1434126-2" u="1"/>
        <s v="1-1435567-11" u="1"/>
        <s v="1-1428751-2" u="1"/>
        <s v="1-1440008-7" u="1"/>
        <s v="1-1440640-2" u="1"/>
        <s v="10-1434761-4" u="1"/>
        <s v="1-1430040-9" u="1"/>
        <s v="1-1437998-3" u="1"/>
        <s v="1-1432141-5" u="1"/>
        <s v="1-1436134-6" u="1"/>
        <s v="1-1436750-2" u="1"/>
        <s v="1-1439299-3" u="1"/>
        <s v="1-1439499-2" u="1"/>
        <s v="1-1434226-2" u="1"/>
        <s v="1-1438235-2" u="1"/>
        <s v="1-1433397-6" u="1"/>
        <s v="1-1433997-3" u="1"/>
        <s v="1-1432933-2" u="1"/>
        <s v="1-1436818-4" u="1"/>
        <s v="1-1429049-12" u="1"/>
        <s v="1-1430041-2" u="1"/>
        <s v="1-1430333-1" u="1"/>
        <s v="1-1434234-2" u="1"/>
        <s v="1-1438243-2" u="1"/>
        <s v="1-1438319-3" u="1"/>
        <s v="1-1438335-2" u="1"/>
        <s v="1-1440008-8" u="1"/>
        <s v="1-1440640-3" u="1"/>
        <s v="1-1437998-4" u="1"/>
        <s v="1-1431297-3" u="1"/>
        <s v="1-1435598-2" u="1"/>
        <s v="1-1436134-7" u="1"/>
        <s v="1-1436826-4" u="1"/>
        <s v="1-1430325-2" u="1"/>
        <s v="1-1434334-2" u="1"/>
        <s v="1-1438527-2" u="1"/>
        <s v="1-1431597-2" u="1"/>
        <s v="1-1431689-2" u="1"/>
        <s v="10-1441091-3" u="1"/>
        <s v="12-1431091-3" u="1"/>
        <s v="1-1430041-3" u="1"/>
        <s v="1-1430609-2" u="1"/>
        <s v="1-1434634-1" u="1"/>
        <s v="1-1438335-3" u="1"/>
        <s v="1-1438351-2" u="1"/>
        <s v="1-1440008-9" u="1"/>
        <s v="1-1434718-2" u="1"/>
        <s v="1-1438451-2" u="1"/>
        <s v="12-1438144-17" u="1"/>
        <s v="1-1432118-1" u="1"/>
        <s v="1-1436019-2" u="1"/>
        <s v="1-1440940-3" u="1"/>
        <s v="10-1429729-2" u="1"/>
        <s v="1-1431889-2" u="1"/>
        <s v="1-1435698-3" u="1"/>
        <s v="1-1430209-5" u="1"/>
        <s v="1-1430717-2" u="1"/>
        <s v="1-1433098-2" u="1"/>
        <s v="1-1434326-4" u="1"/>
        <s v="1-1434742-1" u="1"/>
        <s v="1-1438335-4" u="1"/>
        <s v="1-1438264-16" u="1"/>
        <s v="1-1432018-2" u="1"/>
        <s v="1-1440017-2" u="1"/>
        <s v="1-1429529-13" u="1"/>
        <s v="1-1430725-2" u="1"/>
        <s v="1-1430817-2" u="1"/>
        <s v="1-1430909-2" u="1"/>
        <s v="12-1438144-25" u="1"/>
        <s v="1-1436035-2" u="1"/>
        <s v="1-1436235-1" u="1"/>
        <s v="1-1425299-2" u="1"/>
        <s v="1-1440209-2" u="1"/>
        <s v="10-1423328-4" u="1"/>
        <s v="1-1430209-6" u="1"/>
        <s v="1-1430641-2" u="1"/>
        <s v="1-1430825-2" u="1"/>
        <s v="1-1430917-2" u="1"/>
        <s v="1-1434650-2" u="1"/>
        <s v="1-1434834-2" u="1"/>
        <s v="1-1438335-5" u="1"/>
        <s v="1-1432126-2" u="1"/>
        <s v="1-1432141-9" u="1"/>
        <s v="1-1440309-2" u="1"/>
        <s v="1-1434842-2" u="1"/>
        <s v="1-1437499-2" u="1"/>
        <s v="12-1434071-16" u="1"/>
        <s v="1-1440009-4" u="1"/>
        <s v="1-1430733-3" u="1"/>
        <s v="1-1434642-4" u="1"/>
        <s v="12-1431486-2" u="1"/>
        <s v="13-1434258-2" u="1"/>
        <s v="1-1432334-2" u="1"/>
        <s v="1-1432426-2" u="1"/>
        <s v="1-1436051-3" u="1"/>
        <s v="1-1432139-16" u="1"/>
        <s v="1-1433867-11" u="1"/>
        <s v="12-1434071-24" u="1"/>
        <s v="1-1440809-1" u="1"/>
        <s v="12-1437543-2" u="1"/>
        <s v="1-1430209-8" u="1"/>
        <s v="1-1433698-2" u="1"/>
        <s v="1-1434850-3" u="1"/>
        <s v="1-1432326-3" u="1"/>
        <s v="1-1432526-2" u="1"/>
        <s v="1-1432542-1" u="1"/>
        <s v="1-1436151-3" u="1"/>
        <s v="1-1436627-2" u="1"/>
        <s v="1-1436643-1" u="1"/>
        <s v="1-1434027-1" u="1"/>
        <s v="1-1428744-1" u="1"/>
        <s v="1-1433998-1" u="1"/>
        <s v="1-1434950-3" u="1"/>
        <s v="1-1437899-2" u="1"/>
        <s v="12-1431646-2" u="1"/>
        <s v="1-1432442-2" u="1"/>
        <s v="1-1436343-3" u="1"/>
        <s v="1-1434035-1" u="1"/>
        <s v="1-1430209-9" u="1"/>
        <s v="1-1437999-2" u="1"/>
        <s v="13-1435034-3" u="1"/>
        <s v="1-1436551-2" u="1"/>
        <s v="1-1436919-2" u="1"/>
        <s v="1-1434027-2" u="1"/>
        <s v="1-1438328-1" u="1"/>
        <s v="1-1435376-11" u="1"/>
        <s v="1-1440817-2" u="1"/>
        <s v="1-1433398-5" u="1"/>
        <s v="1-1432426-4" u="1"/>
        <s v="1-1436543-3" u="1"/>
        <s v="1-1436927-2" u="1"/>
        <s v="1-1434035-2" u="1"/>
        <s v="1-1434127-2" u="1"/>
        <s v="1-1438336-1" u="1"/>
        <s v="1-1424727-3" u="1"/>
        <s v="1-1428752-2" u="1"/>
        <s v="11-1439875-2" u="1"/>
        <s v="1-1432726-3" u="1"/>
        <s v="1-1436751-2" u="1"/>
        <s v="1-1436827-3" u="1"/>
        <s v="1-1430418-1" u="1"/>
        <s v="1-1434227-2" u="1"/>
        <s v="1-1438128-3" u="1"/>
        <s v="1-1438236-2" u="1"/>
        <s v="1-1428760-2" u="1"/>
        <s v="1-1440833-2" u="1"/>
        <s v="10-1433423-7" u="1"/>
        <s v="11-1431370-4" u="1"/>
        <s v="1-1432426-5" u="1"/>
        <s v="1-1432550-3" u="1"/>
        <s v="1-1432842-2" u="1"/>
        <s v="1-1432918-3" u="1"/>
        <s v="1-1430042-2" u="1"/>
        <s v="1-1434235-2" u="1"/>
        <s v="1-1434419-2" u="1"/>
        <s v="1-1438152-2" u="1"/>
        <s v="1-1438260-1" u="1"/>
        <s v="1-1435544-13" u="1"/>
        <s v="1-1422143-2" u="1"/>
        <s v="1-1426352-1" u="1"/>
        <s v="1-1431298-3" u="1"/>
        <s v="13-1430313-2" u="1"/>
        <s v="1-1430050-2" u="1"/>
        <s v="1-1440941-2" u="1"/>
        <s v="1-1431598-2" u="1"/>
        <s v="1-1432426-6" u="1"/>
        <s v="1-1432950-2" u="1"/>
        <s v="1-1435699-2" u="1"/>
        <s v="10-1441485-2" u="1"/>
        <s v="1-1430042-3" u="1"/>
        <s v="1-1430626-1" u="1"/>
        <s v="1-1434435-2" u="1"/>
        <s v="1-1434635-1" u="1"/>
        <s v="10-1429859-1" u="1"/>
        <s v="12-1437542-2" u="1"/>
        <s v="12-1439290-2" u="1"/>
        <s v="1-1430050-3" u="1"/>
        <s v="1-1430342-2" u="1"/>
        <s v="1-1434151-3" u="1"/>
        <s v="1-1438073-16" u="1"/>
        <s v="1-1423799-2" u="1"/>
        <s v="1-1428728-6" u="1"/>
        <s v="1-1440941-3" u="1"/>
        <s v="12-1431970-7" u="1"/>
        <s v="1-1430042-4" u="1"/>
        <s v="1-1430534-2" u="1"/>
        <s v="1-1438552-2" u="1"/>
        <s v="1-1432019-2" u="1"/>
        <s v="1-1435999-2" u="1"/>
        <s v="1-1429162-13" u="1"/>
        <s v="12-1434485-2" u="1"/>
        <s v="1-1430818-2" u="1"/>
        <s v="1-1434151-4" u="1"/>
        <s v="1-1434643-2" u="1"/>
        <s v="1-1434919-2" u="1"/>
        <s v="11-1441096-2" u="1"/>
        <s v="1-1432119-2" u="1"/>
        <s v="1-1432132-10" u="1"/>
        <s v="1-1430642-2" u="1"/>
        <s v="1-1430734-2" u="1"/>
        <s v="1-1430918-2" u="1"/>
        <s v="1-1433299-2" u="1"/>
        <s v="1-1434743-2" u="1"/>
        <s v="1-1434835-2" u="1"/>
        <s v="1-1438936-2" u="1"/>
        <s v="12-1435918-12" u="1"/>
        <s v="1-1435799-4" u="1"/>
        <s v="1-1429290-12" u="1"/>
        <s v="1-1430726-3" u="1"/>
        <s v="1-1434843-2" u="1"/>
        <s v="1-1438760-2" u="1"/>
        <s v="1-1432227-2" u="1"/>
        <s v="1-1436328-2" u="1"/>
        <s v="1-1430550-3" u="1"/>
        <s v="1-1430642-3" u="1"/>
        <s v="1-1433699-1" u="1"/>
        <s v="1-1434851-2" u="1"/>
        <s v="1-1434943-2" u="1"/>
        <s v="13-1431152-2" u="1"/>
        <s v="12-1435918-20" u="1"/>
        <s v="1-1432035-3" u="1"/>
        <s v="1-1432143-2" u="1"/>
        <s v="1-1436060-2" u="1"/>
        <s v="1-1440234-2" u="1"/>
        <s v="1-1429522-15" u="1"/>
        <s v="1-1432319-3" u="1"/>
        <s v="1-1432335-2" u="1"/>
        <s v="1-1432427-2" u="1"/>
        <s v="1-1438029-1" u="1"/>
        <s v="10-1436942-4" u="1"/>
        <s v="1-1428737-1" u="1"/>
        <s v="1-1440242-2" u="1"/>
        <s v="1-1430042-7" u="1"/>
        <s v="1-1430642-4" u="1"/>
        <s v="1-1430842-3" u="1"/>
        <s v="1-1432619-2" u="1"/>
        <s v="1-1436152-3" u="1"/>
        <s v="1-1436260-2" u="1"/>
        <s v="1-1434028-1" u="1"/>
        <s v="1-1428745-1" u="1"/>
        <s v="1-1434951-3" u="1"/>
        <s v="12-1430428-4" u="1"/>
        <s v="13-1436176-2" u="1"/>
        <s v="1-1432719-2" u="1"/>
        <s v="1-1436544-2" u="1"/>
        <s v="1-1436728-2" u="1"/>
        <s v="1-1434036-1" u="1"/>
        <s v="1-1424452-2" u="1"/>
        <s v="1-1440626-2" u="1"/>
        <s v="1-1430950-3" u="1"/>
        <s v="10-1437005-2" u="1"/>
        <s v="1-1431099-2" u="1"/>
        <s v="1-1432451-2" u="1"/>
        <s v="1-1432543-2" u="1"/>
        <s v="1-1432727-2" u="1"/>
        <s v="1-1436552-2" u="1"/>
        <s v="1-1436644-2" u="1"/>
        <s v="1-1436736-2" u="1"/>
        <s v="1-1433892-11" u="1"/>
        <s v="1-1434028-2" u="1"/>
        <s v="1-1440818-2" u="1"/>
        <s v="1-1433399-5" u="1"/>
        <s v="12-1430712-2" u="1"/>
        <s v="12-1431708-3" u="1"/>
        <s v="1-1432151-4" u="1"/>
        <s v="1-1432551-2" u="1"/>
        <s v="1-1436744-2" u="1"/>
        <s v="1-1434036-2" u="1"/>
        <s v="1-1430040-10" u="1"/>
        <s v="1-1430642-6" u="1"/>
        <s v="1-1432527-4" u="1"/>
        <s v="1-1432635-3" u="1"/>
        <s v="1-1436460-3" u="1"/>
        <s v="1-1436752-2" u="1"/>
        <s v="1-1436828-3" u="1"/>
        <s v="1-1436936-2" u="1"/>
        <s v="1-1438237-2" u="1"/>
        <s v="1-1438329-2" u="1"/>
        <s v="1-1428729-4" u="1"/>
        <s v="1-1440650-2" u="1"/>
        <s v="1-1440818-3" u="1"/>
        <s v="1-1432935-2" u="1"/>
        <s v="1-1436760-2" u="1"/>
        <s v="1-1430043-2" u="1"/>
        <s v="1-1430227-2" u="1"/>
        <s v="1-1438445-1" u="1"/>
        <s v="1-1440950-1" u="1"/>
        <s v="1-1430051-2" u="1"/>
        <s v="1-1430143-2" u="1"/>
        <s v="1-1430219-3" u="1"/>
        <s v="1-1434152-2" u="1"/>
        <s v="1-1440742-3" u="1"/>
        <s v="1-1440942-2" u="1"/>
        <s v="12-1430575-2" u="1"/>
        <s v="1-1430043-3" u="1"/>
        <s v="1-1434252-2" u="1"/>
        <s v="1-1434528-2" u="1"/>
        <s v="1-1438353-2" u="1"/>
        <s v="1-1440008-10" u="1"/>
        <s v="1-1428753-4" u="1"/>
        <s v="1-1436460-5" u="1"/>
        <s v="1-1430051-3" u="1"/>
        <s v="1-1430343-2" u="1"/>
        <s v="1-1434536-2" u="1"/>
        <s v="1-1438729-2" u="1"/>
        <s v="12-1438144-18" u="1"/>
        <s v="1-1424952-3" u="1"/>
        <s v="1-1430443-2" u="1"/>
        <s v="1-1430627-2" u="1"/>
        <s v="1-1430719-2" u="1"/>
        <s v="1-1434636-2" u="1"/>
        <s v="1-1438153-4" u="1"/>
        <s v="1-1438553-2" u="1"/>
        <s v="1-1438629-3" u="1"/>
        <s v="1-1430642-9" u="1"/>
        <s v="1-1440035-1" u="1"/>
        <s v="1-1440127-1" u="1"/>
        <s v="1-1430819-2" u="1"/>
        <s v="1-1434460-2" u="1"/>
        <s v="1-1434644-2" u="1"/>
        <s v="1-1434828-2" u="1"/>
        <s v="1-1438561-2" u="1"/>
        <s v="12-1438144-26" u="1"/>
        <s v="1-1436037-2" u="1"/>
        <s v="1-1440119-2" u="1"/>
        <s v="1-1430443-3" u="1"/>
        <s v="1-1430643-2" u="1"/>
        <s v="1-1430919-2" u="1"/>
        <s v="1-1434744-2" u="1"/>
        <s v="1-1434836-2" u="1"/>
        <s v="1-1434852-1" u="1"/>
        <s v="1-1438153-5" u="1"/>
        <s v="1-1438553-3" u="1"/>
        <s v="1-1438753-2" u="1"/>
        <s v="1-1432036-2" u="1"/>
        <s v="12-1434071-4" u="1"/>
        <s v="1-1430451-3" u="1"/>
        <s v="1-1434136-6" u="1"/>
        <s v="1-1438561-3" u="1"/>
        <s v="1-1436329-2" u="1"/>
        <s v="12-1434071-17" u="1"/>
        <s v="1-1430443-4" u="1"/>
        <s v="1-1430551-3" u="1"/>
        <s v="1-1430643-3" u="1"/>
        <s v="1-1430827-3" u="1"/>
        <s v="1-1434560-3" u="1"/>
        <s v="1-1438153-6" u="1"/>
        <s v="13-1430242-2" u="1"/>
        <s v="1-1432141-20" u="1"/>
        <s v="1-1440235-2" u="1"/>
        <s v="1-1434660-3" u="1"/>
        <s v="1-1437654-13" u="1"/>
        <s v="12-1434071-25" u="1"/>
        <s v="1-1428738-1" u="1"/>
        <s v="1-1430443-5" u="1"/>
        <s v="1-1432160-2" u="1"/>
        <s v="1-1432252-2" u="1"/>
        <s v="1-1432528-2" u="1"/>
        <s v="1-1436153-3" u="1"/>
        <s v="1-1436261-2" u="1"/>
        <s v="1-1434029-1" u="1"/>
        <s v="1-1440251-2" u="1"/>
        <s v="1-1430835-4" u="1"/>
        <s v="1-1437654-23" u="1"/>
        <s v="1-1434037-1" u="1"/>
        <s v="1-1440627-2" u="1"/>
        <s v="1-1438153-8" u="1"/>
        <s v="12-1433386-3" u="1"/>
        <s v="1-1432452-2" u="1"/>
        <s v="1-1432544-2" u="1"/>
        <s v="1-1432636-2" u="1"/>
        <s v="1-1436737-2" u="1"/>
        <s v="1-1434029-2" u="1"/>
        <s v="1-1438038-2" u="1"/>
        <s v="1-1424737-2" u="1"/>
        <s v="1-1440651-1" u="1"/>
        <s v="1-1440819-2" u="1"/>
        <s v="12-1437603-3" u="1"/>
        <s v="1-1432060-4" u="1"/>
        <s v="1-1432552-2" u="1"/>
        <s v="1-1436653-2" u="1"/>
        <s v="1-1436745-2" u="1"/>
        <s v="1-1434037-2" u="1"/>
        <s v="1-1428754-2" u="1"/>
        <s v="1-1440643-2" u="1"/>
        <s v="13-1429987-2" u="1"/>
        <s v="12-1431614-3" u="1"/>
        <s v="1-1432560-2" u="1"/>
        <s v="1-1432836-2" u="1"/>
        <s v="1-1432928-2" u="1"/>
        <s v="1-1436461-3" u="1"/>
        <s v="1-1436937-2" u="1"/>
        <s v="1-1432141-18" u="1"/>
        <s v="10-1430002-2" u="1"/>
        <s v="1-1434061-1" u="1"/>
        <s v="1-1438146-2" u="1"/>
        <s v="1-1438238-2" u="1"/>
        <s v="1-1440743-2" u="1"/>
        <s v="10-1435991-3" u="1"/>
        <s v="1-1432936-2" u="1"/>
        <s v="1-1436761-2" u="1"/>
        <s v="1-1436853-2" u="1"/>
        <s v="1-1436945-2" u="1"/>
        <s v="1-1430044-2" u="1"/>
        <s v="1-1434037-3" u="1"/>
        <s v="1-1424945-2" u="1"/>
        <s v="1-1440843-2" u="1"/>
        <s v="13-1430241-2" u="1"/>
        <s v="1-1430052-2" u="1"/>
        <s v="1-1430236-2" u="1"/>
        <s v="1-1430328-2" u="1"/>
        <s v="1-1438070-2" u="1"/>
        <s v="12-1430794-10" u="1"/>
        <s v="1-1440727-4" u="1"/>
        <s v="1-1432752-3" u="1"/>
        <s v="1-1430044-3" u="1"/>
        <s v="1-1434037-4" u="1"/>
        <s v="1-1434129-4" u="1"/>
        <s v="1-1434529-2" u="1"/>
        <s v="1-1440843-3" u="1"/>
        <s v="1-1440951-2" u="1"/>
        <s v="12-1436642-2" u="1"/>
        <s v="1-1436461-5" u="1"/>
        <s v="12-1431493-2" u="1"/>
        <s v="1-1430052-3" u="1"/>
        <s v="1-1430328-3" u="1"/>
        <s v="1-1434537-2" u="1"/>
        <s v="1-1438362-2" u="1"/>
        <s v="1-1440727-5" u="1"/>
        <s v="11-1439911-3" u="1"/>
        <s v="12-1429467-7" u="1"/>
        <s v="1-1430044-4" u="1"/>
        <s v="1-1430260-2" u="1"/>
        <s v="1-1430336-3" u="1"/>
        <s v="1-1434637-2" u="1"/>
        <s v="1-1434729-2" u="1"/>
        <s v="1-1434837-1" u="1"/>
        <s v="1-1430052-4" u="1"/>
        <s v="1-1430328-4" u="1"/>
        <s v="1-1430360-2" u="1"/>
        <s v="1-1434461-2" u="1"/>
        <s v="1-1438362-3" u="1"/>
        <s v="1-1438470-2" u="1"/>
        <s v="1-1438654-2" u="1"/>
        <s v="1-1440727-6" u="1"/>
        <s v="1-1430044-5" u="1"/>
        <s v="1-1430552-2" u="1"/>
        <s v="1-1434545-3" u="1"/>
        <s v="1-1434637-3" u="1"/>
        <s v="1-1438170-4" u="1"/>
        <s v="12-1435918-13" u="1"/>
        <s v="1-1436937-6" u="1"/>
        <s v="1-1440236-1" u="1"/>
        <s v="11-1431985-2" u="1"/>
        <s v="1-1430052-5" u="1"/>
        <s v="1-1430328-5" u="1"/>
        <s v="1-1434461-3" u="1"/>
        <s v="1-1438362-4" u="1"/>
        <s v="1-1438762-2" u="1"/>
        <s v="1-1438946-2" u="1"/>
        <s v="1-1440727-7" u="1"/>
        <s v="1-1422937-2" u="1"/>
        <s v="1-1440228-2" u="1"/>
        <s v="1-1430828-3" u="1"/>
        <s v="1-1434637-4" u="1"/>
        <s v="12-1435918-21" u="1"/>
        <s v="1-1432529-1" u="1"/>
        <s v="1-1436046-3" u="1"/>
        <s v="1-1422145-6" u="1"/>
        <s v="12-1434825-2" u="1"/>
        <s v="1-1430052-6" u="1"/>
        <s v="1-1434461-4" u="1"/>
        <s v="1-1438362-5" u="1"/>
        <s v="1-1438870-2" u="1"/>
        <s v="1-1436238-3" u="1"/>
        <s v="1-1436438-2" u="1"/>
        <s v="1-1437655-13" u="1"/>
        <s v="1-1437747-13" u="1"/>
        <s v="1-1420229-3" u="1"/>
        <s v="1-1428739-1" u="1"/>
        <s v="1-1434637-5" u="1"/>
        <s v="1-1432345-2" u="1"/>
        <s v="1-1436370-1" u="1"/>
        <s v="1-1422145-7" u="1"/>
        <s v="1-1440252-2" u="1"/>
        <s v="1-1440328-3" u="1"/>
        <s v="1-1421290-22" u="1"/>
        <s v="1-1429988-11" u="1"/>
        <s v="1-1434461-5" u="1"/>
        <s v="13-1436288-2" u="1"/>
        <s v="1-1436362-2" u="1"/>
        <s v="1-1440727-9" u="1"/>
        <s v="1-1437655-23" u="1"/>
        <s v="1-1434038-1" u="1"/>
        <s v="1-1434637-6" u="1"/>
        <s v="10-1437209-2" u="1"/>
        <s v="10-1441280-3" u="1"/>
        <s v="1-1432345-3" u="1"/>
        <s v="1-1432361-2" u="1"/>
        <s v="1-1432453-2" u="1"/>
        <s v="1-1432637-2" u="1"/>
        <s v="1-1436154-4" u="1"/>
        <s v="1-1436462-2" u="1"/>
        <s v="1-1437791-12" u="1"/>
        <s v="1-1422145-8" u="1"/>
        <s v="1-1428271-3" u="1"/>
        <s v="1-1440452-2" u="1"/>
        <s v="1-1421290-32" u="1"/>
        <s v="1-1434461-6" u="1"/>
        <s v="13-1438288-2" u="1"/>
        <s v="1-1432461-2" u="1"/>
        <s v="1-1432553-2" u="1"/>
        <s v="1-1436654-2" u="1"/>
        <s v="1-1436746-2" u="1"/>
        <s v="1-1434038-2" u="1"/>
        <s v="1-1434146-1" u="1"/>
        <s v="1-1438155-1" u="1"/>
        <s v="1-1434637-7" u="1"/>
        <s v="1-1432345-4" u="1"/>
        <s v="1-1432561-2" u="1"/>
        <s v="1-1432637-3" u="1"/>
        <s v="1-1432745-2" u="1"/>
        <s v="1-1436754-2" u="1"/>
        <s v="1-1440728-3" u="1"/>
        <s v="1-1440836-2" u="1"/>
        <s v="1-1440944-1" u="1"/>
        <s v="1-1434461-7" u="1"/>
        <s v="1-1432629-4" u="1"/>
        <s v="1-1432661-2" u="1"/>
        <s v="1-1436746-3" u="1"/>
        <s v="1-1436762-2" u="1"/>
        <s v="1-1436946-2" u="1"/>
        <s v="1-1430045-2" u="1"/>
        <s v="1-1438063-2" u="1"/>
        <s v="1-1440660-2" u="1"/>
        <s v="1-1432545-4" u="1"/>
        <s v="1-1432637-4" u="1"/>
        <s v="1-1432761-2" u="1"/>
        <s v="1-1432945-2" u="1"/>
        <s v="1-1430053-2" u="1"/>
        <s v="1-1430145-2" u="1"/>
        <s v="1-1430237-2" u="1"/>
        <s v="1-1430329-2" u="1"/>
        <s v="1-1440728-4" u="1"/>
        <s v="1-1434461-8" u="1"/>
        <s v="1-1432753-3" u="1"/>
        <s v="1-1436746-4" u="1"/>
        <s v="1-1429049-13" u="1"/>
        <s v="1-1430045-3" u="1"/>
        <s v="1-1430061-2" u="1"/>
        <s v="1-1430337-2" u="1"/>
        <s v="1-1430429-2" u="1"/>
        <s v="1-1434254-2" u="1"/>
        <s v="1-1440660-3" u="1"/>
        <s v="1-1440952-2" u="1"/>
        <s v="1-1422146-3" u="1"/>
        <s v="1-1436008-11" u="1"/>
        <s v="1-1432345-6" u="1"/>
        <s v="1-1432637-5" u="1"/>
        <s v="1-1432761-3" u="1"/>
        <s v="1-1430053-3" u="1"/>
        <s v="1-1430145-3" u="1"/>
        <s v="1-1430329-3" u="1"/>
        <s v="1-1430345-2" u="1"/>
        <s v="1-1434170-2" u="1"/>
        <s v="1-1434262-2" u="1"/>
        <s v="1-1434538-2" u="1"/>
        <s v="1-1438255-3" u="1"/>
        <s v="12-1438144-19" u="1"/>
        <s v="1-1420945-3" u="1"/>
        <s v="1-1440728-5" u="1"/>
        <s v="1-1436746-5" u="1"/>
        <s v="1-1430261-2" u="1"/>
        <s v="1-1430445-2" u="1"/>
        <s v="1-1434054-4" u="1"/>
        <s v="1-1434546-2" u="1"/>
        <s v="1-1434638-2" u="1"/>
        <s v="1-1438371-2" u="1"/>
        <s v="1-1440860-3" u="1"/>
        <s v="1-1422146-4" u="1"/>
        <s v="12-1438144-5" u="1"/>
        <s v="1-1432345-7" u="1"/>
        <s v="1-1432761-4" u="1"/>
        <s v="1-1440037-1" u="1"/>
        <s v="1-1430145-4" u="1"/>
        <s v="1-1430837-1" u="1"/>
        <s v="1-1434170-3" u="1"/>
        <s v="1-1434246-4" u="1"/>
        <s v="1-1438439-4" u="1"/>
        <s v="12-1438144-27" u="1"/>
        <s v="1-1440960-3" u="1"/>
        <s v="1-1433339-13" u="1"/>
        <s v="10-1439961-4" u="1"/>
        <s v="12-1430131-5" u="1"/>
        <s v="1-1430261-3" u="1"/>
        <s v="1-1430445-3" u="1"/>
        <s v="1-1430829-2" u="1"/>
        <s v="1-1434270-3" u="1"/>
        <s v="1-1434470-2" u="1"/>
        <s v="1-1434654-2" u="1"/>
        <s v="1-1438264-17" u="1"/>
        <s v="1-1440860-4" u="1"/>
        <s v="1-1422146-5" u="1"/>
        <s v="1-1432345-8" u="1"/>
        <s v="1-1436938-6" u="1"/>
        <s v="1-1429529-14" u="1"/>
        <s v="12-1431807-3" u="1"/>
        <s v="1-1430145-5" u="1"/>
        <s v="1-1434170-4" u="1"/>
        <s v="1-1434570-2" u="1"/>
        <s v="1-1434754-2" u="1"/>
        <s v="1-1438763-2" u="1"/>
        <s v="1-1440728-7" u="1"/>
        <s v="12-1434071-18" u="1"/>
        <s v="1-1440029-3" u="1"/>
        <s v="11-1431767-4" u="1"/>
        <s v="12-1435491-2" u="1"/>
        <s v="1-1430261-4" u="1"/>
        <s v="1-1430445-4" u="1"/>
        <s v="1-1434470-3" u="1"/>
        <s v="1-1434670-2" u="1"/>
        <s v="1-1438755-3" u="1"/>
        <s v="1-1424508-11" u="1"/>
        <s v="10-1432007-3" u="1"/>
        <s v="1-1422146-6" u="1"/>
        <s v="1-1440237-2" u="1"/>
        <s v="1-1430145-6" u="1"/>
        <s v="1-1430853-2" u="1"/>
        <s v="1-1430945-2" u="1"/>
        <s v="1-1434170-5" u="1"/>
        <s v="1-1434662-3" u="1"/>
        <s v="1-1436071-2" u="1"/>
        <s v="1-1436347-2" u="1"/>
        <s v="1-1440728-8" u="1"/>
        <s v="12-1434071-26" u="1"/>
        <s v="11-1429528-2" u="1"/>
        <s v="1-1430261-5" u="1"/>
        <s v="1-1430445-5" u="1"/>
        <s v="1-1430829-4" u="1"/>
        <s v="1-1430953-2" u="1"/>
        <s v="1-1434070-6" u="1"/>
        <s v="1-1434470-4" u="1"/>
        <s v="1-1427069-12" u="1"/>
        <s v="13-1432354-2" u="1"/>
        <s v="1-1432070-2" u="1"/>
        <s v="1-1432254-2" u="1"/>
        <s v="1-1432438-2" u="1"/>
        <s v="1-1436539-2" u="1"/>
        <s v="1-1422146-7" u="1"/>
        <s v="1-1439300-1" u="1"/>
        <s v="10-1436944-5" u="1"/>
        <s v="1-1428748-1" u="1"/>
        <s v="1-1440253-2" u="1"/>
        <s v="1-1440329-3" u="1"/>
        <s v="1-1440345-2" u="1"/>
        <s v="10-1429688-2" u="1"/>
        <s v="12-1437755-2" u="1"/>
        <s v="1-1430961-2" u="1"/>
        <s v="1-1434954-3" u="1"/>
        <s v="1-1432446-2" u="1"/>
        <s v="1-1432538-2" u="1"/>
        <s v="1-1436439-3" u="1"/>
        <s v="1-1436563-1" u="1"/>
        <s v="1-1433867-12" u="1"/>
        <s v="1-1434039-1" u="1"/>
        <s v="1-1430261-6" u="1"/>
        <s v="1-1434070-7" u="1"/>
        <s v="1-1434854-4" u="1"/>
        <s v="1-1432362-2" u="1"/>
        <s v="1-1432454-2" u="1"/>
        <s v="1-1432546-2" u="1"/>
        <s v="1-1432638-2" u="1"/>
        <s v="1-1424739-2" u="1"/>
        <s v="1-1440453-2" u="1"/>
        <s v="1-1440637-2" u="1"/>
        <s v="1-1434970-3" u="1"/>
        <s v="1-1432370-2" u="1"/>
        <s v="1-1432554-2" u="1"/>
        <s v="1-1432738-2" u="1"/>
        <s v="1-1436655-2" u="1"/>
        <s v="1-1436855-1" u="1"/>
        <s v="1-1432379-15" u="1"/>
        <s v="1-1434039-2" u="1"/>
        <s v="1-1440553-2" u="1"/>
        <s v="1-1430261-7" u="1"/>
        <s v="1-1432762-1" u="1"/>
        <s v="1-1436371-3" u="1"/>
        <s v="1-1436463-3" u="1"/>
        <s v="1-1436663-2" u="1"/>
        <s v="1-1436755-2" u="1"/>
        <s v="1-1439500-2" u="1"/>
        <s v="1-1435376-12" u="1"/>
        <s v="1-1440345-4" u="1"/>
        <s v="1-1440653-2" u="1"/>
        <s v="1-1432846-2" u="1"/>
        <s v="1-1436763-2" u="1"/>
        <s v="1-1436947-2" u="1"/>
        <s v="10-1431206-2" u="1"/>
        <s v="1-1430046-2" u="1"/>
        <s v="1-1434039-3" u="1"/>
        <s v="1-1434147-2" u="1"/>
        <s v="1-1438064-2" u="1"/>
        <s v="1-1438080-1" u="1"/>
        <s v="1-1440661-2" u="1"/>
        <s v="1-1440753-2" u="1"/>
        <s v="1-1440845-2" u="1"/>
        <s v="1-1422147-2" u="1"/>
        <s v="1-1430261-8" u="1"/>
        <s v="1-1434854-6" u="1"/>
        <s v="1-1432946-2" u="1"/>
        <s v="12-1425058-2" u="1"/>
        <s v="1-1438072-2" u="1"/>
        <s v="1-1429900-5" u="1"/>
        <s v="1-1440653-3" u="1"/>
        <s v="1-1436871-2" u="1"/>
        <s v="10-1436058-2" u="1"/>
        <s v="13-1431461-1" u="1"/>
        <s v="1-1430338-2" u="1"/>
        <s v="1-1434039-4" u="1"/>
        <s v="1-1438264-2" u="1"/>
        <s v="1-1435544-14" u="1"/>
        <s v="12-1430794-9" u="1"/>
        <s v="1-1422147-3" u="1"/>
        <s v="1-1434371-1" u="1"/>
        <s v="1-1434539-2" u="1"/>
        <s v="10-1429687-2" u="1"/>
        <s v="1-1432770-3" u="1"/>
        <s v="1-1430046-4" u="1"/>
        <s v="1-1430446-2" u="1"/>
        <s v="1-1434639-2" u="1"/>
        <s v="1-1438264-3" u="1"/>
        <s v="1-1438372-2" u="1"/>
        <s v="1-1438556-2" u="1"/>
        <s v="1-1440029-9" u="1"/>
        <s v="1-1422147-4" u="1"/>
        <s v="12-1431970-8" u="1"/>
        <s v="1-1422371-2" u="1"/>
        <s v="12-1438142-5" u="1"/>
        <s v="10-1440617-4" u="1"/>
        <s v="1-1430046-5" u="1"/>
        <s v="1-1430370-2" u="1"/>
        <s v="1-1430446-3" u="1"/>
        <s v="1-1430462-2" u="1"/>
        <s v="1-1430554-2" u="1"/>
        <s v="1-1434471-2" u="1"/>
        <s v="1-1438264-4" u="1"/>
        <s v="1-1438572-2" u="1"/>
        <s v="12-1435918-14" u="1"/>
        <s v="1-1424963-4" u="1"/>
        <s v="1-1436048-2" u="1"/>
        <s v="1-1422147-5" u="1"/>
        <s v="1-1434663-2" u="1"/>
        <s v="1-1434755-2" u="1"/>
        <s v="1-1438764-2" u="1"/>
        <s v="1-1436056-2" u="1"/>
        <s v="1-1437500-2" u="1"/>
        <s v="12-1431621-3" u="1"/>
        <s v="1-1434671-2" u="1"/>
        <s v="1-1434947-2" u="1"/>
        <s v="1-1438264-5" u="1"/>
        <s v="10-1433137-2" u="1"/>
        <s v="12-1435918-22" u="1"/>
        <s v="1-1430854-2" u="1"/>
        <s v="1-1434955-2" u="1"/>
        <s v="1-1438980-1" u="1"/>
        <s v="10-1435149-2" u="1"/>
        <s v="1-1432155-2" u="1"/>
        <s v="1-1429801-2" u="1"/>
        <s v="1-1430862-2" u="1"/>
        <s v="1-1430954-2" u="1"/>
        <s v="1-1434855-3" u="1"/>
        <s v="1-1438264-6" u="1"/>
        <s v="12-1430788-2" u="1"/>
        <s v="1-1432439-2" u="1"/>
        <s v="1-1436264-2" u="1"/>
        <s v="1-1436280-1" u="1"/>
        <s v="1-1429901-2" u="1"/>
        <s v="1-1430962-2" u="1"/>
        <s v="1-1434847-4" u="1"/>
        <s v="1-1438980-2" u="1"/>
        <s v="1-1440727-10" u="1"/>
        <s v="1-1432139-4" u="1"/>
        <s v="1-1432171-2" u="1"/>
        <s v="1-1432355-2" u="1"/>
        <s v="1-1432539-2" u="1"/>
        <s v="1-1436564-1" u="1"/>
        <s v="1-1429601-4" u="1"/>
        <s v="1-1440354-2" u="1"/>
        <s v="10-1429686-2" u="1"/>
        <s v="1-1438264-7" u="1"/>
        <s v="10-1441084-5" u="1"/>
        <s v="1-1432547-2" u="1"/>
        <s v="1-1436264-3" u="1"/>
        <s v="1-1436372-2" u="1"/>
        <s v="1-1439301-2" u="1"/>
        <s v="1-1440454-2" u="1"/>
        <s v="1-1438980-3" u="1"/>
        <s v="1-1432139-5" u="1"/>
        <s v="1-1432371-2" u="1"/>
        <s v="1-1432555-2" u="1"/>
        <s v="1-1436656-2" u="1"/>
        <s v="1-1436856-1" u="1"/>
        <s v="1-1440462-2" u="1"/>
        <s v="1-1440662-1" u="1"/>
        <s v="1-1434855-5" u="1"/>
        <s v="10-1438109-3" u="1"/>
        <s v="12-1432672-2" u="1"/>
        <s v="12-1433668-3" u="1"/>
        <s v="1-1432839-2" u="1"/>
        <s v="1-1436664-2" u="1"/>
        <s v="1-1436756-2" u="1"/>
        <s v="1-1433892-12" u="1"/>
        <s v="1-1430039-2" u="1"/>
        <s v="1-1434156-1" u="1"/>
        <s v="1-1439501-2" u="1"/>
        <s v="1-1440654-2" u="1"/>
        <s v="1-1438980-4" u="1"/>
        <s v="1-1432447-4" u="1"/>
        <s v="1-1432847-2" u="1"/>
        <s v="1-1436948-2" u="1"/>
        <s v="1-1430047-2" u="1"/>
        <s v="1-1435100-4" u="1"/>
        <s v="1-1438081-1" u="1"/>
        <s v="1-1438157-2" u="1"/>
        <s v="1-1438264-9" u="1"/>
        <s v="1-1436264-5" u="1"/>
        <s v="1-1436464-4" u="1"/>
        <s v="1-1430039-3" u="1"/>
        <s v="1-1430055-2" u="1"/>
        <s v="1-1435600-2" u="1"/>
        <s v="1-1440654-3" u="1"/>
        <s v="1-1438980-5" u="1"/>
        <s v="1-1432571-3" u="1"/>
        <s v="1-1436548-5" u="1"/>
        <s v="1-1436764-3" u="1"/>
        <s v="1-1436872-2" u="1"/>
        <s v="1-1430047-3" u="1"/>
        <s v="1-1430063-2" u="1"/>
        <s v="1-1430339-2" u="1"/>
        <s v="1-1435700-2" u="1"/>
        <s v="1-1440662-3" u="1"/>
        <s v="11-1429537-2" u="1"/>
        <s v="1-1436264-6" u="1"/>
        <s v="1-1436464-5" u="1"/>
        <s v="1-1438273-2" u="1"/>
        <s v="1-1440870-2" u="1"/>
        <s v="1-1440946-3" u="1"/>
        <s v="1-1432139-8" u="1"/>
        <s v="1-1432447-6" u="1"/>
        <s v="1-1432971-2" u="1"/>
        <s v="1-1430047-4" u="1"/>
        <s v="1-1430171-2" u="1"/>
        <s v="1-1430447-2" u="1"/>
        <s v="1-1434380-1" u="1"/>
        <s v="1-1438465-2" u="1"/>
        <s v="1-1438557-2" u="1"/>
        <s v="1-1433100-2" u="1"/>
        <s v="1-1440770-3" u="1"/>
        <s v="1-1440970-2" u="1"/>
        <s v="10-1429685-2" u="1"/>
        <s v="1-1436264-7" u="1"/>
        <s v="1-1436464-6" u="1"/>
        <s v="1-1436556-6" u="1"/>
        <s v="1-1430055-4" u="1"/>
        <s v="1-1430547-2" u="1"/>
        <s v="1-1434372-2" u="1"/>
        <s v="1-1434464-2" u="1"/>
        <s v="1-1434480-1" u="1"/>
        <s v="1-1434756-1" u="1"/>
        <s v="1-1438257-4" u="1"/>
        <s v="1-1438749-2" u="1"/>
        <s v="1-1422372-2" u="1"/>
        <s v="1-1423800-3" u="1"/>
        <s v="1-1429110-3" u="1"/>
        <s v="1-1432139-9" u="1"/>
        <s v="1-1432447-7" u="1"/>
        <s v="1-1430555-2" u="1"/>
        <s v="1-1434380-2" u="1"/>
        <s v="1-1434472-2" u="1"/>
        <s v="1-1438573-2" u="1"/>
        <s v="1-1436264-8" u="1"/>
        <s v="1-1436464-7" u="1"/>
        <s v="1-1430039-6" u="1"/>
        <s v="1-1430055-5" u="1"/>
        <s v="1-1430563-2" u="1"/>
        <s v="1-1430839-2" u="1"/>
        <s v="1-1434848-2" u="1"/>
        <s v="1-1435800-4" u="1"/>
        <s v="1-1438073-5" u="1"/>
        <s v="1-1438749-3" u="1"/>
        <s v="1-1436057-2" u="1"/>
        <s v="1-1437501-2" u="1"/>
        <s v="12-1434071-19" u="1"/>
        <s v="1-1427701-5" u="1"/>
        <s v="13-1438283-2" u="1"/>
        <s v="1-1430847-2" u="1"/>
        <s v="1-1438773-2" u="1"/>
        <s v="1-1424964-5" u="1"/>
        <s v="1-1436081-1" u="1"/>
        <s v="1-1436157-2" u="1"/>
        <s v="1-1429610-2" u="1"/>
        <s v="1-1436464-8" u="1"/>
        <s v="12-1434071-5" u="1"/>
        <s v="1-1430039-7" u="1"/>
        <s v="1-1430055-6" u="1"/>
        <s v="1-1430855-2" u="1"/>
        <s v="1-1432048-3" u="1"/>
        <s v="1-1433600-2" u="1"/>
        <s v="1-1436073-2" u="1"/>
        <s v="1-1436149-3" u="1"/>
        <s v="1-1436349-2" u="1"/>
        <s v="1-1429602-3" u="1"/>
        <s v="1-1440247-2" u="1"/>
        <s v="1-1430955-2" u="1"/>
        <s v="1-1434948-3" u="1"/>
        <s v="1-1432072-2" u="1"/>
        <s v="1-1436357-2" u="1"/>
        <s v="1-1440862-6" u="1"/>
        <s v="1-1429902-2" u="1"/>
        <s v="1-1436464-9" u="1"/>
        <s v="1-1440255-2" u="1"/>
        <s v="1-1430039-8" u="1"/>
        <s v="1-1438073-7" u="1"/>
        <s v="1-1432448-2" u="1"/>
        <s v="1-1433800-2" u="1"/>
        <s v="1-1436457-2" u="1"/>
        <s v="1-1437654-14" u="1"/>
        <s v="1-1431000-2" u="1"/>
        <s v="1-1429910-2" u="1"/>
        <s v="12-1440790-5" u="1"/>
        <s v="13-1432718-2" u="1"/>
        <s v="1-1432072-3" u="1"/>
        <s v="1-1432348-3" u="1"/>
        <s v="1-1432548-2" u="1"/>
        <s v="1-1433700-3" u="1"/>
        <s v="1-1440862-7" u="1"/>
        <s v="1-1440455-2" u="1"/>
        <s v="1-1438749-6" u="1"/>
        <s v="12-1430670-2" u="1"/>
        <s v="1-1432080-3" u="1"/>
        <s v="1-1432372-2" u="1"/>
        <s v="1-1432556-2" u="1"/>
        <s v="1-1433400-5" u="1"/>
        <s v="1-1436473-2" u="1"/>
        <s v="1-1436565-2" u="1"/>
        <s v="1-1436749-2" u="1"/>
        <s v="1-1435501-1" u="1"/>
        <s v="1-1439402-2" u="1"/>
        <s v="1-1440647-2" u="1"/>
        <s v="1-1430209-11" u="1"/>
        <s v="13-1435362-2" u="1"/>
        <s v="1-1432272-3" u="1"/>
        <s v="1-1432364-3" u="1"/>
        <s v="1-1432380-2" u="1"/>
        <s v="1-1436757-2" u="1"/>
        <s v="1-1431100-3" u="1"/>
        <s v="1-1439502-2" u="1"/>
        <s v="1-1420564-2" u="1"/>
        <s v="1-1440655-2" u="1"/>
        <s v="1-1440947-1" u="1"/>
        <s v="1-1430963-4" u="1"/>
        <s v="1-1438073-9" u="1"/>
        <s v="1-1438749-7" u="1"/>
        <s v="1-1432448-4" u="1"/>
        <s v="1-1432480-2" u="1"/>
        <s v="1-1432848-2" u="1"/>
        <s v="1-1430064-1" u="1"/>
        <s v="1-1431400-2" u="1"/>
        <s v="1-1439510-2" u="1"/>
        <s v="1-1424949-2" u="1"/>
        <s v="1-1440647-3" u="1"/>
        <s v="1-1434070-10" u="1"/>
        <s v="1-1432948-2" u="1"/>
        <s v="1-1436557-4" u="1"/>
        <s v="1-1436957-2" u="1"/>
        <s v="1-1434065-2" u="1"/>
        <s v="1-1434249-2" u="1"/>
        <s v="1-1438090-1" u="1"/>
        <s v="1-1438166-2" u="1"/>
        <s v="1-1439610-2" u="1"/>
        <s v="1-1438749-8" u="1"/>
        <s v="1-1432464-4" u="1"/>
        <s v="1-1436781-2" u="1"/>
        <s v="1-1436873-2" u="1"/>
        <s v="1-1436965-2" u="1"/>
        <s v="1-1440647-4" u="1"/>
        <s v="1-1440939-3" u="1"/>
        <s v="1-1430261-10" u="1"/>
        <s v="12-1433830-2" u="1"/>
        <s v="1-1436881-2" u="1"/>
        <s v="1-1434249-3" u="1"/>
        <s v="1-1435601-3" u="1"/>
        <s v="1-1438166-3" u="1"/>
        <s v="1-1433001-2" u="1"/>
        <s v="1-1440963-2" u="1"/>
        <s v="1-1438749-9" u="1"/>
        <s v="12-1435918-3" u="1"/>
        <s v="1-1432448-6" u="1"/>
        <s v="1-1441000-2" u="1"/>
        <s v="1-1434181-2" u="1"/>
        <s v="1-1434365-2" u="1"/>
        <s v="1-1434381-1" u="1"/>
        <s v="1-1435701-3" u="1"/>
        <s v="1-1438466-2" u="1"/>
        <s v="1-1438558-2" u="1"/>
        <s v="1-1440029-10" u="1"/>
        <s v="1-1428666-5" u="1"/>
        <s v="1-1433101-2" u="1"/>
        <s v="1-1422365-2" u="1"/>
        <s v="1-1432980-2" u="1"/>
        <s v="13-1433453-2" u="1"/>
        <s v="1-1430548-2" u="1"/>
        <s v="1-1431500-4" u="1"/>
        <s v="1-1434373-2" u="1"/>
        <s v="1-1434557-2" u="1"/>
        <s v="1-1434757-1" u="1"/>
        <s v="1-1438166-4" u="1"/>
        <s v="1-1438382-2" u="1"/>
        <s v="1-1428058-9" u="1"/>
        <s v="12-1429467-8" u="1"/>
        <s v="1-1434273-3" u="1"/>
        <s v="1-1434473-2" u="1"/>
        <s v="1-1438758-2" u="1"/>
        <s v="12-1435918-15" u="1"/>
        <s v="1-1417311-2" u="1"/>
        <s v="1-1428666-6" u="1"/>
        <s v="1-1437202-3" u="1"/>
        <s v="1-1430564-2" u="1"/>
        <s v="1-1431500-5" u="1"/>
        <s v="1-1435801-4" u="1"/>
        <s v="1-1433601-1" u="1"/>
        <s v="1-1422757-2" u="1"/>
        <s v="1-1432448-8" u="1"/>
        <s v="1-1434673-2" u="1"/>
        <s v="1-1434765-2" u="1"/>
        <s v="1-1434857-2" u="1"/>
        <s v="1-1438758-3" u="1"/>
        <s v="12-1435918-23" u="1"/>
        <s v="1-1428666-7" u="1"/>
        <s v="1-1436066-2" u="1"/>
        <s v="1-1422949-2" u="1"/>
        <s v="1-1430548-4" u="1"/>
        <s v="1-1430856-2" u="1"/>
        <s v="1-1434773-2" u="1"/>
        <s v="10-1434157-2" u="1"/>
        <s v="1-1436074-2" u="1"/>
        <s v="1-1437410-3" u="1"/>
        <s v="1-1424258-2" u="1"/>
        <s v="1-1440248-2" u="1"/>
        <s v="1-1440356-1" u="1"/>
        <s v="1-1430280-4" u="1"/>
        <s v="1-1430956-2" u="1"/>
        <s v="1-1428666-8" u="1"/>
        <s v="1-1428790-6" u="1"/>
        <s v="1-1432165-2" u="1"/>
        <s v="1-1437710-2" u="1"/>
        <s v="1-1440348-2" u="1"/>
        <s v="1-1430948-3" u="1"/>
        <s v="1-1430964-2" u="1"/>
        <s v="1-1432081-2" u="1"/>
        <s v="1-1432449-2" u="1"/>
        <s v="1-1433801-2" u="1"/>
        <s v="1-1437655-14" u="1"/>
        <s v="1-1440080-2" u="1"/>
        <s v="1-1440448-2" u="1"/>
        <s v="1-1440648-1" u="1"/>
        <s v="1-1434965-3" u="1"/>
        <s v="1-1432181-2" u="1"/>
        <s v="1-1432549-2" u="1"/>
        <s v="1-1433701-3" u="1"/>
        <s v="1-1437710-3" u="1"/>
        <s v="1-1435110-2" u="1"/>
        <s v="1-1424190-2" u="1"/>
        <s v="1-1429903-3" u="1"/>
        <s v="1-1421290-23" u="1"/>
        <s v="1-1429988-12" u="1"/>
        <s v="13-1433452-2" u="1"/>
        <s v="1-1432373-2" u="1"/>
        <s v="1-1432557-2" u="1"/>
        <s v="1-1438590-5" u="1"/>
        <s v="1-1436082-4" u="1"/>
        <s v="1-1438059-2" u="1"/>
        <s v="1-1439503-2" u="1"/>
        <s v="1-1440180-3" u="1"/>
        <s v="1-1440656-2" u="1"/>
        <s v="1-1421290-33" u="1"/>
        <s v="1-1430780-4" u="1"/>
        <s v="1-1430980-3" u="1"/>
        <s v="1-1432573-2" u="1"/>
        <s v="1-1436674-2" u="1"/>
        <s v="1-1436690-1" u="1"/>
        <s v="1-1435502-2" u="1"/>
        <s v="1-1439511-2" u="1"/>
        <s v="1-1432949-2" u="1"/>
        <s v="1-1436666-3" u="1"/>
        <s v="1-1436758-3" u="1"/>
        <s v="1-1436958-2" u="1"/>
        <s v="1-1430149-2" u="1"/>
        <s v="1-1435510-2" u="1"/>
        <s v="1-1438059-3" u="1"/>
        <s v="1-1438259-2" u="1"/>
        <s v="1-1440672-2" u="1"/>
        <s v="1-1440764-2" u="1"/>
        <s v="12-1431812-3" u="1"/>
        <s v="1-1429004-2" u="1"/>
        <s v="1-1432281-4" u="1"/>
        <s v="1-1436366-5" u="1"/>
        <s v="1-1436658-4" u="1"/>
        <s v="1-1430065-2" u="1"/>
        <s v="1-1435610-2" u="1"/>
        <s v="1-1435702-2" u="1"/>
        <s v="1-1438359-2" u="1"/>
        <s v="1-1420081-5" u="1"/>
        <s v="1-1428667-4" u="1"/>
        <s v="12-1431800-3" u="1"/>
        <s v="1-1432873-2" u="1"/>
        <s v="1-1432949-3" u="1"/>
        <s v="1-1436666-4" u="1"/>
        <s v="1-1436866-3" u="1"/>
        <s v="1-1430057-3" u="1"/>
        <s v="1-1430149-3" u="1"/>
        <s v="1-1433002-2" u="1"/>
        <s v="1-1437011-2" u="1"/>
        <s v="1-1421002-2" u="1"/>
        <s v="1-1432681-3" u="1"/>
        <s v="1-1436366-6" u="1"/>
        <s v="10-1435144-2" u="1"/>
        <s v="1-1434366-2" u="1"/>
        <s v="1-1435810-2" u="1"/>
        <s v="1-1428667-5" u="1"/>
        <s v="1-1433010-2" u="1"/>
        <s v="1-1433102-2" u="1"/>
        <s v="1-1440772-3" u="1"/>
        <s v="1-1432781-3" u="1"/>
        <s v="1-1436666-5" u="1"/>
        <s v="1-1430257-3" u="1"/>
        <s v="1-1434482-1" u="1"/>
        <s v="1-1434558-2" u="1"/>
        <s v="1-1434758-1" u="1"/>
        <s v="1-1435602-4" u="1"/>
        <s v="1-1433110-2" u="1"/>
        <s v="1-1433202-2" u="1"/>
        <s v="1-1437411-1" u="1"/>
        <s v="1-1430465-2" u="1"/>
        <s v="1-1434182-3" u="1"/>
        <s v="1-1434474-2" u="1"/>
        <s v="1-1434674-1" u="1"/>
        <s v="10-1432179-2" u="1"/>
        <s v="1-1428667-6" u="1"/>
        <s v="1-1432058-1" u="1"/>
        <s v="1-1433502-1" u="1"/>
        <s v="12-1438144-6" u="1"/>
        <s v="1-1436666-6" u="1"/>
        <s v="1-1434390-2" u="1"/>
        <s v="1-1435802-4" u="1"/>
        <s v="1-1438583-2" u="1"/>
        <s v="1-1433402-2" u="1"/>
        <s v="1-1436059-2" u="1"/>
        <s v="1-1437011-4" u="1"/>
        <s v="1-1437503-2" u="1"/>
        <s v="1-1433339-14" u="1"/>
        <s v="1-1432139-20" u="1"/>
        <s v="1-1429604-2" u="1"/>
        <s v="1-1430665-2" u="1"/>
        <s v="1-1434182-4" u="1"/>
        <s v="1-1438264-18" u="1"/>
        <s v="1-1432258-1" u="1"/>
        <s v="1-1436067-2" u="1"/>
        <s v="1-1436666-7" u="1"/>
        <s v="1-1440149-2" u="1"/>
        <s v="1-1441501-2" u="1"/>
        <s v="1-1430257-5" u="1"/>
        <s v="1-1438767-3" u="1"/>
        <s v="1-1438783-2" u="1"/>
        <s v="1-1433602-2" u="1"/>
        <s v="1-1433710-1" u="1"/>
        <s v="1-1436259-2" u="1"/>
        <s v="1-1440065-2" u="1"/>
        <s v="1-1430573-3" u="1"/>
        <s v="1-1434182-5" u="1"/>
        <s v="1-1434690-2" u="1"/>
        <s v="1-1438591-3" u="1"/>
        <s v="1-1438975-2" u="1"/>
        <s v="10-1435075-2" u="1"/>
        <s v="11-1440554-2" u="1"/>
        <s v="1-1432074-2" u="1"/>
        <s v="1-1432258-2" u="1"/>
        <s v="1-1433702-2" u="1"/>
        <s v="1-1433810-1" u="1"/>
        <s v="1-1436175-2" u="1"/>
        <s v="1-1429812-2" u="1"/>
        <s v="1-1436666-8" u="1"/>
        <s v="1-1430057-7" u="1"/>
        <s v="1-1430873-2" u="1"/>
        <s v="1-1430949-3" u="1"/>
        <s v="1-1438767-4" u="1"/>
        <s v="10-1435139-3" u="1"/>
        <s v="1-1432082-2" u="1"/>
        <s v="1-1435103-2" u="1"/>
        <s v="1-1439004-3" u="1"/>
        <s v="1-1429912-2" u="1"/>
        <s v="1-1440049-4" u="1"/>
        <s v="1-1434182-6" u="1"/>
        <s v="1-1427069-13" u="1"/>
        <s v="12-1430794-2" u="1"/>
        <s v="1-1432074-3" u="1"/>
        <s v="1-1432258-3" u="1"/>
        <s v="1-1432458-2" u="1"/>
        <s v="1-1433810-2" u="1"/>
        <s v="1-1429720-3" u="1"/>
        <s v="1-1429904-3" u="1"/>
        <s v="1-1440073-3" u="1"/>
        <s v="1-1440657-1" u="1"/>
        <s v="1-1430039-10" u="1"/>
        <s v="1-1430057-8" u="1"/>
        <s v="1-1438767-5" u="1"/>
        <s v="13-1432342-3" u="1"/>
        <s v="1-1432374-2" u="1"/>
        <s v="1-1432558-2" u="1"/>
        <s v="1-1433802-3" u="1"/>
        <s v="1-1436459-3" u="1"/>
        <s v="1-1433867-13" u="1"/>
        <s v="1-1431002-3" u="1"/>
        <s v="1-1439220-2" u="1"/>
        <s v="1-1420574-1" u="1"/>
        <s v="1-1424567-2" u="1"/>
        <s v="1-1428776-1" u="1"/>
        <s v="1-1440649-2" u="1"/>
        <s v="13-1432714-2" u="1"/>
        <s v="1-1432258-4" u="1"/>
        <s v="1-1433810-3" u="1"/>
        <s v="1-1436083-4" u="1"/>
        <s v="1-1436283-3" u="1"/>
        <s v="1-1436759-2" u="1"/>
        <s v="1-1439504-2" u="1"/>
        <s v="1-1429720-4" u="1"/>
        <s v="1-1438073-10" u="1"/>
        <s v="1-1432482-2" u="1"/>
        <s v="1-1432574-2" u="1"/>
        <s v="1-1433802-4" u="1"/>
        <s v="1-1436675-2" u="1"/>
        <s v="1-1432379-16" u="1"/>
        <s v="1-1435503-2" u="1"/>
        <s v="1-1439420-2" u="1"/>
        <s v="1-1439512-2" u="1"/>
        <s v="1-1433810-4" u="1"/>
        <s v="1-1436667-3" u="1"/>
        <s v="1-1436775-2" u="1"/>
        <s v="1-1436867-2" u="1"/>
        <s v="1-1435511-2" u="1"/>
        <s v="1-1438168-2" u="1"/>
        <s v="1-1439612-2" u="1"/>
        <s v="1-1420582-2" u="1"/>
        <s v="1-1424959-2" u="1"/>
        <s v="1-1440949-2" u="1"/>
        <s v="1-1432482-3" u="1"/>
        <s v="1-1432590-2" u="1"/>
        <s v="1-1433802-5" u="1"/>
        <s v="1-1436783-2" u="1"/>
        <s v="1-1431510-2" u="1"/>
        <s v="1-1435303-4" u="1"/>
        <s v="1-1440681-2" u="1"/>
        <s v="1-1432874-2" u="1"/>
        <s v="1-1433810-5" u="1"/>
        <s v="1-1436667-4" u="1"/>
        <s v="1-1436883-2" u="1"/>
        <s v="1-1434083-2" u="1"/>
        <s v="1-1435803-2" u="1"/>
        <s v="1-1438476-1" u="1"/>
        <s v="1-1440765-3" u="1"/>
        <s v="1-1438749-10" u="1"/>
        <s v="1-1432482-4" u="1"/>
        <s v="1-1433802-6" u="1"/>
        <s v="1-1436459-6" u="1"/>
        <s v="1-1436891-2" u="1"/>
        <s v="1-1430358-2" u="1"/>
        <s v="1-1435303-5" u="1"/>
        <s v="1-1435703-3" u="1"/>
        <s v="1-1435811-2" u="1"/>
        <s v="1-1438468-2" u="1"/>
        <s v="1-1435544-15" u="1"/>
        <s v="1-1428976-3" u="1"/>
        <s v="1-1433103-2" u="1"/>
        <s v="1-1432890-2" u="1"/>
        <s v="1-1432982-2" u="1"/>
        <s v="1-1436667-5" u="1"/>
        <s v="1-1436959-4" u="1"/>
        <s v="1-1430090-2" u="1"/>
        <s v="1-1431902-2" u="1"/>
        <s v="1-1434559-2" u="1"/>
        <s v="1-1434759-1" u="1"/>
        <s v="1-1440765-4" u="1"/>
        <s v="1-1432482-5" u="1"/>
        <s v="1-1433802-7" u="1"/>
        <s v="12-1431885-2" u="1"/>
        <s v="1-1430190-2" u="1"/>
        <s v="1-1434275-3" u="1"/>
        <s v="1-1434291-2" u="1"/>
        <s v="1-1438576-2" u="1"/>
        <s v="1-1438668-2" u="1"/>
        <s v="12-1431970-11" u="1"/>
        <s v="12-1435918-16" u="1"/>
        <s v="1-1437312-2" u="1"/>
        <s v="1-1436667-6" u="1"/>
        <s v="1-1430090-3" u="1"/>
        <s v="1-1430566-2" u="1"/>
        <s v="1-1434575-2" u="1"/>
        <s v="1-1435603-5" u="1"/>
        <s v="1-1437012-4" u="1"/>
        <s v="1-1437212-3" u="1"/>
        <s v="1-1440765-5" u="1"/>
        <s v="1-1432482-6" u="1"/>
        <s v="1-1441310-2" u="1"/>
        <s v="12-1440324-2" u="1"/>
        <s v="12-1435918-24" u="1"/>
        <s v="1-1436068-2" u="1"/>
        <s v="1-1437512-2" u="1"/>
        <s v="12-1437502-5" u="1"/>
        <s v="1-1436667-7" u="1"/>
        <s v="12-1435897-2" u="1"/>
        <s v="1-1430090-4" u="1"/>
        <s v="1-1430582-2" u="1"/>
        <s v="1-1434775-2" u="1"/>
        <s v="1-1438784-2" u="1"/>
        <s v="1-1433203-4" u="1"/>
        <s v="1-1433311-3" u="1"/>
        <s v="1-1435104-1" u="1"/>
        <s v="1-1432482-7" u="1"/>
        <s v="1-1441310-3" u="1"/>
        <s v="1-1441510-2" u="1"/>
        <s v="1-1430390-3" u="1"/>
        <s v="1-1430774-2" u="1"/>
        <s v="1-1434691-2" u="1"/>
        <s v="1-1434783-2" u="1"/>
        <s v="1-1432075-2" u="1"/>
        <s v="1-1433411-3" u="1"/>
        <s v="1-1437712-2" u="1"/>
        <s v="1-1435112-1" u="1"/>
        <s v="1-1429705-3" u="1"/>
        <s v="1-1436667-8" u="1"/>
        <s v="1-1440074-2" u="1"/>
        <s v="10-1435073-2" u="1"/>
        <s v="13-1430244-4" u="1"/>
        <s v="1-1432175-2" u="1"/>
        <s v="1-1433803-2" u="1"/>
        <s v="1-1433911-1" u="1"/>
        <s v="1-1437720-2" u="1"/>
        <s v="1-1431003-2" u="1"/>
        <s v="1-1439005-3" u="1"/>
        <s v="11-1429538-3" u="1"/>
        <s v="1-1430790-2" u="1"/>
        <s v="1-1432091-2" u="1"/>
        <s v="1-1432459-2" u="1"/>
        <s v="1-1433811-2" u="1"/>
        <s v="1-1436084-3" u="1"/>
        <s v="1-1437620-3" u="1"/>
        <s v="1-1435020-2" u="1"/>
        <s v="1-1424468-2" u="1"/>
        <s v="1-1429705-4" u="1"/>
        <s v="1-1440074-3" u="1"/>
        <s v="1-1440182-2" u="1"/>
        <s v="1-1429522-17" u="1"/>
        <s v="1-1430090-6" u="1"/>
        <s v="1-1430982-2" u="1"/>
        <s v="1-1432375-2" u="1"/>
        <s v="1-1432467-2" u="1"/>
        <s v="1-1437720-3" u="1"/>
        <s v="1-1437920-2" u="1"/>
        <s v="1-1435304-2" u="1"/>
        <s v="1-1439005-4" u="1"/>
        <s v="1-1440558-2" u="1"/>
        <s v="1-1440758-1" u="1"/>
        <s v="11-1429530-2" u="1"/>
        <s v="1-1438592-5" u="1"/>
        <s v="1-1432275-3" u="1"/>
        <s v="1-1432291-2" u="1"/>
        <s v="1-1432475-2" u="1"/>
        <s v="1-1432567-2" u="1"/>
        <s v="1-1436776-1" u="1"/>
        <s v="1-1431011-3" u="1"/>
        <s v="1-1435312-2" u="1"/>
        <s v="1-1439505-2" u="1"/>
        <s v="1-1440074-4" u="1"/>
        <s v="1-1440658-2" u="1"/>
        <s v="1-1430090-7" u="1"/>
        <s v="1-1439812-8" u="1"/>
        <s v="13-1433724-2" u="1"/>
        <s v="1-1432667-2" u="1"/>
        <s v="1-1433911-3" u="1"/>
        <s v="1-1436292-3" u="1"/>
        <s v="1-1437720-4" u="1"/>
        <s v="1-1432084-17" u="1"/>
        <s v="1-1431311-2" u="1"/>
        <s v="1-1435412-2" u="1"/>
        <s v="1-1435504-2" u="1"/>
        <s v="1-1435520-1" u="1"/>
        <s v="1-1439513-2" u="1"/>
        <s v="1-1429913-4" u="1"/>
        <s v="1-1440190-3" u="1"/>
        <s v="1-1438592-6" u="1"/>
        <s v="10-1438309-3" u="1"/>
        <s v="1-1432075-5" u="1"/>
        <s v="1-1437712-5" u="1"/>
        <s v="1-1433892-13" u="1"/>
        <s v="13-1430679-2" u="1"/>
        <s v="1-1431011-4" u="1"/>
        <s v="1-1435512-2" u="1"/>
        <s v="1-1424868-2" u="1"/>
        <s v="1-1440766-2" u="1"/>
        <s v="1-1421004-1" u="1"/>
        <s v="1-1432591-2" u="1"/>
        <s v="1-1432867-2" u="1"/>
        <s v="1-1436784-2" u="1"/>
        <s v="1-1437720-5" u="1"/>
        <s v="10-1432336-2" u="1"/>
        <s v="1-1431603-2" u="1"/>
        <s v="1-1438069-3" u="1"/>
        <s v="1-1439713-2" u="1"/>
        <s v="1-1428777-3" u="1"/>
        <s v="1-1432075-6" u="1"/>
        <s v="1-1436868-3" u="1"/>
        <s v="1-1436884-2" u="1"/>
        <s v="1-1437712-6" u="1"/>
        <s v="12-1425268-2" u="1"/>
        <s v="1-1434068-3" u="1"/>
        <s v="1-1434084-2" u="1"/>
        <s v="1-1424284-5" u="1"/>
        <s v="1-1430690-6" u="1"/>
        <s v="13-1439456-3" u="1"/>
        <s v="1-1432791-2" u="1"/>
        <s v="1-1432867-3" u="1"/>
        <s v="1-1432975-2" u="1"/>
        <s v="1-1430359-2" u="1"/>
        <s v="1-1431511-3" u="1"/>
        <s v="1-1431803-2" u="1"/>
        <s v="1-1438469-2" u="1"/>
        <s v="1-1424984-2" u="1"/>
        <s v="1-1433104-2" u="1"/>
        <s v="1-1440682-3" u="1"/>
        <s v="1-1440882-2" u="1"/>
        <s v="1-1425005-3" u="1"/>
        <s v="1-1432075-7" u="1"/>
        <s v="13-1432563-2" u="1"/>
        <s v="1-1434068-4" u="1"/>
        <s v="1-1434284-2" u="1"/>
        <s v="1-1434468-2" u="1"/>
        <s v="1-1435604-4" u="1"/>
        <s v="1-1435804-3" u="1"/>
        <s v="1-1435912-2" u="1"/>
        <s v="1-1438169-4" u="1"/>
        <s v="1-1433204-2" u="1"/>
        <s v="1-1437013-3" u="1"/>
        <s v="1-1440890-2" u="1"/>
        <s v="1-1423204-6" u="1"/>
        <s v="1-1425121-2" u="1"/>
        <s v="1-1441311-1" u="1"/>
        <s v="10-1435140-2" u="1"/>
        <s v="12-1430575-4" u="1"/>
        <s v="13-1433655-2" u="1"/>
        <s v="1-1430467-2" u="1"/>
        <s v="1-1434292-2" u="1"/>
        <s v="1-1434568-2" u="1"/>
        <s v="1-1435720-3" u="1"/>
        <s v="1-1440008-12" u="1"/>
        <s v="1-1437405-2" u="1"/>
        <s v="1-1440774-4" u="1"/>
        <s v="1-1429230-2" u="1"/>
        <s v="1-1432075-8" u="1"/>
        <s v="1-1430091-3" u="1"/>
        <s v="1-1434392-2" u="1"/>
        <s v="1-1433220-2" u="1"/>
        <s v="1-1433404-2" u="1"/>
        <s v="1-1437213-3" u="1"/>
        <s v="1-1437505-2" u="1"/>
        <s v="12-1437540-4" u="1"/>
        <s v="10-1436312-2" u="1"/>
        <s v="1-1435704-5" u="1"/>
        <s v="1-1435812-4" u="1"/>
        <s v="1-1433412-2" u="1"/>
        <s v="1-1436069-2" u="1"/>
        <s v="1-1437513-2" u="1"/>
        <s v="1-1429230-3" u="1"/>
        <s v="1-1429706-2" u="1"/>
        <s v="1-1432075-9" u="1"/>
        <s v="1-1440059-2" u="1"/>
        <s v="1-1430583-2" u="1"/>
        <s v="1-1430767-2" u="1"/>
        <s v="1-1435712-5" u="1"/>
        <s v="10-1431519-2" u="1"/>
        <s v="1-1433604-2" u="1"/>
        <s v="1-1429622-2" u="1"/>
        <s v="1-1440067-2" u="1"/>
        <s v="12-1435987-2" u="1"/>
        <s v="1-1430467-4" u="1"/>
        <s v="1-1434692-2" u="1"/>
        <s v="1-1438977-2" u="1"/>
        <s v="1-1433612-2" u="1"/>
        <s v="1-1436085-2" u="1"/>
        <s v="1-1436177-2" u="1"/>
        <s v="1-1439106-2" u="1"/>
        <s v="1-1439214-1" u="1"/>
        <s v="1-1429230-4" u="1"/>
        <s v="1-1429722-2" u="1"/>
        <s v="1-1429906-2" u="1"/>
        <s v="1-1440091-1" u="1"/>
        <s v="12-1434071-6" u="1"/>
        <s v="1-1430875-2" u="1"/>
        <s v="1-1432068-3" u="1"/>
        <s v="1-1432084-2" u="1"/>
        <s v="1-1433420-3" u="1"/>
        <s v="1-1433712-2" u="1"/>
        <s v="1-1433804-2" u="1"/>
        <s v="1-1436185-2" u="1"/>
        <s v="1-1437213-5" u="1"/>
        <s v="1-1439006-3" u="1"/>
        <s v="1-1429730-2" u="1"/>
        <s v="13-1439763-1" u="1"/>
        <s v="1-1430791-2" u="1"/>
        <s v="1-1432092-2" u="1"/>
        <s v="1-1432368-2" u="1"/>
        <s v="1-1436193-2" u="1"/>
        <s v="1-1436469-2" u="1"/>
        <s v="1-1432141-22" u="1"/>
        <s v="1-1429230-5" u="1"/>
        <s v="1-1429522-4" u="1"/>
        <s v="1-1429814-3" u="1"/>
        <s v="1-1429922-2" u="1"/>
        <s v="1-1430783-3" u="1"/>
        <s v="1-1430967-3" u="1"/>
        <s v="1-1435712-7" u="1"/>
        <s v="10-1433403-2" u="1"/>
        <s v="1-1432084-3" u="1"/>
        <s v="1-1432192-2" u="1"/>
        <s v="1-1432268-3" u="1"/>
        <s v="1-1432284-2" u="1"/>
        <s v="1-1432576-1" u="1"/>
        <s v="1-1433804-3" u="1"/>
        <s v="1-1433912-2" u="1"/>
        <s v="1-1437654-15" u="1"/>
        <s v="13-1440105-2" u="1"/>
        <s v="1-1439006-4" u="1"/>
        <s v="1-1440467-2" u="1"/>
        <s v="1-1421313-27" u="1"/>
        <s v="1-1432568-2" u="1"/>
        <s v="1-1436193-3" u="1"/>
        <s v="1-1436669-2" u="1"/>
        <s v="1-1431304-2" u="1"/>
        <s v="1-1438078-1" u="1"/>
        <s v="1-1439414-2" u="1"/>
        <s v="1-1429522-5" u="1"/>
        <s v="1-1440659-2" u="1"/>
        <s v="10-1429884-2" u="1"/>
        <s v="12-1429359-2" u="1"/>
        <s v="1-1432068-5" u="1"/>
        <s v="1-1432084-4" u="1"/>
        <s v="1-1432192-3" u="1"/>
        <s v="1-1432484-2" u="1"/>
        <s v="1-1432668-2" u="1"/>
        <s v="1-1436369-4" u="1"/>
        <s v="1-1436493-2" u="1"/>
        <s v="1-1431020-3" u="1"/>
        <s v="1-1434077-1" u="1"/>
        <s v="1-1435413-2" u="1"/>
        <s v="1-1435505-2" u="1"/>
        <s v="1-1435521-1" u="1"/>
        <s v="1-1439422-2" u="1"/>
        <s v="1-1439514-2" u="1"/>
        <s v="1-1439606-2" u="1"/>
        <s v="1-1440267-4" u="1"/>
        <s v="1-1440667-2" u="1"/>
        <s v="1-1440759-2" u="1"/>
        <s v="1-1430209-12" u="1"/>
        <s v="13-1433722-2" u="1"/>
        <s v="13-1433906-2" u="1"/>
        <s v="1-1436285-4" u="1"/>
        <s v="1-1436869-2" u="1"/>
        <s v="1-1431012-4" u="1"/>
        <s v="1-1431320-2" u="1"/>
        <s v="1-1431412-2" u="1"/>
        <s v="1-1435421-2" u="1"/>
        <s v="1-1435513-2" u="1"/>
        <s v="1-1435605-2" u="1"/>
        <s v="1-1439522-2" u="1"/>
        <s v="1-1429522-6" u="1"/>
        <s v="1-1440659-3" u="1"/>
        <s v="1-1432192-4" u="1"/>
        <s v="1-1432284-4" u="1"/>
        <s v="1-1432484-3" u="1"/>
        <s v="1-1432576-3" u="1"/>
        <s v="10-1431518-2" u="1"/>
        <s v="1-1431512-2" u="1"/>
        <s v="1-1431604-2" u="1"/>
        <s v="1-1434369-1" u="1"/>
        <s v="1-1435413-3" u="1"/>
        <s v="1-1435705-2" u="1"/>
        <s v="1-1392690-2" u="1"/>
        <s v="1-1440959-2" u="1"/>
        <s v="10-1438111-3" u="1"/>
        <s v="1-1432876-2" u="1"/>
        <s v="1-1436885-2" u="1"/>
        <s v="1-1436993-1" u="1"/>
        <s v="1-1439614-3" u="1"/>
        <s v="1-1439906-2" u="1"/>
        <s v="1-1429100-11" u="1"/>
        <s v="1-1429522-7" u="1"/>
        <s v="1-1437014-2" u="1"/>
        <s v="1-1432084-6" u="1"/>
        <s v="1-1432192-5" u="1"/>
        <s v="1-1432576-4" u="1"/>
        <s v="1-1432792-2" u="1"/>
        <s v="1-1433820-5" u="1"/>
        <s v="1-1436893-2" u="1"/>
        <s v="1-1430084-2" u="1"/>
        <s v="1-1431912-1" u="1"/>
        <s v="1-1438286-2" u="1"/>
        <s v="1-1437006-3" u="1"/>
        <s v="1-1440575-4" u="1"/>
        <s v="1-1440775-3" u="1"/>
        <s v="1-1440883-2" u="1"/>
        <s v="1-1423905-2" u="1"/>
        <s v="1-1421013-2" u="1"/>
        <s v="1-1436285-6" u="1"/>
        <s v="1-1436377-6" u="1"/>
        <s v="1-1436977-3" u="1"/>
        <s v="10-1440997-2" u="1"/>
        <s v="1-1430276-2" u="1"/>
        <s v="1-1435913-2" u="1"/>
        <s v="1-1439830-2" u="1"/>
        <s v="1-1437014-3" u="1"/>
        <s v="1-1437214-2" u="1"/>
        <s v="1-1437306-2" u="1"/>
        <s v="12-1435918-4" u="1"/>
        <s v="1-1425122-2" u="1"/>
        <s v="1-1425214-2" u="1"/>
        <s v="1-1432576-5" u="1"/>
        <s v="1-1430468-2" u="1"/>
        <s v="1-1434293-2" u="1"/>
        <s v="1-1439530-4" u="1"/>
        <s v="12-1435918-17" u="1"/>
        <s v="1-1433105-3" u="1"/>
        <s v="1-1433121-2" u="1"/>
        <s v="1-1436377-7" u="1"/>
        <s v="12-1430957-3" u="1"/>
        <s v="12-1431493-4" u="1"/>
        <s v="13-1432717-3" u="1"/>
        <s v="1-1430568-2" u="1"/>
        <s v="1-1434285-3" u="1"/>
        <s v="1-1434393-2" u="1"/>
        <s v="1-1438494-2" u="1"/>
        <s v="1-1429522-9" u="1"/>
        <s v="1-1433405-2" u="1"/>
        <s v="1-1437214-3" u="1"/>
        <s v="1-1437506-2" u="1"/>
        <s v="1-1437706-1" u="1"/>
        <s v="12-1439482-4" u="1"/>
        <s v="1-1432084-8" u="1"/>
        <s v="1-1432576-6" u="1"/>
        <s v="1-1432884-4" u="1"/>
        <s v="1-1434569-3" u="1"/>
        <s v="1-1434585-2" u="1"/>
        <s v="1-1434677-2" u="1"/>
        <s v="1-1435813-4" u="1"/>
        <s v="1-1438578-3" u="1"/>
        <s v="12-1431970-20" u="1"/>
        <s v="12-1435918-25" u="1"/>
        <s v="1-1433413-2" u="1"/>
        <s v="1-1423921-3" u="1"/>
        <s v="1-1436377-8" u="1"/>
        <s v="1-1441320-2" u="1"/>
        <s v="1-1430584-2" u="1"/>
        <s v="1-1434285-4" u="1"/>
        <s v="1-1435713-5" u="1"/>
        <s v="1-1435805-5" u="1"/>
        <s v="12-1441144-3" u="1"/>
        <s v="1-1424993-4" u="1"/>
        <s v="1-1433205-4" u="1"/>
        <s v="1-1437214-4" u="1"/>
        <s v="1-1437506-3" u="1"/>
        <s v="1-1437630-1" u="1"/>
        <s v="1-1432576-7" u="1"/>
        <s v="1-1440068-2" u="1"/>
        <s v="1-1434693-2" u="1"/>
        <s v="1-1432077-2" u="1"/>
        <s v="1-1433705-2" u="1"/>
        <s v="1-1437530-2" u="1"/>
        <s v="1-1437730-1" u="1"/>
        <s v="1-1429723-2" u="1"/>
        <s v="1-1429907-2" u="1"/>
        <s v="1-1436377-9" u="1"/>
        <s v="1-1434285-5" u="1"/>
        <s v="1-1433713-2" u="1"/>
        <s v="1-1433821-1" u="1"/>
        <s v="1-1433913-1" u="1"/>
        <s v="1-1436186-2" u="1"/>
        <s v="1-1437214-5" u="1"/>
        <s v="1-1431005-2" u="1"/>
        <s v="1-1435106-2" u="1"/>
        <s v="1-1439207-2" u="1"/>
        <s v="1-1424278-2" u="1"/>
        <s v="1-1429915-2" u="1"/>
        <s v="1-1440176-2" u="1"/>
        <s v="1-1430976-2" u="1"/>
        <s v="1-1432169-3" u="1"/>
        <s v="1-1433521-3" u="1"/>
        <s v="1-1433813-2" u="1"/>
        <s v="1-1437806-3" u="1"/>
        <s v="1-1439123-2" u="1"/>
        <s v="1-1439215-2" u="1"/>
        <s v="1-1429723-3" u="1"/>
        <s v="1-1430784-3" u="1"/>
        <s v="1-1434285-6" u="1"/>
        <s v="1-1432285-2" u="1"/>
        <s v="1-1436094-3" u="1"/>
        <s v="1-1437214-6" u="1"/>
        <s v="1-1437655-15" u="1"/>
        <s v="1-1435414-1" u="1"/>
        <s v="1-1439207-3" u="1"/>
        <s v="1-1421005-7" u="1"/>
        <s v="1-1429931-2" u="1"/>
        <s v="1-1430992-2" u="1"/>
        <s v="10-1438077-3" u="1"/>
        <s v="12-1430876-3" u="1"/>
        <s v="1-1432569-2" u="1"/>
        <s v="1-1431013-3" u="1"/>
        <s v="1-1431213-2" u="1"/>
        <s v="1-1438079-1" u="1"/>
        <s v="1-1429723-4" u="1"/>
        <s v="1-1421290-24" u="1"/>
        <s v="1-1429988-13" u="1"/>
        <s v="1-1434285-7" u="1"/>
        <s v="13-1432916-2" u="1"/>
        <s v="1-1432669-2" u="1"/>
        <s v="1-1437430-5" u="1"/>
        <s v="1-1431021-3" u="1"/>
        <s v="1-1434078-1" u="1"/>
        <s v="1-1435306-3" u="1"/>
        <s v="1-1435506-2" u="1"/>
        <s v="1-1435522-1" u="1"/>
        <s v="1-1439515-2" u="1"/>
        <s v="1-1439607-2" u="1"/>
        <s v="10-1429882-2" u="1"/>
        <s v="1-1436286-4" u="1"/>
        <s v="1-1437806-5" u="1"/>
        <s v="12-1441263-2" u="1"/>
        <s v="1-1431413-2" u="1"/>
        <s v="1-1435422-2" u="1"/>
        <s v="1-1435514-2" u="1"/>
        <s v="1-1439523-2" u="1"/>
        <s v="1-1428787-2" u="1"/>
        <s v="1-1429723-5" u="1"/>
        <s v="1-1437015-1" u="1"/>
        <s v="1-1440768-2" u="1"/>
        <s v="1-1421290-34" u="1"/>
        <s v="1-1434285-8" u="1"/>
        <s v="1-1436986-1" u="1"/>
        <s v="11-1433012-2" u="1"/>
        <s v="1-1440776-2" u="1"/>
        <s v="1-1425007-2" u="1"/>
        <s v="1-1432877-2" u="1"/>
        <s v="10-1430120-3" u="1"/>
        <s v="1-1431521-2" u="1"/>
        <s v="1-1435422-3" u="1"/>
        <s v="1-1435530-2" u="1"/>
        <s v="1-1435714-2" u="1"/>
        <s v="1-1438095-2" u="1"/>
        <s v="1-1439415-4" u="1"/>
        <s v="1-1429723-6" u="1"/>
        <s v="1-1436894-2" u="1"/>
        <s v="1-1431805-2" u="1"/>
        <s v="1-1435814-2" u="1"/>
        <s v="1-1438287-2" u="1"/>
        <s v="1-1433106-2" u="1"/>
        <s v="1-1440792-2" u="1"/>
        <s v="1-1440884-2" u="1"/>
        <s v="1-1432985-2" u="1"/>
        <s v="1-1436286-6" u="1"/>
        <s v="1-1430185-2" u="1"/>
        <s v="1-1430277-2" u="1"/>
        <s v="1-1430369-2" u="1"/>
        <s v="1-1434194-2" u="1"/>
        <s v="1-1434286-2" u="1"/>
        <s v="1-1435422-4" u="1"/>
        <s v="1-1435530-3" u="1"/>
        <s v="1-1435914-2" u="1"/>
        <s v="1-1429723-7" u="1"/>
        <s v="1-1432285-6" u="1"/>
        <s v="1-1432869-4" u="1"/>
        <s v="1-1430377-2" u="1"/>
        <s v="1-1430469-2" u="1"/>
        <s v="1-1434294-2" u="1"/>
        <s v="1-1434386-2" u="1"/>
        <s v="1-1433122-2" u="1"/>
        <s v="1-1432893-3" u="1"/>
        <s v="1-1436978-4" u="1"/>
        <s v="1-1430677-1" u="1"/>
        <s v="1-1434578-2" u="1"/>
        <s v="1-1435422-5" u="1"/>
        <s v="1-1435530-4" u="1"/>
        <s v="1-1435730-3" u="1"/>
        <s v="1-1429723-8" u="1"/>
        <s v="1-1433222-2" u="1"/>
        <s v="1-1437215-3" u="1"/>
        <s v="1-1437231-2" u="1"/>
        <s v="1-1423914-3" u="1"/>
        <s v="1-1423930-2" u="1"/>
        <s v="10-1429893-2" u="1"/>
        <s v="12-1435920-3" u="1"/>
        <s v="1-1429240-2" u="1"/>
        <s v="1-1429808-1" u="1"/>
        <s v="1-1432285-7" u="1"/>
        <s v="12-1432995-2" u="1"/>
        <s v="1-1437715-1" u="1"/>
        <s v="1-1432075-10" u="1"/>
        <s v="12-1438144-7" u="1"/>
        <s v="1-1435422-6" u="1"/>
        <s v="1-1435530-5" u="1"/>
        <s v="1-1438587-3" u="1"/>
        <s v="1-1433206-4" u="1"/>
        <s v="1-1433314-3" u="1"/>
        <s v="1-1433606-2" u="1"/>
        <s v="1-1437707-2" u="1"/>
        <s v="1-1432139-21" u="1"/>
        <s v="1-1429240-3" u="1"/>
        <s v="1-1429608-3" u="1"/>
        <s v="1-1429916-1" u="1"/>
        <s v="1-1432285-8" u="1"/>
        <s v="13-1433903-2" u="1"/>
        <s v="1-1434694-2" u="1"/>
        <s v="1-1424184-10" u="1"/>
        <s v="1-1438264-19" u="1"/>
        <s v="1-1433522-2" u="1"/>
        <s v="1-1437423-3" u="1"/>
        <s v="1-1437715-2" u="1"/>
        <s v="1-1437731-1" u="1"/>
        <s v="1-1429724-2" u="1"/>
        <s v="1-1429908-2" u="1"/>
        <s v="1-1430585-3" u="1"/>
        <s v="1-1430877-2" u="1"/>
        <s v="1-1434594-3" u="1"/>
        <s v="1-1433806-2" u="1"/>
        <s v="1-1437215-5" u="1"/>
        <s v="1-1437707-3" u="1"/>
        <s v="1-1437723-2" u="1"/>
        <s v="1-1431006-2" u="1"/>
        <s v="1-1435107-2" u="1"/>
        <s v="1-1439008-3" u="1"/>
        <s v="1-1429240-4" u="1"/>
        <s v="1-1433706-3" u="1"/>
        <s v="1-1437531-3" u="1"/>
        <s v="1-1437715-3" u="1"/>
        <s v="1-1431014-2" u="1"/>
        <s v="1-1439216-2" u="1"/>
        <s v="1-1436464-11" u="1"/>
        <s v="1-1429724-3" u="1"/>
        <s v="1-1429832-2" u="1"/>
        <s v="1-1432286-2" u="1"/>
        <s v="1-1432378-2" u="1"/>
        <s v="1-1433730-2" u="1"/>
        <s v="1-1433822-2" u="1"/>
        <s v="1-1437215-6" u="1"/>
        <s v="1-1437431-4" u="1"/>
        <s v="1-1437631-3" u="1"/>
        <s v="1-1437707-4" u="1"/>
        <s v="1-1437723-3" u="1"/>
        <s v="1-1435307-2" u="1"/>
        <s v="1-1439208-3" u="1"/>
        <s v="1-1429240-5" u="1"/>
        <s v="1-1429532-4" u="1"/>
        <s v="1-1429732-3" u="1"/>
        <s v="1-1429840-2" u="1"/>
        <s v="1-1430993-2" u="1"/>
        <s v="1-1433814-3" u="1"/>
        <s v="1-1439308-3" u="1"/>
        <s v="1-1439324-2" u="1"/>
        <s v="1-1433822-3" u="1"/>
        <s v="1-1433930-2" u="1"/>
        <s v="1-1436787-1" u="1"/>
        <s v="1-1437707-5" u="1"/>
        <s v="1-1437723-4" u="1"/>
        <s v="1-1432139-19" u="1"/>
        <s v="1-1433867-14" u="1"/>
        <s v="1-1431130-2" u="1"/>
        <s v="1-1435415-2" u="1"/>
        <s v="1-1439208-4" u="1"/>
        <s v="1-1439516-2" u="1"/>
        <s v="1-1439608-2" u="1"/>
        <s v="1-1429240-6" u="1"/>
        <s v="1-1429532-5" u="1"/>
        <s v="1-1440777-1" u="1"/>
        <s v="1-1432386-3" u="1"/>
        <s v="1-1431030-3" u="1"/>
        <s v="1-1431414-2" u="1"/>
        <s v="1-1435315-3" u="1"/>
        <s v="1-1435331-2" u="1"/>
        <s v="1-1435423-2" u="1"/>
        <s v="1-1435515-2" u="1"/>
        <s v="1-1440769-2" u="1"/>
        <s v="1-1438073-11" u="1"/>
        <s v="1-1428761-12" u="1"/>
        <s v="1-1432286-4" u="1"/>
        <s v="1-1433822-4" u="1"/>
        <s v="1-1433930-3" u="1"/>
        <s v="1-1437215-8" u="1"/>
        <s v="1-1435707-2" u="1"/>
        <s v="1-1439532-2" u="1"/>
        <s v="1-1429240-7" u="1"/>
        <s v="1-1429532-6" u="1"/>
        <s v="1-1440685-2" u="1"/>
        <s v="1-1432386-4" u="1"/>
        <s v="1-1432494-3" u="1"/>
        <s v="1-1436979-2" u="1"/>
        <s v="1-1431030-4" u="1"/>
        <s v="1-1431430-2" u="1"/>
        <s v="1-1435515-3" u="1"/>
        <s v="1-1435607-3" u="1"/>
        <s v="1-1435376-14" u="1"/>
        <s v="1-1429724-6" u="1"/>
        <s v="1-1440293-4" u="1"/>
        <s v="1-1440785-2" u="1"/>
        <s v="1-1425016-2" u="1"/>
        <s v="1-1432286-5" u="1"/>
        <s v="1-1432778-3" u="1"/>
        <s v="1-1433822-5" u="1"/>
        <s v="1-1436895-2" u="1"/>
        <s v="1-1431622-2" u="1"/>
        <s v="1-1435707-3" u="1"/>
        <s v="1-1429240-8" u="1"/>
        <s v="1-1429532-7" u="1"/>
        <s v="1-1433107-2" u="1"/>
        <s v="1-1440885-2" u="1"/>
        <s v="1-1440977-2" u="1"/>
        <s v="1-1425116-2" u="1"/>
        <s v="1-1432386-5" u="1"/>
        <s v="1-1432986-2" u="1"/>
        <s v="1-1436887-3" u="1"/>
        <s v="1-1431030-5" u="1"/>
        <s v="1-1435515-4" u="1"/>
        <s v="1-1435731-2" u="1"/>
        <s v="1-1435823-2" u="1"/>
        <s v="1-1435915-2" u="1"/>
        <s v="1-1438388-2" u="1"/>
        <s v="1-1429724-7" u="1"/>
        <s v="1-1433207-2" u="1"/>
        <s v="1-1438749-11" u="1"/>
        <s v="1-1429225-2" u="1"/>
        <s v="1-1432286-6" u="1"/>
        <s v="1-1432886-3" u="1"/>
        <s v="1-1433822-6" u="1"/>
        <s v="1-1433930-5" u="1"/>
        <s v="10-1433514-2" u="1"/>
        <s v="1-1431530-3" u="1"/>
        <s v="1-1434387-2" u="1"/>
        <s v="1-1434479-2" u="1"/>
        <s v="1-1435923-2" u="1"/>
        <s v="1-1439440-4" u="1"/>
        <s v="1-1439840-2" u="1"/>
        <s v="1-1435544-16" u="1"/>
        <s v="12-1435918-18" u="1"/>
        <s v="1-1433031-2" u="1"/>
        <s v="1-1433123-2" u="1"/>
        <s v="1-1432386-6" u="1"/>
        <s v="1-1432986-3" u="1"/>
        <s v="10-1435250-2" u="1"/>
        <s v="1-1431030-6" u="1"/>
        <s v="1-1431830-2" u="1"/>
        <s v="1-1434487-2" u="1"/>
        <s v="1-1435515-5" u="1"/>
        <s v="1-1438496-2" u="1"/>
        <s v="1-1439340-5" u="1"/>
        <s v="1-1429522-10" u="1"/>
        <s v="1-1429724-8" u="1"/>
        <s v="1-1433407-2" u="1"/>
        <s v="1-1437216-3" u="1"/>
        <s v="1-1437416-2" u="1"/>
        <s v="1-1423931-2" u="1"/>
        <s v="1-1429225-3" u="1"/>
        <s v="1-1429333-2" u="1"/>
        <s v="1-1433930-6" u="1"/>
        <s v="13-1432725-3" u="1"/>
        <s v="1-1434295-3" u="1"/>
        <s v="1-1439640-4" u="1"/>
        <s v="12-1435918-26" u="1"/>
        <s v="1-1433031-3" u="1"/>
        <s v="1-1437224-3" u="1"/>
        <s v="1-1437424-2" u="1"/>
        <s v="1-1423923-3" u="1"/>
        <s v="1-1432386-7" u="1"/>
        <s v="1-1432986-4" u="1"/>
        <s v="12-1431781-3" u="1"/>
        <s v="13-1433725-3" u="1"/>
        <s v="1-1430586-2" u="1"/>
        <s v="1-1430878-1" u="1"/>
        <s v="1-1431030-7" u="1"/>
        <s v="1-1429522-20" u="1"/>
        <s v="1-1428788-6" u="1"/>
        <s v="1-1433331-2" u="1"/>
        <s v="1-1437432-2" u="1"/>
        <s v="1-1437508-3" u="1"/>
        <s v="1-1437524-2" u="1"/>
        <s v="1-1437708-2" u="1"/>
        <s v="1-1429225-4" u="1"/>
        <s v="1-1429625-2" u="1"/>
        <s v="1-1430594-2" u="1"/>
        <s v="1-1432079-2" u="1"/>
        <s v="1-1433323-3" u="1"/>
        <s v="1-1433431-2" u="1"/>
        <s v="1-1433523-2" u="1"/>
        <s v="1-1433615-2" u="1"/>
        <s v="1-1433707-2" u="1"/>
        <s v="1-1437440-2" u="1"/>
        <s v="1-1437716-2" u="1"/>
        <s v="1-1439309-1" u="1"/>
        <s v="1-1436377-10" u="1"/>
        <s v="1-1429725-2" u="1"/>
        <s v="1-1432386-8" u="1"/>
        <s v="1-1432986-5" u="1"/>
        <s v="1-1431030-8" u="1"/>
        <s v="10-1433349-3" u="1"/>
        <s v="1-1432087-2" u="1"/>
        <s v="1-1433715-2" u="1"/>
        <s v="1-1433731-1" u="1"/>
        <s v="1-1437216-5" u="1"/>
        <s v="1-1437632-2" u="1"/>
        <s v="1-1422779-3" u="1"/>
        <s v="1-1431007-2" u="1"/>
        <s v="1-1435016-2" u="1"/>
        <s v="1-1435108-2" u="1"/>
        <s v="1-1433930-8" u="1"/>
        <s v="1-1440086-2" u="1"/>
        <s v="1-1433815-2" u="1"/>
        <s v="1-1433907-2" u="1"/>
        <s v="1-1437640-2" u="1"/>
        <s v="1-1437732-2" u="1"/>
        <s v="1-1431015-2" u="1"/>
        <s v="1-1435024-2" u="1"/>
        <s v="1-1429833-2" u="1"/>
        <s v="1-1429909-3" u="1"/>
        <s v="1-1432386-9" u="1"/>
        <s v="1-1440094-2" u="1"/>
        <s v="1-1440186-2" u="1"/>
        <s v="1-1431030-9" u="1"/>
        <s v="1-1432087-3" u="1"/>
        <s v="1-1432287-2" u="1"/>
        <s v="1-1433823-2" u="1"/>
        <s v="1-1437216-6" u="1"/>
        <s v="1-1431115-2" u="1"/>
        <s v="1-1435124-2" u="1"/>
        <s v="1-1429841-2" u="1"/>
        <s v="1-1429933-2" u="1"/>
        <s v="1-1433930-9" u="1"/>
        <s v="1-1441530-3" u="1"/>
        <s v="1-1432095-3" u="1"/>
        <s v="1-1433923-2" u="1"/>
        <s v="1-1439125-3" u="1"/>
        <s v="1-1439617-1" u="1"/>
        <s v="1-1440094-3" u="1"/>
        <s v="1-1429522-18" u="1"/>
        <s v="1-1438896-4" u="1"/>
        <s v="13-1431740-2" u="1"/>
        <s v="1-1432287-3" u="1"/>
        <s v="1-1432379-3" u="1"/>
        <s v="1-1432487-2" u="1"/>
        <s v="1-1433731-3" u="1"/>
        <s v="1-1433931-2" u="1"/>
        <s v="1-1437216-7" u="1"/>
        <s v="1-1431023-3" u="1"/>
        <s v="1-1435416-2" u="1"/>
        <s v="1-1435508-2" u="1"/>
        <s v="1-1439317-3" u="1"/>
        <s v="1-1439333-2" u="1"/>
        <s v="11-1429806-3" u="1"/>
        <s v="1-1432495-2" u="1"/>
        <s v="1-1437640-4" u="1"/>
        <s v="1-1431415-2" u="1"/>
        <s v="1-1431507-2" u="1"/>
        <s v="1-1435316-3" u="1"/>
        <s v="1-1435332-2" u="1"/>
        <s v="1-1435424-2" u="1"/>
        <s v="1-1435440-1" u="1"/>
        <s v="1-1439325-3" u="1"/>
        <s v="1-1439525-2" u="1"/>
        <s v="1-1428789-2" u="1"/>
        <s v="1-1440878-1" u="1"/>
        <s v="1-1429118-1" u="1"/>
        <s v="1-1432379-4" u="1"/>
        <s v="1-1432779-2" u="1"/>
        <s v="1-1433731-4" u="1"/>
        <s v="1-1433931-3" u="1"/>
        <s v="1-1432084-18" u="1"/>
        <s v="1-1431331-2" u="1"/>
        <s v="1-1435324-3" u="1"/>
        <s v="1-1435708-2" u="1"/>
        <s v="1-1439533-2" u="1"/>
        <s v="1-1439609-3" u="1"/>
        <s v="1-1439809-2" u="1"/>
        <s v="1-1440194-4" u="1"/>
        <s v="1-1433831-4" u="1"/>
        <s v="1-1436996-1" u="1"/>
        <s v="1-1433892-14" u="1"/>
        <s v="1-1431523-2" u="1"/>
        <s v="1-1439541-2" u="1"/>
        <s v="1-1428897-2" u="1"/>
        <s v="1-1432379-5" u="1"/>
        <s v="1-1432979-2" u="1"/>
        <s v="1-1433731-5" u="1"/>
        <s v="1-1436896-2" u="1"/>
        <s v="1-1435540-2" u="1"/>
        <s v="1-1435724-2" u="1"/>
        <s v="1-1439825-2" u="1"/>
        <s v="1-1433108-2" u="1"/>
        <s v="1-1437009-3" u="1"/>
        <s v="1-1433831-5" u="1"/>
        <s v="1-1436888-3" u="1"/>
        <s v="1-1435608-4" u="1"/>
        <s v="1-1435824-2" u="1"/>
        <s v="1-1433316-1" u="1"/>
        <s v="1-1437217-2" u="1"/>
        <s v="1-1433731-6" u="1"/>
        <s v="10-1433524-2" u="1"/>
        <s v="10-1440999-3" u="1"/>
        <s v="1-1430087-3" u="1"/>
        <s v="1-1430179-3" u="1"/>
        <s v="1-1431915-2" u="1"/>
        <s v="1-1434296-2" u="1"/>
        <s v="1-1434388-2" u="1"/>
        <s v="1-1439641-3" u="1"/>
        <s v="1-1439841-2" u="1"/>
        <s v="1-1433032-2" u="1"/>
        <s v="1-1433216-2" u="1"/>
        <s v="10-1434232-3" u="1"/>
        <s v="1-1434196-3" u="1"/>
        <s v="1-1435916-3" u="1"/>
        <s v="1-1435932-2" u="1"/>
        <s v="10-1430387-2" u="1"/>
        <s v="1-1433224-2" u="1"/>
        <s v="1-1437233-2" u="1"/>
        <s v="1-1437417-2" u="1"/>
        <s v="1-1423932-2" u="1"/>
        <s v="1-1429334-2" u="1"/>
        <s v="1-1432379-7" u="1"/>
        <s v="1-1431931-2" u="1"/>
        <s v="1-1440008-13" u="1"/>
        <s v="1-1437409-3" u="1"/>
        <s v="1-1437425-2" u="1"/>
        <s v="1-1423924-3" u="1"/>
        <s v="1-1441323-2" u="1"/>
        <s v="1-1441415-2" u="1"/>
        <s v="10-1436416-3" u="1"/>
        <s v="1-1430587-2" u="1"/>
        <s v="1-1431907-4" u="1"/>
        <s v="1-1434488-3" u="1"/>
        <s v="1-1434688-2" u="1"/>
        <s v="1-1433332-2" u="1"/>
        <s v="1-1429626-2" u="1"/>
        <s v="1-1432379-8" u="1"/>
        <s v="1-1441331-2" u="1"/>
        <s v="12-1432991-2" u="1"/>
        <s v="13-1433723-3" u="1"/>
        <s v="1-1430395-3" u="1"/>
        <s v="1-1435740-4" u="1"/>
        <s v="1-1421313-30" u="1"/>
        <s v="1-1433232-3" u="1"/>
        <s v="1-1433308-4" u="1"/>
        <s v="1-1433432-2" u="1"/>
        <s v="1-1433616-2" u="1"/>
        <s v="1-1437441-2" u="1"/>
        <s v="1-1437733-1" u="1"/>
        <s v="1-1423985-14" u="1"/>
        <s v="1-1429726-2" u="1"/>
        <s v="10-1438708-2" u="1"/>
        <s v="1-1430695-2" u="1"/>
        <s v="1-1430879-2" u="1"/>
        <s v="1-1431831-4" u="1"/>
        <s v="1-1435916-5" u="1"/>
        <s v="1-1432088-2" u="1"/>
        <s v="1-1433808-2" u="1"/>
        <s v="1-1435017-2" u="1"/>
        <s v="1-1435109-2" u="1"/>
        <s v="1-1432285-10" u="1"/>
        <s v="1-1429550-2" u="1"/>
        <s v="1-1432379-9" u="1"/>
        <s v="1-1441531-2" u="1"/>
        <s v="1-1430179-6" u="1"/>
        <s v="1-1430395-4" u="1"/>
        <s v="1-1435940-4" u="1"/>
        <s v="10-1433347-3" u="1"/>
        <s v="10-1434159-4" u="1"/>
        <s v="12-1440202-4" u="1"/>
        <s v="1-1433816-2" u="1"/>
        <s v="1-1433908-2" u="1"/>
        <s v="1-1435117-2" u="1"/>
        <s v="1-1429726-3" u="1"/>
        <s v="1-1440095-2" u="1"/>
        <s v="12-1434071-7" u="1"/>
        <s v="1-1430895-2" u="1"/>
        <s v="1-1435916-6" u="1"/>
        <s v="1-1438897-3" u="1"/>
        <s v="10-1433335-3" u="1"/>
        <s v="1-1432288-2" u="1"/>
        <s v="1-1433732-2" u="1"/>
        <s v="1-1433808-3" u="1"/>
        <s v="1-1433840-1" u="1"/>
        <s v="1-1437633-3" u="1"/>
        <s v="1-1431208-2" u="1"/>
        <s v="1-1435125-2" u="1"/>
        <s v="1-1435309-2" u="1"/>
        <s v="1-1429550-3" u="1"/>
        <s v="1-1429750-2" u="1"/>
        <s v="1-1429842-2" u="1"/>
        <s v="1-1440087-3" u="1"/>
        <s v="1-1430995-2" u="1"/>
        <s v="10-1435639-2" u="1"/>
        <s v="10-1440998-3" u="1"/>
        <s v="1-1432388-2" u="1"/>
        <s v="1-1433832-2" u="1"/>
        <s v="1-1437641-3" u="1"/>
        <s v="1-1431016-3" u="1"/>
        <s v="1-1431124-2" u="1"/>
        <s v="1-1431308-2" u="1"/>
        <s v="1-1439218-3" u="1"/>
        <s v="1-1439326-2" u="1"/>
        <s v="1-1439418-2" u="1"/>
        <s v="1-1429542-4" u="1"/>
        <s v="1-1429726-4" u="1"/>
        <s v="1-1429850-2" u="1"/>
        <s v="1-1429926-3" u="1"/>
        <s v="1-1429942-2" u="1"/>
        <s v="1-1432196-3" u="1"/>
        <s v="1-1433808-4" u="1"/>
        <s v="1-1433840-2" u="1"/>
        <s v="1-1437654-16" u="1"/>
        <s v="1-1435417-2" u="1"/>
        <s v="1-1435509-2" u="1"/>
        <s v="1-1435525-1" u="1"/>
        <s v="1-1439518-2" u="1"/>
        <s v="1-1429550-4" u="1"/>
        <s v="1-1421313-28" u="1"/>
        <s v="10-1438467-2" u="1"/>
        <s v="11-1439307-2" u="1"/>
        <s v="1-1432296-3" u="1"/>
        <s v="1-1437641-4" u="1"/>
        <s v="1-1437841-3" u="1"/>
        <s v="1-1431340-1" u="1"/>
        <s v="1-1435425-2" u="1"/>
        <s v="1-1435609-2" u="1"/>
        <s v="1-1439234-3" u="1"/>
        <s v="1-1440695-1" u="1"/>
        <s v="1-1431907-8" u="1"/>
        <s v="1-1433808-5" u="1"/>
        <s v="1-1433840-3" u="1"/>
        <s v="1-1431332-2" u="1"/>
        <s v="1-1431424-2" u="1"/>
        <s v="1-1435141-3" u="1"/>
        <s v="1-1435433-2" u="1"/>
        <s v="1-1435709-2" u="1"/>
        <s v="1-1439242-3" u="1"/>
        <s v="1-1429550-5" u="1"/>
        <s v="1-1432788-2" u="1"/>
        <s v="1-1436889-2" u="1"/>
        <s v="1-1437841-4" u="1"/>
        <s v="11-1440889-2" u="1"/>
        <s v="1-1431908-1" u="1"/>
        <s v="1-1435809-2" u="1"/>
        <s v="1-1439526-3" u="1"/>
        <s v="1-1433009-2" u="1"/>
        <s v="1-1432796-2" u="1"/>
        <s v="1-1432888-2" u="1"/>
        <s v="1-1433808-6" u="1"/>
        <s v="1-1433840-4" u="1"/>
        <s v="1-1436897-2" u="1"/>
        <s v="1-1430088-2" u="1"/>
        <s v="1-1431440-2" u="1"/>
        <s v="1-1431516-3" u="1"/>
        <s v="1-1434097-2" u="1"/>
        <s v="1-1435709-3" u="1"/>
        <s v="1-1439550-2" u="1"/>
        <s v="1-1429550-6" u="1"/>
        <s v="1-1433109-2" u="1"/>
        <s v="1-1429143-1" u="1"/>
        <s v="1-1434289-2" u="1"/>
        <s v="1-1435333-4" u="1"/>
        <s v="1-1435441-3" u="1"/>
        <s v="1-1435533-3" u="1"/>
        <s v="1-1435917-2" u="1"/>
        <s v="1-1438498-1" u="1"/>
        <s v="1-1433025-2" u="1"/>
        <s v="1-1433317-1" u="1"/>
        <s v="1-1440987-2" u="1"/>
        <s v="1-1429227-2" u="1"/>
        <s v="1-1433808-7" u="1"/>
        <s v="1-1431516-4" u="1"/>
        <s v="1-1434389-2" u="1"/>
        <s v="1-1435709-4" u="1"/>
        <s v="1-1435741-2" u="1"/>
        <s v="1-1435909-3" u="1"/>
        <s v="1-1435925-2" u="1"/>
        <s v="1-1438598-1" u="1"/>
        <s v="12-1431970-14" u="1"/>
        <s v="1-1433109-3" u="1"/>
        <s v="1-1423925-2" u="1"/>
        <s v="12-1433830-4" u="1"/>
        <s v="13-1438934-2" u="1"/>
        <s v="1-1437841-6" u="1"/>
        <s v="10-1435638-2" u="1"/>
        <s v="1-1434197-3" u="1"/>
        <s v="1-1435933-2" u="1"/>
        <s v="1-1433117-3" u="1"/>
        <s v="1-1433133-2" u="1"/>
        <s v="1-1433225-2" u="1"/>
        <s v="12-1435918-5" u="1"/>
        <s v="1-1429227-3" u="1"/>
        <s v="1-1429319-3" u="1"/>
        <s v="10-1436546-2" u="1"/>
        <s v="1-1430396-2" u="1"/>
        <s v="1-1431516-5" u="1"/>
        <s v="1-1431840-2" u="1"/>
        <s v="1-1435541-4" u="1"/>
        <s v="1-1435709-5" u="1"/>
        <s v="12-1431970-22" u="1"/>
        <s v="12-1435918-27" u="1"/>
        <s v="1-1433325-2" u="1"/>
        <s v="1-1433509-2" u="1"/>
        <s v="1-1433709-1" u="1"/>
        <s v="1-1437426-2" u="1"/>
        <s v="1-1440979-4" u="1"/>
        <s v="1-1430588-2" u="1"/>
        <s v="1-1434197-4" u="1"/>
        <s v="1-1434597-2" u="1"/>
        <s v="1-1434689-2" u="1"/>
        <s v="1-1433241-2" u="1"/>
        <s v="1-1433517-2" u="1"/>
        <s v="1-1437418-3" u="1"/>
        <s v="1-1437434-2" u="1"/>
        <s v="1-1429227-4" u="1"/>
        <s v="1-1429627-2" u="1"/>
        <s v="1-1441240-2" u="1"/>
        <s v="1-1431516-6" u="1"/>
        <s v="1-1435941-3" u="1"/>
        <s v="10-1430929-1" u="1"/>
        <s v="1-1433433-2" u="1"/>
        <s v="1-1433525-2" u="1"/>
        <s v="1-1437350-2" u="1"/>
        <s v="1-1437442-2" u="1"/>
        <s v="1-1437718-2" u="1"/>
        <s v="1-1437734-1" u="1"/>
        <s v="1-1429727-2" u="1"/>
        <s v="1-1429927-1" u="1"/>
        <s v="1-1441416-3" u="1"/>
        <s v="1-1434197-5" u="1"/>
        <s v="1-1428698-7" u="1"/>
        <s v="1-1432089-2" u="1"/>
        <s v="1-1433441-2" u="1"/>
        <s v="1-1433717-2" u="1"/>
        <s v="1-1437742-1" u="1"/>
        <s v="1-1435018-2" u="1"/>
        <s v="1-1429227-5" u="1"/>
        <s v="1-1429719-3" u="1"/>
        <s v="1-1429735-2" u="1"/>
        <s v="1-1429827-2" u="1"/>
        <s v="10-1439534-2" u="1"/>
        <s v="1-1434897-2" u="1"/>
        <s v="1-1435709-7" u="1"/>
        <s v="1-1435941-4" u="1"/>
        <s v="1-1433817-2" u="1"/>
        <s v="1-1437642-2" u="1"/>
        <s v="1-1423941-4" u="1"/>
        <s v="1-1435026-2" u="1"/>
        <s v="1-1435318-1" u="1"/>
        <s v="1-1439127-2" u="1"/>
        <s v="1-1432386-10" u="1"/>
        <s v="1-1440096-2" u="1"/>
        <s v="1-1434197-6" u="1"/>
        <s v="1-1434689-4" u="1"/>
        <s v="10-1433145-4" u="1"/>
        <s v="10-1433345-3" u="1"/>
        <s v="1-1432197-2" u="1"/>
        <s v="1-1433333-4" u="1"/>
        <s v="1-1433733-2" u="1"/>
        <s v="1-1433825-2" u="1"/>
        <s v="1-1433930-10" u="1"/>
        <s v="1-1436415-14" u="1"/>
        <s v="1-1429551-3" u="1"/>
        <s v="1-1429843-2" u="1"/>
        <s v="1-1429935-2" u="1"/>
        <s v="1-1435709-8" u="1"/>
        <s v="1-1435941-5" u="1"/>
        <s v="1-1438998-3" u="1"/>
        <s v="10-1433809-2" u="1"/>
        <s v="1-1432389-2" u="1"/>
        <s v="1-1433633-3" u="1"/>
        <s v="1-1433833-2" u="1"/>
        <s v="1-1437426-5" u="1"/>
        <s v="1-1431017-3" u="1"/>
        <s v="1-1431309-2" u="1"/>
        <s v="1-1435042-2" u="1"/>
        <s v="1-1435134-2" u="1"/>
        <s v="1-1435150-1" u="1"/>
        <s v="1-1439235-2" u="1"/>
        <s v="1-1439327-2" u="1"/>
        <s v="1-1439419-2" u="1"/>
        <s v="1-1429943-2" u="1"/>
        <s v="1-1430896-3" u="1"/>
        <s v="1-1434197-7" u="1"/>
        <s v="1-1434689-5" u="1"/>
        <s v="11-1438025-3" u="1"/>
        <s v="11-1440840-2" u="1"/>
        <s v="1-1437850-2" u="1"/>
        <s v="1-1437655-16" u="1"/>
        <s v="1-1437747-16" u="1"/>
        <s v="1-1431025-3" u="1"/>
        <s v="1-1431225-2" u="1"/>
        <s v="1-1435050-2" u="1"/>
        <s v="1-1435418-2" u="1"/>
        <s v="1-1439519-2" u="1"/>
        <s v="1-1429951-2" u="1"/>
        <s v="1-1435709-9" u="1"/>
        <s v="1-1435941-6" u="1"/>
        <s v="10-1436545-2" u="1"/>
        <s v="1-1432497-2" u="1"/>
        <s v="1-1437842-3" u="1"/>
        <s v="1-1431141-2" u="1"/>
        <s v="1-1435150-2" u="1"/>
        <s v="1-1435426-2" u="1"/>
        <s v="1-1435518-2" u="1"/>
        <s v="1-1429943-3" u="1"/>
        <s v="1-1421290-25" u="1"/>
        <s v="1-1434197-8" u="1"/>
        <s v="10-1435121-4" u="1"/>
        <s v="1-1432797-1" u="1"/>
        <s v="11-1433236-2" u="1"/>
        <s v="1-1431133-3" u="1"/>
        <s v="1-1431333-2" u="1"/>
        <s v="1-1435142-3" u="1"/>
        <s v="1-1429919-5" u="1"/>
        <s v="1-1436798-2" u="1"/>
        <s v="1-1431341-2" u="1"/>
        <s v="1-1431433-2" u="1"/>
        <s v="1-1435334-3" u="1"/>
        <s v="1-1439619-3" u="1"/>
        <s v="1-1429943-4" u="1"/>
        <s v="1-1440588-3" u="1"/>
        <s v="1-1440788-2" u="1"/>
        <s v="1-1434197-9" u="1"/>
        <s v="10-1431528-3" u="1"/>
        <s v="1-1430089-2" u="1"/>
        <s v="1-1431441-2" u="1"/>
        <s v="1-1431533-2" u="1"/>
        <s v="1-1435434-3" u="1"/>
        <s v="1-1438264-12" u="1"/>
        <s v="1-1425119-2" u="1"/>
        <s v="1-1429128-2" u="1"/>
        <s v="1-1432897-2" u="1"/>
        <s v="1-1431633-2" u="1"/>
        <s v="1-1431725-2" u="1"/>
        <s v="1-1439927-2" u="1"/>
        <s v="11-1431179-2" u="1"/>
        <s v="1-1433118-2" u="1"/>
        <s v="1-1440788-3" u="1"/>
        <s v="1-1440896-2" u="1"/>
        <s v="1-1440988-2" u="1"/>
        <s v="1-1433841-5" u="1"/>
        <s v="1-1430397-1" u="1"/>
        <s v="1-1431625-3" u="1"/>
        <s v="1-1431917-2" u="1"/>
        <s v="1-1435450-3" u="1"/>
        <s v="1-1435542-3" u="1"/>
        <s v="1-1435634-3" u="1"/>
        <s v="1-1435650-2" u="1"/>
        <s v="1-1435726-3" u="1"/>
        <s v="1-1435926-2" u="1"/>
        <s v="1-1425227-2" u="1"/>
        <s v="10-1434160-3" u="1"/>
        <s v="1-1430389-2" u="1"/>
        <s v="1-1435550-3" u="1"/>
        <s v="1-1439943-2" u="1"/>
        <s v="1-1433134-2" u="1"/>
        <s v="1-1433318-2" u="1"/>
        <s v="1-1431933-2" u="1"/>
        <s v="1-1439919-4" u="1"/>
        <s v="1-1437151-2" u="1"/>
        <s v="1-1437427-2" u="1"/>
        <s v="1-1441233-2" u="1"/>
        <s v="1-1441509-2" u="1"/>
        <s v="1-1430589-2" u="1"/>
        <s v="1-1435842-3" u="1"/>
        <s v="1-1438699-2" u="1"/>
        <s v="1-1429943-7" u="1"/>
        <s v="1-1433318-3" u="1"/>
        <s v="1-1433518-2" u="1"/>
        <s v="1-1437419-3" u="1"/>
        <s v="1-1437435-2" u="1"/>
        <s v="1-1432139-12" u="1"/>
        <s v="1-1441241-2" u="1"/>
        <s v="1-1441333-2" u="1"/>
        <s v="1-1431933-3" u="1"/>
        <s v="1-1435942-3" u="1"/>
        <s v="1-1433326-3" u="1"/>
        <s v="1-1433434-2" u="1"/>
        <s v="1-1433618-2" u="1"/>
        <s v="1-1437351-2" u="1"/>
        <s v="1-1439036-1" u="1"/>
        <s v="1-1432075-11" u="1"/>
        <s v="12-1438144-8" u="1"/>
        <s v="1-1429728-2" u="1"/>
        <s v="1-1441433-2" u="1"/>
        <s v="12-1429356-3" u="1"/>
        <s v="1-1430897-1" u="1"/>
        <s v="1-1433318-4" u="1"/>
        <s v="1-1437451-2" u="1"/>
        <s v="1-1437619-3" u="1"/>
        <s v="13-1440097-2" u="1"/>
        <s v="1-1435019-2" u="1"/>
        <s v="1-1432139-22" u="1"/>
        <s v="1-1432379-10" u="1"/>
        <s v="1-1429552-2" u="1"/>
        <s v="1-1430889-2" u="1"/>
        <s v="1-1431933-4" u="1"/>
        <s v="1-1435942-4" u="1"/>
        <s v="1-1433634-2" u="1"/>
        <s v="1-1433726-2" u="1"/>
        <s v="1-1433818-2" u="1"/>
        <s v="1-1437443-3" u="1"/>
        <s v="1-1437643-2" u="1"/>
        <s v="1-1437919-2" u="1"/>
        <s v="1-1435119-2" u="1"/>
        <s v="1-1429728-3" u="1"/>
        <s v="1-1430789-3" u="1"/>
        <s v="1-1433826-2" u="1"/>
        <s v="1-1437419-5" u="1"/>
        <s v="1-1437635-3" u="1"/>
        <s v="1-1437651-2" u="1"/>
        <s v="1-1437743-2" u="1"/>
        <s v="1-1432379-20" u="1"/>
        <s v="1-1429828-3" u="1"/>
        <s v="1-1429844-2" u="1"/>
        <s v="12-1435691-4" u="1"/>
        <s v="1-1430997-2" u="1"/>
        <s v="1-1431933-5" u="1"/>
        <s v="1-1435942-5" u="1"/>
        <s v="1-1438999-3" u="1"/>
        <s v="10-1435659-2" u="1"/>
        <s v="1-1432298-2" u="1"/>
        <s v="1-1433742-2" u="1"/>
        <s v="1-1433834-2" u="1"/>
        <s v="1-1437427-5" u="1"/>
        <s v="1-1437843-2" u="1"/>
        <s v="1-1431018-3" u="1"/>
        <s v="1-1435519-1" u="1"/>
        <s v="1-1439236-2" u="1"/>
        <s v="10-1435647-2" u="1"/>
        <s v="1-1432198-3" u="1"/>
        <s v="1-1433826-3" u="1"/>
        <s v="1-1437743-3" u="1"/>
        <s v="1-1437851-2" u="1"/>
        <s v="1-1435051-2" u="1"/>
        <s v="1-1435343-1" u="1"/>
        <s v="1-1431933-6" u="1"/>
        <s v="1-1435942-6" u="1"/>
        <s v="10-1434315-4" u="1"/>
        <s v="12-1430794-4" u="1"/>
        <s v="1-1437751-3" u="1"/>
        <s v="1-1431050-2" u="1"/>
        <s v="1-1431142-2" u="1"/>
        <s v="1-1435427-2" u="1"/>
        <s v="1-1435519-2" u="1"/>
        <s v="1-1439344-2" u="1"/>
        <s v="1-1440589-2" u="1"/>
        <s v="10-1435715-2" u="1"/>
        <s v="1-1433750-3" u="1"/>
        <s v="1-1433950-2" u="1"/>
        <s v="1-1433867-15" u="1"/>
        <s v="1-1431442-1" u="1"/>
        <s v="1-1435527-2" u="1"/>
        <s v="1-1439260-2" u="1"/>
        <s v="1-1439352-2" u="1"/>
        <s v="1-1440689-2" u="1"/>
        <s v="1-1432698-2" u="1"/>
        <s v="1-1435335-3" u="1"/>
        <s v="1-1435351-2" u="1"/>
        <s v="1-1435427-3" u="1"/>
        <s v="1-1435519-3" u="1"/>
        <s v="1-1429728-6" u="1"/>
        <s v="1-1432798-2" u="1"/>
        <s v="1-1431626-2" u="1"/>
        <s v="1-1435143-4" u="1"/>
        <s v="1-1439352-3" u="1"/>
        <s v="1-1439552-2" u="1"/>
        <s v="1-1433019-2" u="1"/>
        <s v="1-1432898-2" u="1"/>
        <s v="1-1433850-4" u="1"/>
        <s v="10-1433474-2" u="1"/>
        <s v="1-1430098-2" u="1"/>
        <s v="1-1431450-2" u="1"/>
        <s v="1-1435427-4" u="1"/>
        <s v="1-1435443-3" u="1"/>
        <s v="1-1435519-4" u="1"/>
        <s v="1-1435551-2" u="1"/>
        <s v="1-1439744-2" u="1"/>
        <s v="1-1429728-7" u="1"/>
        <s v="1-1441118-2" u="1"/>
        <s v="1-1435543-3" u="1"/>
        <s v="1-1439352-4" u="1"/>
        <s v="1-1439844-2" u="1"/>
        <s v="10-1441005-2" u="1"/>
        <s v="12-1432109-2" u="1"/>
        <s v="12-1431970-15" u="1"/>
        <s v="1-1429752-6" u="1"/>
        <s v="1-1433035-2" u="1"/>
        <s v="1-1433127-2" u="1"/>
        <s v="1-1440689-4" u="1"/>
        <s v="1-1423927-2" u="1"/>
        <s v="1-1441326-1" u="1"/>
        <s v="10-1434370-2" u="1"/>
        <s v="1-1430298-2" u="1"/>
        <s v="1-1431650-2" u="1"/>
        <s v="1-1431726-3" u="1"/>
        <s v="1-1434399-2" u="1"/>
        <s v="1-1435427-5" u="1"/>
        <s v="1-1435519-5" u="1"/>
        <s v="1-1435551-3" u="1"/>
        <s v="1-1435751-2" u="1"/>
        <s v="1-1439728-4" u="1"/>
        <s v="1-1439944-2" u="1"/>
        <s v="1-1429728-8" u="1"/>
        <s v="1-1433119-3" u="1"/>
        <s v="1-1437236-2" u="1"/>
        <s v="1-1438749-12" u="1"/>
        <s v="1-1423919-3" u="1"/>
        <s v="1-1429061-2" u="1"/>
        <s v="11-1437222-2" u="1"/>
        <s v="1-1431550-3" u="1"/>
        <s v="1-1431934-2" u="1"/>
        <s v="1-1435451-4" u="1"/>
        <s v="1-1439352-5" u="1"/>
        <s v="1-1435544-17" u="1"/>
        <s v="12-1431970-23" u="1"/>
        <s v="1-1429752-7" u="1"/>
        <s v="1-1433051-2" u="1"/>
        <s v="1-1433327-2" u="1"/>
        <s v="1-1437536-1" u="1"/>
        <s v="1-1440689-5" u="1"/>
        <s v="1-1425244-2" u="1"/>
        <s v="1-1441342-1" u="1"/>
        <s v="10-1438394-2" u="1"/>
        <s v="1-1435427-6" u="1"/>
        <s v="1-1435551-4" u="1"/>
        <s v="1-1435843-3" u="1"/>
        <s v="1-1439852-3" u="1"/>
        <s v="1-1429522-11" u="1"/>
        <s v="1-1429728-9" u="1"/>
        <s v="1-1433427-2" u="1"/>
        <s v="1-1433519-2" u="1"/>
        <s v="1-1429045-4" u="1"/>
        <s v="1-1441242-2" u="1"/>
        <s v="10-1435806-2" u="1"/>
        <s v="1-1430398-3" u="1"/>
        <s v="1-1431950-2" u="1"/>
        <s v="1-1434699-2" u="1"/>
        <s v="1-1439352-6" u="1"/>
        <s v="11-1433337-2" u="1"/>
        <s v="1-1433435-2" u="1"/>
        <s v="1-1437444-2" u="1"/>
        <s v="1-1437536-2" u="1"/>
        <s v="1-1437736-1" u="1"/>
        <s v="1-1430898-1" u="1"/>
        <s v="1-1434799-2" u="1"/>
        <s v="1-1435551-5" u="1"/>
        <s v="1-1437436-3" u="1"/>
        <s v="1-1437744-1" u="1"/>
        <s v="1-1429045-5" u="1"/>
        <s v="1-1429553-2" u="1"/>
        <s v="1-1429829-2" u="1"/>
        <s v="1-1441334-3" u="1"/>
        <s v="1-1430798-2" u="1"/>
        <s v="1-1430998-1" u="1"/>
        <s v="1-1439352-7" u="1"/>
        <s v="1-1432099-2" u="1"/>
        <s v="1-1433451-2" u="1"/>
        <s v="1-1433635-2" u="1"/>
        <s v="1-1437460-2" u="1"/>
        <s v="1-1437644-2" u="1"/>
        <s v="1-1436377-11" u="1"/>
        <s v="1-1429529-4" u="1"/>
        <s v="1-1429837-2" u="1"/>
        <s v="1-1429929-2" u="1"/>
        <s v="1-1441142-4" u="1"/>
        <s v="1-1441250-3" u="1"/>
        <s v="1-1435551-6" u="1"/>
        <s v="10-1431509-4" u="1"/>
        <s v="10-1433381-2" u="1"/>
        <s v="11-1436337-2" u="1"/>
        <s v="1-1432199-2" u="1"/>
        <s v="1-1433627-3" u="1"/>
        <s v="1-1433827-2" u="1"/>
        <s v="1-1437652-2" u="1"/>
        <s v="1-1429045-6" u="1"/>
        <s v="1-1429937-2" u="1"/>
        <s v="1-1430798-3" u="1"/>
        <s v="1-1432299-2" u="1"/>
        <s v="1-1433743-2" u="1"/>
        <s v="1-1433819-3" u="1"/>
        <s v="1-1433835-2" u="1"/>
        <s v="1-1437352-4" u="1"/>
        <s v="1-1437628-4" u="1"/>
        <s v="1-1437644-3" u="1"/>
        <s v="1-1431019-3" u="1"/>
        <s v="1-1429161-5" u="1"/>
        <s v="1-1429529-5" u="1"/>
        <s v="1-1429945-2" u="1"/>
        <s v="1-1440098-3" u="1"/>
        <s v="1-1429290-16" u="1"/>
        <s v="1-1433643-3" u="1"/>
        <s v="1-1433827-3" u="1"/>
        <s v="1-1431243-1" u="1"/>
        <s v="1-1435528-1" u="1"/>
        <s v="1-1439061-2" u="1"/>
        <s v="1-1429845-3" u="1"/>
        <s v="1-1429937-3" u="1"/>
        <s v="1-1435709-10" u="1"/>
        <s v="1-1430798-4" u="1"/>
        <s v="1-1424493-11" u="1"/>
        <s v="10-1433421-3" u="1"/>
        <s v="13-1431460-4" u="1"/>
        <s v="1-1432499-2" u="1"/>
        <s v="1-1437860-2" u="1"/>
        <s v="10-1430388-3" u="1"/>
        <s v="1-1431143-2" u="1"/>
        <s v="1-1439529-2" u="1"/>
        <s v="1-1429161-6" u="1"/>
        <s v="1-1429529-6" u="1"/>
        <s v="1-1429522-19" u="1"/>
        <s v="10-1435633-2" u="1"/>
        <s v="10-1437657-2" u="1"/>
        <s v="1-1431335-2" u="1"/>
        <s v="1-1431427-2" u="1"/>
        <s v="1-1435436-2" u="1"/>
        <s v="1-1435452-1" u="1"/>
        <s v="1-1435528-2" u="1"/>
        <s v="1-1439537-2" u="1"/>
        <s v="1-1429045-8" u="1"/>
        <s v="1-1430798-5" u="1"/>
        <s v="1-1437644-5" u="1"/>
        <s v="11-1433336-2" u="1"/>
        <s v="11-1433428-2" u="1"/>
        <s v="13-1422324-2" u="1"/>
        <s v="1-1435152-3" u="1"/>
        <s v="1-1435336-3" u="1"/>
        <s v="1-1435352-2" u="1"/>
        <s v="1-1429529-7" u="1"/>
        <s v="1-1440498-3" u="1"/>
        <s v="1-1434197-10" u="1"/>
        <s v="1-1432799-2" u="1"/>
        <s v="1-1431535-2" u="1"/>
        <s v="1-1431627-2" u="1"/>
        <s v="1-1435544-2" u="1"/>
        <s v="1-1439261-3" u="1"/>
        <s v="1-1439445-3" u="1"/>
        <s v="1-1439461-2" u="1"/>
        <s v="1-1439553-2" u="1"/>
        <s v="1-1439629-3" u="1"/>
        <s v="1-1439661-1" u="1"/>
        <s v="1-1439737-2" u="1"/>
        <s v="1-1439829-2" u="1"/>
        <s v="1-1429045-9" u="1"/>
        <s v="1-1430798-6" u="1"/>
        <s v="13-1437976-2" u="1"/>
        <s v="1-1432899-2" u="1"/>
        <s v="1-1433851-4" u="1"/>
        <s v="1-1437644-6" u="1"/>
        <s v="1-1433892-15" u="1"/>
        <s v="1-1430099-2" u="1"/>
        <s v="1-1435260-3" u="1"/>
        <s v="1-1435552-2" u="1"/>
        <s v="1-1435736-2" u="1"/>
        <s v="1-1429529-8" u="1"/>
        <s v="1-1440898-2" u="1"/>
        <s v="10-1438113-5" u="1"/>
        <s v="10-1433348-4" u="1"/>
        <s v="10-1434668-2" u="1"/>
        <s v="11-1436336-2" u="1"/>
        <s v="1-1431551-2" u="1"/>
        <s v="1-1435544-3" u="1"/>
        <s v="1-1435836-2" u="1"/>
        <s v="1-1437061-1" u="1"/>
        <s v="1-1423928-2" u="1"/>
        <s v="1-1437644-7" u="1"/>
        <s v="1-1426518-14" u="1"/>
        <s v="10-1435468-3" u="1"/>
        <s v="1-1430099-3" u="1"/>
        <s v="1-1435260-4" u="1"/>
        <s v="1-1435552-3" u="1"/>
        <s v="1-1439745-3" u="1"/>
        <s v="1-1429529-9" u="1"/>
        <s v="1-1425145-2" u="1"/>
        <s v="1-1431919-3" u="1"/>
        <s v="1-1435544-4" u="1"/>
        <s v="1-1435944-2" u="1"/>
        <s v="1-1433144-2" u="1"/>
        <s v="1-1433328-2" u="1"/>
        <s v="1-1430798-8" u="1"/>
        <s v="1-1421528-1" u="1"/>
        <s v="1-1432899-4" u="1"/>
        <s v="1-1437644-8" u="1"/>
        <s v="1-1441235-2" u="1"/>
        <s v="1-1441251-1" u="1"/>
        <s v="1-1435260-5" u="1"/>
        <s v="1-1435552-4" u="1"/>
        <s v="1-1435660-3" u="1"/>
        <s v="1-1435752-3" u="1"/>
        <s v="1-1429761-7" u="1"/>
        <s v="1-1437729-1" u="1"/>
        <s v="10-1433392-13" u="1"/>
        <s v="1-1425161-2" u="1"/>
        <s v="1-1429046-4" u="1"/>
        <s v="1-1441243-2" u="1"/>
        <s v="1-1441335-2" u="1"/>
        <s v="10-1435908-2" u="1"/>
        <s v="1-1431951-2" u="1"/>
        <s v="1-1435544-5" u="1"/>
        <s v="1-1435728-5" u="1"/>
        <s v="1-1435744-4" u="1"/>
        <s v="1-1440008-14" u="1"/>
        <s v="1-1433436-2" u="1"/>
        <s v="1-1430798-9" u="1"/>
        <s v="1-1425261-2" u="1"/>
        <s v="1-1437644-9" u="1"/>
        <s v="1-1430899-1" u="1"/>
        <s v="1-1435552-5" u="1"/>
        <s v="1-1435752-4" u="1"/>
        <s v="1-1435936-4" u="1"/>
        <s v="10-1432679-2" u="1"/>
        <s v="1-1433260-2" u="1"/>
        <s v="1-1433536-2" u="1"/>
        <s v="1-1437453-2" u="1"/>
        <s v="12-1438144-10" u="1"/>
        <s v="1-1429046-5" u="1"/>
        <s v="1-1429554-2" u="1"/>
        <s v="1-1429662-1" u="1"/>
        <s v="1-1441443-2" u="1"/>
        <s v="1-1435544-6" u="1"/>
        <s v="1-1421313-31" u="1"/>
        <s v="11-1433231-2" u="1"/>
        <s v="1-1433360-2" u="1"/>
        <s v="1-1433636-2" u="1"/>
        <s v="1-1435552-6" u="1"/>
        <s v="1-1429943-10" u="1"/>
        <s v="1-1433828-2" u="1"/>
        <s v="1-1437453-3" u="1"/>
        <s v="1-1437637-3" u="1"/>
        <s v="1-1435037-2" u="1"/>
        <s v="1-1435129-2" u="1"/>
        <s v="1-1429046-6" u="1"/>
        <s v="1-1429846-2" u="1"/>
        <s v="1-1430399-5" u="1"/>
        <s v="1-1435544-7" u="1"/>
        <s v="10-1434667-2" u="1"/>
        <s v="1-1433836-2" u="1"/>
        <s v="1-1433852-1" u="1"/>
        <s v="1-1437737-3" u="1"/>
        <s v="1-1437845-2" u="1"/>
        <s v="11-1431094-2" u="1"/>
        <s v="1-1431128-2" u="1"/>
        <s v="1-1435045-2" u="1"/>
        <s v="1-1435137-2" u="1"/>
        <s v="1-1432141-14" u="1"/>
        <s v="1-1429838-3" u="1"/>
        <s v="1-1440099-3" u="1"/>
        <s v="12-1434071-8" u="1"/>
        <s v="1-1435260-8" u="1"/>
        <s v="1-1435552-7" u="1"/>
        <s v="13-1432786-3" u="1"/>
        <s v="1-1437637-4" u="1"/>
        <s v="1-1437853-2" u="1"/>
        <s v="10-1441002-2" u="1"/>
        <s v="1-1431044-2" u="1"/>
        <s v="1-1439338-2" u="1"/>
        <s v="1-1429046-7" u="1"/>
        <s v="1-1435544-8" u="1"/>
        <s v="1-1433852-2" u="1"/>
        <s v="1-1439346-2" u="1"/>
        <s v="1-1429162-6" u="1"/>
        <s v="1-1429870-2" u="1"/>
        <s v="1-1429962-2" u="1"/>
        <s v="1-1435260-9" u="1"/>
        <s v="1-1435552-8" u="1"/>
        <s v="13-1435998-2" u="1"/>
        <s v="1-1433860-2" u="1"/>
        <s v="1-1437637-5" u="1"/>
        <s v="1-1437654-17" u="1"/>
        <s v="10-1430386-3" u="1"/>
        <s v="1-1431060-2" u="1"/>
        <s v="1-1435145-3" u="1"/>
        <s v="1-1435161-2" u="1"/>
        <s v="1-1435453-1" u="1"/>
        <s v="1-1439370-1" u="1"/>
        <s v="1-1439446-2" u="1"/>
        <s v="1-1435544-9" u="1"/>
        <s v="1-1433960-2" u="1"/>
        <s v="1-1437861-3" u="1"/>
        <s v="1-1435153-3" u="1"/>
        <s v="1-1435353-2" u="1"/>
        <s v="1-1429162-7" u="1"/>
        <s v="1-1435552-9" u="1"/>
        <s v="10-1438471-2" u="1"/>
        <s v="1-1437637-6" u="1"/>
        <s v="1-1437961-3" u="1"/>
        <s v="11-1433426-2" u="1"/>
        <s v="1-1431044-4" u="1"/>
        <s v="1-1431352-2" u="1"/>
        <s v="1-1431628-2" u="1"/>
        <s v="1-1435729-2" u="1"/>
        <s v="1-1439462-2" u="1"/>
        <s v="1-1439554-2" u="1"/>
        <s v="1-1439846-1" u="1"/>
        <s v="1-1430209-14" u="1"/>
        <s v="1-1437753-5" u="1"/>
        <s v="10-1430934-1" u="1"/>
        <s v="11-1436358-2" u="1"/>
        <s v="1-1435261-3" u="1"/>
        <s v="1-1435553-2" u="1"/>
        <s v="1-1435753-1" u="1"/>
        <s v="1-1439454-3" u="1"/>
        <s v="1-1429162-8" u="1"/>
        <s v="1-1429254-8" u="1"/>
        <s v="1-1437238-1" u="1"/>
        <s v="12-1433558-7" u="1"/>
        <s v="1-1437637-7" u="1"/>
        <s v="1-1437961-4" u="1"/>
        <s v="11-1437082-2" u="1"/>
        <s v="12-1438014-2" u="1"/>
        <s v="1-1431444-3" u="1"/>
        <s v="1-1431828-2" u="1"/>
        <s v="1-1435561-2" u="1"/>
        <s v="1-1435729-3" u="1"/>
        <s v="1-1435761-1" u="1"/>
        <s v="12-1431970-16" u="1"/>
        <s v="1-1433329-1" u="1"/>
        <s v="1-1423929-2" u="1"/>
        <s v="10-1433362-3" u="1"/>
        <s v="11-1436334-2" u="1"/>
        <s v="1-1431452-3" u="1"/>
        <s v="1-1431728-3" u="1"/>
        <s v="1-1435661-2" u="1"/>
        <s v="1-1435737-3" u="1"/>
        <s v="1-1435753-2" u="1"/>
        <s v="1-1429162-9" u="1"/>
        <s v="1-1429254-9" u="1"/>
      </sharedItems>
    </cacheField>
    <cacheField name="Anunciante" numFmtId="0">
      <sharedItems/>
    </cacheField>
    <cacheField name="Cod. Neg." numFmtId="0">
      <sharedItems containsBlank="1" count="1847">
        <m/>
        <s v="280114"/>
        <s v="265622"/>
        <s v="279242"/>
        <s v="279464"/>
        <s v="279465"/>
        <s v="279407 101"/>
        <s v="280116"/>
        <s v="278643"/>
        <s v="3 octubre"/>
        <s v="280135"/>
        <s v="280139"/>
        <s v="280813"/>
        <s v="2901901 1octubre"/>
        <s v="290201 1octubre"/>
        <s v="2901828 1octubre"/>
        <s v="2903019 1"/>
        <s v="280117"/>
        <s v="2oct 20901"/>
        <s v="278641"/>
        <s v="&gt;PENDIENTE&lt;"/>
        <s v="278640"/>
        <s v="280115"/>
        <s v="29863"/>
        <s v="279240"/>
        <s v="26598"/>
        <s v="21656"/>
        <s v="280113"/>
        <s v="290901 1octubre"/>
        <s v="275759"/>
        <s v="279153"/>
        <s v="10102020"/>
        <s v="279154"/>
        <s v="2763510"/>
        <s v="BSE2020" u="1"/>
        <s v="274454" u="1"/>
        <s v="275718" u="1"/>
        <s v="278386" u="1"/>
        <s v="3300" u="1"/>
        <s v="276442" u="1"/>
        <s v="278374" u="1"/>
        <s v="1542369" u="1"/>
        <s v="2743261" u="1"/>
        <s v="090720cd" u="1"/>
        <s v="2770741" u="1"/>
        <s v="278626" u="1"/>
        <s v="279454" u="1"/>
        <s v="279546" u="1"/>
        <s v="279638" u="1"/>
        <s v="280008" u="1"/>
        <s v="278614" u="1"/>
        <s v="279534" u="1"/>
        <s v="279626" u="1"/>
        <s v="279718" u="1"/>
        <s v="278602" u="1"/>
        <s v="279522" u="1"/>
        <s v="279614" u="1"/>
        <s v="279706" u="1"/>
        <s v="279510" u="1"/>
        <s v="279602" u="1"/>
        <s v="4560" u="1"/>
        <s v="26082020" u="1"/>
        <s v="4580" u="1"/>
        <s v="30072020" u="1"/>
        <s v="02082020" u="1"/>
        <s v="269957 8" u="1"/>
        <s v="73371" u="1"/>
        <s v="268812 1" u="1"/>
        <s v="070806" u="1"/>
        <s v="150520" u="1"/>
        <s v="030520" u="1"/>
        <s v="275728" u="1"/>
        <s v="7287" u="1"/>
        <s v="276440" u="1"/>
        <s v="278648" u="1"/>
        <s v="278636" u="1"/>
        <s v="279648" u="1"/>
        <s v="298635" u="1"/>
        <s v="280018" u="1"/>
        <s v="278624" u="1"/>
        <s v="279452" u="1"/>
        <s v="279544" u="1"/>
        <s v="279636" u="1"/>
        <s v="279728" u="1"/>
        <s v="280006" u="1"/>
        <s v="279532" u="1"/>
        <s v="279716" u="1"/>
        <s v="279520" u="1"/>
        <s v="279612" u="1"/>
        <s v="279704" u="1"/>
        <s v="73248" u="1"/>
        <s v="18092020" u="1"/>
        <s v="25052020 PER" u="1"/>
        <s v="290909" u="1"/>
        <s v="070620" u="1"/>
        <s v="230520" u="1"/>
        <s v="11-5-20" u="1"/>
        <s v="171805" u="1"/>
        <s v="275726" u="1"/>
        <s v="280667 2" u="1"/>
        <s v="275714" u="1"/>
        <s v="276450" u="1"/>
        <s v="278382" u="1"/>
        <s v="4511" u="1"/>
        <s v="275702" u="1"/>
        <s v="278646" u="1"/>
        <s v="279658" u="1"/>
        <s v="280028" u="1"/>
        <s v="278634" u="1"/>
        <s v="279462" u="1"/>
        <s v="279646" u="1"/>
        <s v="279738" u="1"/>
        <s v="271701 300420" u="1"/>
        <s v="280016" u="1"/>
        <s v="280108" u="1"/>
        <s v="278622" u="1"/>
        <s v="279542" u="1"/>
        <s v="279726" u="1"/>
        <s v="280004" u="1"/>
        <s v="300520 2" u="1"/>
        <s v="278610" u="1"/>
        <s v="279530" u="1"/>
        <s v="279622" u="1"/>
        <s v="279714" u="1"/>
        <s v="279610" u="1"/>
        <s v="279702" u="1"/>
        <s v="14092020" u="1"/>
        <s v="200920200" u="1"/>
        <s v="02092020" u="1"/>
        <s v="310520" u="1"/>
        <s v="253645" u="1"/>
        <s v="25968" u="1"/>
        <s v="29 SEPTIEMBRE" u="1"/>
        <s v="9688" u="1"/>
        <s v="277668" u="1"/>
        <s v="278668" u="1"/>
        <s v="275712" u="1"/>
        <s v="279668" u="1"/>
        <s v="280038" u="1"/>
        <s v="278644" u="1"/>
        <s v="279472" u="1"/>
        <s v="279656" u="1"/>
        <s v="279748" u="1"/>
        <s v="280026" u="1"/>
        <s v="280118" u="1"/>
        <s v="280930 10" u="1"/>
        <s v="278632" u="1"/>
        <s v="279460" u="1"/>
        <s v="279644" u="1"/>
        <s v="279736" u="1"/>
        <s v="280106" u="1"/>
        <s v="277700" u="1"/>
        <s v="278620" u="1"/>
        <s v="279540" u="1"/>
        <s v="279632" u="1"/>
        <s v="279724" u="1"/>
        <s v="279908" u="1"/>
        <s v="280002" u="1"/>
        <s v="279620" u="1"/>
        <s v="279712" u="1"/>
        <s v="261003" u="1"/>
        <s v="279700" u="1"/>
        <s v="I" u="1"/>
        <s v="10092020" u="1"/>
        <s v="9228" u="1"/>
        <s v="154236U" u="1"/>
        <s v="10820" u="1"/>
        <s v="290023 2" u="1"/>
        <s v="25969" u="1"/>
        <s v="25 septiembre" u="1"/>
        <s v="275746" u="1"/>
        <s v="277678" u="1"/>
        <s v="13 septiembre" u="1"/>
        <s v="275734" u="1"/>
        <s v="277666" u="1"/>
        <s v="278678" u="1"/>
        <s v="280944 11" u="1"/>
        <s v="275722" u="1"/>
        <s v="279678" u="1"/>
        <s v="4512" u="1"/>
        <s v="275710" u="1"/>
        <s v="278654" u="1"/>
        <s v="279666" u="1"/>
        <s v="4522" u="1"/>
        <s v="280036" u="1"/>
        <s v="280128" u="1"/>
        <s v="278642" u="1"/>
        <s v="279654" u="1"/>
        <s v="279746" u="1"/>
        <s v="280024" u="1"/>
        <s v="280208" u="1"/>
        <s v="278630" u="1"/>
        <s v="279550" u="1"/>
        <s v="279642" u="1"/>
        <s v="279734" u="1"/>
        <s v="279918" u="1"/>
        <s v="4542" u="1"/>
        <s v="280012" u="1"/>
        <s v="280104" u="1"/>
        <s v="279630" u="1"/>
        <s v="279722" u="1"/>
        <s v="279906" u="1"/>
        <s v="280000" u="1"/>
        <s v="281000" u="1"/>
        <s v="4572" u="1"/>
        <s v="4582" u="1"/>
        <s v="2901910" u="1"/>
        <s v="269957 9" u="1"/>
        <s v="290903" u="1"/>
        <s v="274756" u="1"/>
        <s v="277676" u="1"/>
        <s v="275732" u="1"/>
        <s v="278676" u="1"/>
        <s v="279688" u="1"/>
        <s v="298675" u="1"/>
        <s v="275720" u="1"/>
        <s v="278572" u="1"/>
        <s v="279676" u="1"/>
        <s v="280046" u="1"/>
        <s v="279664" u="1"/>
        <s v="280034" u="1"/>
        <s v="280126" u="1"/>
        <s v="280218" u="1"/>
        <s v="279652" u="1"/>
        <s v="279744" u="1"/>
        <s v="279928" u="1"/>
        <s v="1546282" u="1"/>
        <s v="280022" u="1"/>
        <s v="280206" u="1"/>
        <s v="279640" u="1"/>
        <s v="279732" u="1"/>
        <s v="279916" u="1"/>
        <s v="280102" u="1"/>
        <s v="25698 11" u="1"/>
        <s v="26531" u="1"/>
        <s v="279720" u="1"/>
        <s v="279904" u="1"/>
        <s v="303039" u="1"/>
        <s v="1546283" u="1"/>
        <s v="101105" u="1"/>
        <s v="182021" u="1"/>
        <s v="2563" u="1"/>
        <s v="082020" u="1"/>
        <s v="21286" u="1"/>
        <s v="269234 5" u="1"/>
        <s v="277698" u="1"/>
        <s v="277686" u="1"/>
        <s v="275742" u="1"/>
        <s v="277674" u="1"/>
        <s v="278686" u="1"/>
        <s v="279698" u="1"/>
        <s v="275730" u="1"/>
        <s v="277662" u="1"/>
        <s v="278674" u="1"/>
        <s v="279686" u="1"/>
        <s v="279674" u="1"/>
        <s v="280044" u="1"/>
        <s v="280136" u="1"/>
        <s v="280228" u="1"/>
        <s v="278650" u="1"/>
        <s v="279662" u="1"/>
        <s v="279938" u="1"/>
        <s v="280032" u="1"/>
        <s v="280124" u="1"/>
        <s v="280216" u="1"/>
        <s v="2763501" u="1"/>
        <s v="279742" u="1"/>
        <s v="279926" u="1"/>
        <s v="4543" u="1"/>
        <s v="280020" u="1"/>
        <s v="280112" u="1"/>
        <s v="280204" u="1"/>
        <s v="279730" u="1"/>
        <s v="279914" u="1"/>
        <s v="261021" u="1"/>
        <s v="279902" u="1"/>
        <s v="4573" u="1"/>
        <s v="73377" u="1"/>
        <s v="042020" u="1"/>
        <s v="4593" u="1"/>
        <s v="FEFER 07-20" u="1"/>
        <s v="25688" u="1"/>
        <s v="0708060" u="1"/>
        <s v="49996" u="1"/>
        <s v="275672" u="1"/>
        <s v="277696" u="1"/>
        <s v="277684" u="1"/>
        <s v="277672" u="1"/>
        <s v="279696" u="1"/>
        <s v="280158" u="1"/>
        <s v="277660" u="1"/>
        <s v="278672" u="1"/>
        <s v="279684" u="1"/>
        <s v="280238" u="1"/>
        <s v="279672" u="1"/>
        <s v="279948" u="1"/>
        <s v="280042" u="1"/>
        <s v="280134" u="1"/>
        <s v="280226" u="1"/>
        <s v="279660" u="1"/>
        <s v="279936" u="1"/>
        <s v="30331" u="1"/>
        <s v="280030" u="1"/>
        <s v="280122" u="1"/>
        <s v="280214" u="1"/>
        <s v="26533" u="1"/>
        <s v="279740" u="1"/>
        <s v="279832" u="1"/>
        <s v="279924" u="1"/>
        <s v="2909 102" u="1"/>
        <s v="280359 julio" u="1"/>
        <s v="280110" u="1"/>
        <s v="280202" u="1"/>
        <s v="279912" u="1"/>
        <s v="150520 MON" u="1"/>
        <s v="28 agosto" u="1"/>
        <s v="16 AGOSTO" u="1"/>
        <s v="290091 1" u="1"/>
        <s v="30042020 CP" u="1"/>
        <s v="274798" u="1"/>
        <s v="290921" u="1"/>
        <s v="070920" u="1"/>
        <s v="275670" u="1"/>
        <s v="277694" u="1"/>
        <s v="275488 0520" u="1"/>
        <s v="277682" u="1"/>
        <s v="280168" u="1"/>
        <s v="277670" u="1"/>
        <s v="278682" u="1"/>
        <s v="279694" u="1"/>
        <s v="280156" u="1"/>
        <s v="280248" u="1"/>
        <s v="279457 10" u="1"/>
        <s v="278670" u="1"/>
        <s v="279682" u="1"/>
        <s v="279958" u="1"/>
        <s v="280236" u="1"/>
        <s v="abril2020" u="1"/>
        <s v="279670" u="1"/>
        <s v="279946" u="1"/>
        <s v="4534" u="1"/>
        <s v="280040" u="1"/>
        <s v="280132" u="1"/>
        <s v="280224" u="1"/>
        <s v="280408" u="1"/>
        <s v="26534" u="1"/>
        <s v="279750" u="1"/>
        <s v="279934" u="1"/>
        <s v="4544" u="1"/>
        <s v="280120" u="1"/>
        <s v="280212" u="1"/>
        <s v="279830" u="1"/>
        <s v="279922" u="1"/>
        <s v="4554" u="1"/>
        <s v="280200" u="1"/>
        <s v="279910" u="1"/>
        <s v="04 -2020" u="1"/>
        <s v="25698" u="1"/>
        <s v="280908 101" u="1"/>
        <s v="275784" u="1"/>
        <s v="277652 MY20" u="1"/>
        <s v="277692" u="1"/>
        <s v="280178" u="1"/>
        <s v="277680" u="1"/>
        <s v="07052020" u="1"/>
        <s v="280166" u="1"/>
        <s v="277944" u="1"/>
        <s v="278680" u="1"/>
        <s v="279692" u="1"/>
        <s v="280154" u="1"/>
        <s v="280246" u="1"/>
        <s v="279680" u="1"/>
        <s v="279956" u="1"/>
        <s v="280050" u="1"/>
        <s v="280418" u="1"/>
        <s v="279944" u="1"/>
        <s v="280222" u="1"/>
        <s v="280406" u="1"/>
        <s v="279932" u="1"/>
        <s v="280210" u="1"/>
        <s v="25698 12" u="1"/>
        <s v="279920" u="1"/>
        <s v="204054" u="1"/>
        <s v="26935" u="1"/>
        <s v="303031" u="1"/>
        <s v="159456 mh" u="1"/>
        <s v="274770" u="1"/>
        <s v="273648 0620" u="1"/>
        <s v="50025" u="1"/>
        <s v="280188" u="1"/>
        <s v="280176" u="1"/>
        <s v="280268" u="1"/>
        <s v="15052020" u="1"/>
        <s v="279978" u="1"/>
        <s v="280164" u="1"/>
        <s v="280256" u="1"/>
        <s v="279690" u="1"/>
        <s v="280152" u="1"/>
        <s v="280244" u="1"/>
        <s v="280428" u="1"/>
        <s v="279954" u="1"/>
        <s v="4535" u="1"/>
        <s v="280416" u="1"/>
        <s v="279942" u="1"/>
        <s v="280220" u="1"/>
        <s v="280404" u="1"/>
        <s v="279930" u="1"/>
        <s v="2956" u="1"/>
        <s v="280300" u="1"/>
        <s v="23080612020" u="1"/>
        <s v="290190 11" u="1"/>
        <s v="73397" u="1"/>
        <s v="290190 9" u="1"/>
        <s v="274454 abr20" u="1"/>
        <s v="274792" u="1"/>
        <s v="may2020" u="1"/>
        <s v="280198" u="1"/>
        <s v="280186" u="1"/>
        <s v="280278" u="1"/>
        <s v="19062020" u="1"/>
        <s v="279988" u="1"/>
        <s v="234512 1" u="1"/>
        <s v="280174" u="1"/>
        <s v="280266" u="1"/>
        <s v="11052020" u="1"/>
        <s v="06082020 1" u="1"/>
        <s v="279976" u="1"/>
        <s v="ab2020" u="1"/>
        <s v="280162" u="1"/>
        <s v="280254" u="1"/>
        <s v="280438" u="1"/>
        <s v="280242" u="1"/>
        <s v="280426" u="1"/>
        <s v="279952" u="1"/>
        <s v="280230" u="1"/>
        <s v="280414" u="1"/>
        <s v="279940" u="1"/>
        <s v="8965" u="1"/>
        <s v="280402" u="1"/>
        <s v="sep" u="1"/>
        <s v="´280276" u="1"/>
        <s v="´280277" u="1"/>
        <s v="2090190 1" u="1"/>
        <s v="273648 0720" u="1"/>
        <s v="277998" u="1"/>
        <s v="280196" u="1"/>
        <s v="279998" u="1"/>
        <s v="280184" u="1"/>
        <s v="279986" u="1"/>
        <s v="4516" u="1"/>
        <s v="280172" u="1"/>
        <s v="280448" u="1"/>
        <s v="26538" u="1"/>
        <s v="279974" u="1"/>
        <s v="4526" u="1"/>
        <s v="280160" u="1"/>
        <s v="280436" u="1"/>
        <s v="279962" u="1"/>
        <s v="4536" u="1"/>
        <s v="280240" u="1"/>
        <s v="280424" u="1"/>
        <s v="sep2020" u="1"/>
        <s v="279950" u="1"/>
        <s v="4546" u="1"/>
        <s v="280412" u="1"/>
        <s v="280504" u="1"/>
        <s v="26938" u="1"/>
        <s v="290190 12" u="1"/>
        <s v="17102019 4" u="1"/>
        <s v="4566" u="1"/>
        <s v="UHYG" u="1"/>
        <s v="290390 10" u="1"/>
        <s v="4586" u="1"/>
        <s v="2 agosto." u="1"/>
        <s v="266333" u="1"/>
        <s v="28 jun" u="1"/>
        <s v="171805 1" u="1"/>
        <s v="256985" u="1"/>
        <s v="280194" u="1"/>
        <s v="280286" u="1"/>
        <s v="19072020" u="1"/>
        <s v="279996" u="1"/>
        <s v="280182" u="1"/>
        <s v="280274" u="1"/>
        <s v="280458" u="1"/>
        <s v="26539" u="1"/>
        <s v="279984" u="1"/>
        <s v="280170" u="1"/>
        <s v="280446" u="1"/>
        <s v="280538" u="1"/>
        <s v="279972" u="1"/>
        <s v="20062020 BAND." u="1"/>
        <s v="280250" u="1"/>
        <s v="280434" u="1"/>
        <s v="280618" u="1"/>
        <s v="279960" u="1"/>
        <s v="280422" u="1"/>
        <s v="280410" u="1"/>
        <s v="280502" u="1"/>
        <s v="277994 29" u="1"/>
        <s v="273648 3004" u="1"/>
        <s v="25698 23" u="1"/>
        <s v="2090190 2" u="1"/>
        <s v="273648 0820" u="1"/>
        <s v="123" u="1"/>
        <s v="26598 1" u="1"/>
        <s v="20200430" u="1"/>
        <s v="256983" u="1"/>
        <s v="26598 2" u="1"/>
        <s v="280296" u="1"/>
        <s v="280192" u="1"/>
        <s v="280376" u="1"/>
        <s v="280468" u="1"/>
        <s v="15072020" u="1"/>
        <s v="279994" u="1"/>
        <s v="26598 3" u="1"/>
        <s v="03072020" u="1"/>
        <s v="4517" u="1"/>
        <s v="280180" u="1"/>
        <s v="280272" u="1"/>
        <s v="280456" u="1"/>
        <s v="280548" u="1"/>
        <s v="279982" u="1"/>
        <s v="269980 1505" u="1"/>
        <s v="240446" u="1"/>
        <s v="280260" u="1"/>
        <s v="280444" u="1"/>
        <s v="280536" u="1"/>
        <s v="280628" u="1"/>
        <s v="279970" u="1"/>
        <s v="26598 4" u="1"/>
        <s v="280432" u="1"/>
        <s v="280616" u="1"/>
        <s v="4547" u="1"/>
        <s v="280420" u="1"/>
        <s v="280604" u="1"/>
        <s v="4557" u="1"/>
        <s v="242526" u="1"/>
        <s v="280500" u="1"/>
        <s v="201412" u="1"/>
        <s v="280946 112" u="1"/>
        <s v="290910 01" u="1"/>
        <s v="280398" u="1"/>
        <s v="280294" u="1"/>
        <s v="280386" u="1"/>
        <s v="280478" u="1"/>
        <s v="07082020" u="1"/>
        <s v="23072020" u="1"/>
        <s v="234512 2" u="1"/>
        <s v="280190" u="1"/>
        <s v="280466" u="1"/>
        <s v="11072020" u="1"/>
        <s v="279992" u="1"/>
        <s v="14365" u="1"/>
        <s v="280270" u="1"/>
        <s v="280454" u="1"/>
        <s v="280546" u="1"/>
        <s v="280638" u="1"/>
        <s v="279980" u="1"/>
        <s v="280350" u="1"/>
        <s v="280442" u="1"/>
        <s v="280626" u="1"/>
        <s v="280430" u="1"/>
        <s v="280614" u="1"/>
        <s v="080520" u="1"/>
        <s v="280602" u="1"/>
        <s v="273648 3105" u="1"/>
        <s v="04102020" u="1"/>
        <s v="4650" u="1"/>
        <s v="192007" u="1"/>
        <s v="280396" u="1"/>
        <s v="4680" u="1"/>
        <s v="280384" u="1"/>
        <s v="280476" u="1"/>
        <s v="4518" u="1"/>
        <s v="280464" u="1"/>
        <s v="280648" u="1"/>
        <s v="279990" u="1"/>
        <s v="280452" u="1"/>
        <s v="280544" u="1"/>
        <s v="280636" u="1"/>
        <s v="280440" u="1"/>
        <s v="280624" u="1"/>
        <s v="280808" u="1"/>
        <s v="240430" u="1"/>
        <s v="280612" u="1"/>
        <s v="26590" u="1"/>
        <s v="101105 1" u="1"/>
        <s v="4568" u="1"/>
        <s v="15842012" u="1"/>
        <s v="3020" u="1"/>
        <s v="230820 p" u="1"/>
        <s v="290901 1" u="1"/>
        <s v="171805 2" u="1"/>
        <s v="280498" u="1"/>
        <s v="26359" u="1"/>
        <s v="280394" u="1"/>
        <s v="280486" u="1"/>
        <s v="23082020" u="1"/>
        <s v="2509" u="1"/>
        <s v="280474" u="1"/>
        <s v="1octubre 29010" u="1"/>
        <s v="280462" u="1"/>
        <s v="280646" u="1"/>
        <s v="280450" u="1"/>
        <s v="280542" u="1"/>
        <s v="280634" u="1"/>
        <s v="280818" u="1"/>
        <s v="280622" u="1"/>
        <s v="240520" u="1"/>
        <s v="277994 39" u="1"/>
        <s v="12130620" u="1"/>
        <s v="266715" u="1"/>
        <s v="4621" u="1"/>
        <s v="1 SEPTIEMBRE VENTAS" u="1"/>
        <s v="6082020" u="1"/>
        <s v="280496" u="1"/>
        <s v="27092020" u="1"/>
        <s v="290092 101" u="1"/>
        <s v="4509" u="1"/>
        <s v="4681" u="1"/>
        <s v="280392" u="1"/>
        <s v="280484" u="1"/>
        <s v="280668" u="1"/>
        <s v="15092020" u="1"/>
        <s v="31082020" u="1"/>
        <s v="210920200" u="1"/>
        <s v="03092020" u="1"/>
        <s v="280472" u="1"/>
        <s v="280748" u="1"/>
        <s v="280460" u="1"/>
        <s v="280644" u="1"/>
        <s v="280828" u="1"/>
        <s v="4539" u="1"/>
        <s v="280540" u="1"/>
        <s v="280632" u="1"/>
        <s v="280816" u="1"/>
        <s v="280908" u="1"/>
        <s v="26584" u="1"/>
        <s v="4549" u="1"/>
        <s v="262829" u="1"/>
        <s v="280620" u="1"/>
        <s v="290190 23" u="1"/>
        <s v="4559" u="1"/>
        <s v="040620" u="1"/>
        <s v="280700" u="1"/>
        <s v="BM07/2020" u="1"/>
        <s v="4569" u="1"/>
        <s v="1314082020" u="1"/>
        <s v="11020" u="1"/>
        <s v="290810 12" u="1"/>
        <s v="274586 2" u="1"/>
        <s v="289908" u="1"/>
        <s v="15421" u="1"/>
        <s v="1452" u="1"/>
        <s v="280494" u="1"/>
        <s v="280678" u="1"/>
        <s v="234512 3" u="1"/>
        <s v="280390" u="1"/>
        <s v="280482" u="1"/>
        <s v="11092020" u="1"/>
        <s v="280470" u="1"/>
        <s v="280746" u="1"/>
        <s v="280838" u="1"/>
        <s v="280550" u="1"/>
        <s v="280642" u="1"/>
        <s v="280826" u="1"/>
        <s v="280918" u="1"/>
        <s v="280630" u="1"/>
        <s v="280906" u="1"/>
        <s v="120620" u="1"/>
        <s v="282906" u="1"/>
        <s v="26985" u="1"/>
        <s v="15062002" u="1"/>
        <s v="7451" u="1"/>
        <s v="289906" u="1"/>
        <s v="4652" u="1"/>
        <s v="4662" u="1"/>
        <s v="277645 22" u="1"/>
        <s v="280688" u="1"/>
        <s v="277956 1" u="1"/>
        <s v="280492" u="1"/>
        <s v="280676" u="1"/>
        <s v="280768" u="1"/>
        <s v="280480" u="1"/>
        <s v="280848" u="1"/>
        <s v="274579 30/04" u="1"/>
        <s v="280744" u="1"/>
        <s v="280836" u="1"/>
        <s v="280928" u="1"/>
        <s v="280640" u="1"/>
        <s v="280824" u="1"/>
        <s v="280916" u="1"/>
        <s v="94682" u="1"/>
        <s v="280812" u="1"/>
        <s v="280904" u="1"/>
        <s v="1254125" u="1"/>
        <s v="200620" u="1"/>
        <s v="121906" u="1"/>
        <s v="101105 2" u="1"/>
        <s v="BM08/2020" u="1"/>
        <s v="22 SEPTIEMBRE" u="1"/>
        <s v="Agsep0720" u="1"/>
        <s v="280948 2091" u="1"/>
        <s v="171805 3" u="1"/>
        <s v="289904" u="1"/>
        <s v="2653" u="1"/>
        <s v="092020" u="1"/>
        <s v="280698" u="1"/>
        <s v="280686" u="1"/>
        <s v="280490" u="1"/>
        <s v="280674" u="1"/>
        <s v="280858" u="1"/>
        <s v="280754" u="1"/>
        <s v="280846" u="1"/>
        <s v="280938" u="1"/>
        <s v="280650" u="1"/>
        <s v="280926" u="1"/>
        <s v="279219" u="1"/>
        <s v="280822" u="1"/>
        <s v="280914" u="1"/>
        <s v="240720" u="1"/>
        <s v="279207" u="1"/>
        <s v="280902" u="1"/>
        <s v="9 agosto" u="1"/>
        <s v="290932 12" u="1"/>
        <s v="sep20 1" u="1"/>
        <s v="sep20 2" u="1"/>
        <s v="289902" u="1"/>
        <s v="4663" u="1"/>
        <s v="052020" u="1"/>
        <s v="280696" u="1"/>
        <s v="280684" u="1"/>
        <s v="280868" u="1"/>
        <s v="0902  1607" u="1"/>
        <s v="280672" u="1"/>
        <s v="280856" u="1"/>
        <s v="280948" u="1"/>
        <s v="280844" u="1"/>
        <s v="280936" u="1"/>
        <s v="278217" u="1"/>
        <s v="279229" u="1"/>
        <s v="280832" u="1"/>
        <s v="280924" u="1"/>
        <s v="280414 1" u="1"/>
        <s v="280820" u="1"/>
        <s v="280912" u="1"/>
        <s v="279205" u="1"/>
        <s v="280900" u="1"/>
        <s v="BM09/2020" u="1"/>
        <s v="1516192020" u="1"/>
        <s v="269857" u="1"/>
        <s v="279453 101" u="1"/>
        <s v="290122" u="1"/>
        <s v="2654" u="1"/>
        <s v="289900" u="1"/>
        <s v="29 AGOSTO" u="1"/>
        <s v="277067" u="1"/>
        <s v="280694" u="1"/>
        <s v="280878" u="1"/>
        <s v="280682" u="1"/>
        <s v="280866" u="1"/>
        <s v="280958" u="1"/>
        <s v="26589" u="1"/>
        <s v="280670" u="1"/>
        <s v="280854" u="1"/>
        <s v="280946" u="1"/>
        <s v="26597" u="1"/>
        <s v="280750" u="1"/>
        <s v="280934" u="1"/>
        <s v="278215" u="1"/>
        <s v="279227" u="1"/>
        <s v="280830" u="1"/>
        <s v="280922" u="1"/>
        <s v="280910" u="1"/>
        <s v="274454 AGO20" u="1"/>
        <s v="279203" u="1"/>
        <s v="290932 13" u="1"/>
        <s v="4UL" u="1"/>
        <s v="4614" u="1"/>
        <s v="4654" u="1"/>
        <s v="275169" u="1"/>
        <s v="2814625" u="1"/>
        <s v="289910" u="1"/>
        <s v="27998,5" u="1"/>
        <s v="4664" u="1"/>
        <s v="4674" u="1"/>
        <s v="274317" u="1"/>
        <s v="280888" u="1"/>
        <s v="2814626" u="1"/>
        <s v="26398" u="1"/>
        <s v="4684" u="1"/>
        <s v="278169" u="1"/>
        <s v="280692" u="1"/>
        <s v="280876" u="1"/>
        <s v="280968" u="1"/>
        <s v="020.92020" u="1"/>
        <s v="277053" u="1"/>
        <s v="280680" u="1"/>
        <s v="280864" u="1"/>
        <s v="280956" u="1"/>
        <s v="2814627" u="1"/>
        <s v="277317" u="1"/>
        <s v="280852" u="1"/>
        <s v="280944" u="1"/>
        <s v="277305" u="1"/>
        <s v="278133" u="1"/>
        <s v="280840" u="1"/>
        <s v="280932" u="1"/>
        <s v="278121" u="1"/>
        <s v="279225" u="1"/>
        <s v="279409" u="1"/>
        <s v="280920" u="1"/>
        <s v="279201" u="1"/>
        <s v="jul  2020" u="1"/>
        <s v="274454 JUN20" u="1"/>
        <s v="BM2020" u="1"/>
        <s v="28 agosto 2020" u="1"/>
        <s v="277907 jul-dic2020" u="1"/>
        <s v="12 julio" u="1"/>
        <s v="209310 1" u="1"/>
        <s v="256983 1" u="1"/>
        <s v="274327" u="1"/>
        <s v="277087" u="1"/>
        <s v="280898" u="1"/>
        <s v="278179" u="1"/>
        <s v="280886" u="1"/>
        <s v="280978" u="1"/>
        <s v="280690" u="1"/>
        <s v="280874" u="1"/>
        <s v="280966" u="1"/>
        <s v="280862" u="1"/>
        <s v="280954" u="1"/>
        <s v="280850" u="1"/>
        <s v="277303" u="1"/>
        <s v="278131" u="1"/>
        <s v="280930" u="1"/>
        <s v="122772" u="1"/>
        <s v="32020 5" u="1"/>
        <s v="278211" u="1"/>
        <s v="279223" u="1"/>
        <s v="279407" u="1"/>
        <s v="ag2020" u="1"/>
        <s v="4625" u="1"/>
        <s v="UCA300420" u="1"/>
        <s v="20 julio" u="1"/>
        <s v="030405" u="1"/>
        <s v="4665" u="1"/>
        <s v="277097" u="1"/>
        <s v="277992 1" u="1"/>
        <s v="290190 19" u="1"/>
        <s v="4675" u="1"/>
        <s v="280896" u="1"/>
        <s v="280988" u="1"/>
        <s v="15852" u="1"/>
        <s v="278177" u="1"/>
        <s v="280884" u="1"/>
        <s v="280976" u="1"/>
        <s v="280872" u="1"/>
        <s v="280964" u="1"/>
        <s v="280860" u="1"/>
        <s v="280952" u="1"/>
        <s v="280940" u="1"/>
        <s v="280414 2" u="1"/>
        <s v="279233" u="1"/>
        <s v="279509" u="1"/>
        <s v="279221" u="1"/>
        <s v="279405" u="1"/>
        <s v="280949 1sept" u="1"/>
        <s v="300420201" u="1"/>
        <s v="274454 JUL20" u="1"/>
        <s v="08062020" u="1"/>
        <s v="24052020" u="1"/>
        <s v="279453 121" u="1"/>
        <s v="UCA070520" u="1"/>
        <s v="280998" u="1"/>
        <s v="280894" u="1"/>
        <s v="280986" u="1"/>
        <s v="277347" u="1"/>
        <s v="280882" u="1"/>
        <s v="280974" u="1"/>
        <s v="277335" u="1"/>
        <s v="280870" u="1"/>
        <s v="280962" u="1"/>
        <s v="21julio" u="1"/>
        <s v="0910202" u="1"/>
        <s v="280950" u="1"/>
        <s v="279519" u="1"/>
        <s v="279231" u="1"/>
        <s v="279415" u="1"/>
        <s v="279507" u="1"/>
        <s v="290932 15" u="1"/>
        <s v="279403" u="1"/>
        <s v="28062020" u="1"/>
        <s v="15 SEPTIEMBRE - AVISO 2" u="1"/>
        <s v="4616" u="1"/>
        <s v="4626" u="1"/>
        <s v="UCA240520" u="1"/>
        <s v="278197" u="1"/>
        <s v="280996" u="1"/>
        <s v="280892" u="1"/>
        <s v="280984" u="1"/>
        <s v="277345" u="1"/>
        <s v="280880" u="1"/>
        <s v="280972" u="1"/>
        <s v="277333" u="1"/>
        <s v="280960" u="1"/>
        <s v="277321" u="1"/>
        <s v="278241" u="1"/>
        <s v="278609" u="1"/>
        <s v="279529" u="1"/>
        <s v="279517" u="1"/>
        <s v="279609" u="1"/>
        <s v="279505" u="1"/>
        <s v="054" u="1"/>
        <s v="279401" u="1"/>
        <s v="055" u="1"/>
        <s v="056" u="1"/>
        <s v="279453 131" u="1"/>
        <s v="08072020" u="1"/>
        <s v="057" u="1"/>
        <s v="23082020 1" u="1"/>
        <s v="058" u="1"/>
        <s v="290209 10" u="1"/>
        <s v="059" u="1"/>
        <s v="154287" u="1"/>
        <s v="280994" u="1"/>
        <s v="280668 1" u="1"/>
        <s v="280890" u="1"/>
        <s v="280982" u="1"/>
        <s v="130" u="1"/>
        <s v="200974" u="1"/>
        <s v="278263" u="1"/>
        <s v="279459" u="1"/>
        <s v="280970" u="1"/>
        <s v="131" u="1"/>
        <s v="1920" u="1"/>
        <s v="278619" u="1"/>
        <s v="279539" u="1"/>
        <s v="132" u="1"/>
        <s v="278607" u="1"/>
        <s v="279527" u="1"/>
        <s v="279619" u="1"/>
        <s v="133" u="1"/>
        <s v="279515" u="1"/>
        <s v="279607" u="1"/>
        <s v="134" u="1"/>
        <s v="202950" u="1"/>
        <s v="265983" u="1"/>
        <s v="279411" u="1"/>
        <s v="279503" u="1"/>
        <s v="135" u="1"/>
        <s v="1792020" u="1"/>
        <s v="15248" u="1"/>
        <s v="136" u="1"/>
        <s v="4607" u="1"/>
        <s v="289381 11" u="1"/>
        <s v="20062020" u="1"/>
        <s v="4617" u="1"/>
        <s v="138" u="1"/>
        <s v="274579 07/05" u="1"/>
        <s v="4637" u="1"/>
        <s v="290420" u="1"/>
        <s v="151617" u="1"/>
        <s v="07072020 ucr" u="1"/>
        <s v="275709" u="1"/>
        <s v="280992" u="1"/>
        <s v="280980" u="1"/>
        <s v="09102020" u="1"/>
        <s v="278629" u="1"/>
        <s v="279457" u="1"/>
        <s v="279549" u="1"/>
        <s v="279537" u="1"/>
        <s v="279629" u="1"/>
        <s v="MAY2020 J" u="1"/>
        <s v="278605" u="1"/>
        <s v="279525" u="1"/>
        <s v="279617" u="1"/>
        <s v="279709" u="1"/>
        <s v="279513" u="1"/>
        <s v="279605" u="1"/>
        <s v="279501" u="1"/>
        <s v="24072020" u="1"/>
        <s v="12072020" u="1"/>
        <s v="274586 5" u="1"/>
        <s v="090520" u="1"/>
        <s v="274455" u="1"/>
        <s v="27865" u="1"/>
        <s v="275719" u="1"/>
        <s v="275707" u="1"/>
        <s v="276351" u="1"/>
        <s v="280990" u="1"/>
        <s v="05102020" u="1"/>
        <s v="278627" u="1"/>
        <s v="279455" u="1"/>
        <s v="279547" u="1"/>
        <s v="279639" u="1"/>
        <s v="274454 300420" u="1"/>
        <s v="280009" u="1"/>
        <s v="278615" u="1"/>
        <s v="279535" u="1"/>
        <s v="279627" u="1"/>
        <s v="279719" u="1"/>
        <s v="278603" u="1"/>
        <s v="279615" u="1"/>
        <s v="279707" u="1"/>
        <s v="121906 1" u="1"/>
        <s v="279511" u="1"/>
        <s v="279603" u="1"/>
        <s v="KO" u="1"/>
        <s v="28082020" u="1"/>
        <s v="4608" u="1"/>
        <s v="16082020" u="1"/>
        <s v="20072020" u="1"/>
        <s v="4618" u="1"/>
        <s v="289009" u="1"/>
        <s v="290520" u="1"/>
        <s v="170520" u="1"/>
        <s v="15958" u="1"/>
        <s v="274453" u="1"/>
        <s v="158489" u="1"/>
        <s v="275717" u="1"/>
        <s v="278385" u="1"/>
        <s v="278569" u="1"/>
        <s v="4698" u="1"/>
        <s v="275705" u="1"/>
        <s v="278373" u="1"/>
        <s v="278649" u="1"/>
        <s v="3456 4" u="1"/>
        <s v="278637" u="1"/>
        <s v="279649" u="1"/>
        <s v="280019" u="1"/>
        <s v="278625" u="1"/>
        <s v="279453" u="1"/>
        <s v="279545" u="1"/>
        <s v="279637" u="1"/>
        <s v="279729" u="1"/>
        <s v="280007" u="1"/>
        <s v="278613" u="1"/>
        <s v="279533" u="1"/>
        <s v="279717" u="1"/>
        <s v="261008" u="1"/>
        <s v="278601" u="1"/>
        <s v="279521" u="1"/>
        <s v="279613" u="1"/>
        <s v="279705" u="1"/>
        <s v="279601" u="1"/>
        <s v="280941 28 agosto" u="1"/>
        <s v="280944 28 agosto" u="1"/>
        <s v="260920200" u="1"/>
        <s v="08092020" u="1"/>
        <s v="2609" u="1"/>
        <s v="12082020" u="1"/>
        <s v="AG020820" u="1"/>
        <s v="274454 29JUN20" u="1"/>
        <s v="090620" u="1"/>
        <s v="250520" u="1"/>
        <s v="274475" u="1"/>
        <s v="2659" u="1"/>
        <s v="275739" u="1"/>
        <s v="0310.2020" u="1"/>
        <s v="275727" u="1"/>
        <s v="277659" u="1"/>
        <s v="279499" u="1"/>
        <s v="275715" u="1"/>
        <s v="278383" u="1"/>
        <s v="275703" u="1"/>
        <s v="278371" u="1"/>
        <s v="278647" u="1"/>
        <s v="279659" u="1"/>
        <s v="280029" u="1"/>
        <s v="278635" u="1"/>
        <s v="279647" u="1"/>
        <s v="279739" u="1"/>
        <s v="298634" u="1"/>
        <s v="280017" u="1"/>
        <s v="280109" u="1"/>
        <s v="278623" u="1"/>
        <s v="279451" u="1"/>
        <s v="279543" u="1"/>
        <s v="279727" u="1"/>
        <s v="280005" u="1"/>
        <s v="278611" u="1"/>
        <s v="279531" u="1"/>
        <s v="279715" u="1"/>
        <s v="279611" u="1"/>
        <s v="16092020" u="1"/>
        <s v="32082020" u="1"/>
        <s v="04092020" u="1"/>
        <s v="4619" u="1"/>
        <s v="170620" u="1"/>
        <s v="4659" u="1"/>
        <s v="050620" u="1"/>
        <s v="277669" u="1"/>
        <s v="275725" u="1"/>
        <s v="275713" u="1"/>
        <s v="279669" u="1"/>
        <s v="280039" u="1"/>
        <s v="275701" u="1"/>
        <s v="279657" u="1"/>
        <s v="279749" u="1"/>
        <s v="280027" u="1"/>
        <s v="280119" u="1"/>
        <s v="278633" u="1"/>
        <s v="279461" u="1"/>
        <s v="279645" u="1"/>
        <s v="279737" u="1"/>
        <s v="280107" u="1"/>
        <s v="9550" u="1"/>
        <s v="278621" u="1"/>
        <s v="279725" u="1"/>
        <s v="279909" u="1"/>
        <s v="280003" u="1"/>
        <s v="060802020" u="1"/>
        <s v="1542" u="1"/>
        <s v="3141" u="1"/>
        <s v="279621" u="1"/>
        <s v="279713" u="1"/>
        <s v="agos20" u="1"/>
        <s v="279701" u="1"/>
        <s v="24092020" u="1"/>
        <s v="12092020" u="1"/>
        <s v="1582" u="1"/>
        <s v="277652 JL20" u="1"/>
        <s v="277679" u="1"/>
        <s v="15 SEPTIEMBRE" u="1"/>
        <s v="275735" u="1"/>
        <s v="277667" u="1"/>
        <s v="278679" u="1"/>
        <s v="jul2020" u="1"/>
        <s v="275723" u="1"/>
        <s v="279679" u="1"/>
        <s v="4712" u="1"/>
        <s v="275711" u="1"/>
        <s v="278655" u="1"/>
        <s v="279667" u="1"/>
        <s v="280037" u="1"/>
        <s v="280129" u="1"/>
        <s v="277907" u="1"/>
        <s v="279655" u="1"/>
        <s v="279747" u="1"/>
        <s v="280025" u="1"/>
        <s v="280209" u="1"/>
        <s v="278631" u="1"/>
        <s v="279643" u="1"/>
        <s v="279735" u="1"/>
        <s v="279919" u="1"/>
        <s v="280105" u="1"/>
        <s v="16062002" u="1"/>
        <s v="279631" u="1"/>
        <s v="279723" u="1"/>
        <s v="279907" u="1"/>
        <s v="280001" u="1"/>
        <s v="121906 2" u="1"/>
        <s v="279711" u="1"/>
        <s v="15478" u="1"/>
        <s v="274596 6" u="1"/>
        <s v="312019 R" u="1"/>
        <s v="274769" u="1"/>
        <s v="277689" u="1"/>
        <s v="277677" u="1"/>
        <s v="278597" u="1"/>
        <s v="278689" u="1"/>
        <s v="275733" u="1"/>
        <s v="277665" u="1"/>
        <s v="278677" u="1"/>
        <s v="279689" u="1"/>
        <s v="280943 11" u="1"/>
        <s v="275721" u="1"/>
        <s v="279677" u="1"/>
        <s v="2752852" u="1"/>
        <s v="278653" u="1"/>
        <s v="279665" u="1"/>
        <s v="280035" u="1"/>
        <s v="280127" u="1"/>
        <s v="280219" u="1"/>
        <s v="279653" u="1"/>
        <s v="279745" u="1"/>
        <s v="279929" u="1"/>
        <s v="280023" u="1"/>
        <s v="280207" u="1"/>
        <s v="279641" u="1"/>
        <s v="279733" u="1"/>
        <s v="279917" u="1"/>
        <s v="280103" u="1"/>
        <s v="279721" u="1"/>
        <s v="279905" u="1"/>
        <s v="21092020Z" u="1"/>
        <s v="274779" u="1"/>
        <s v="2901902" u="1"/>
        <s v="277699" u="1"/>
        <s v="277687" u="1"/>
        <s v="jun0620" u="1"/>
        <s v="275743" u="1"/>
        <s v="277675" u="1"/>
        <s v="278687" u="1"/>
        <s v="279699" u="1"/>
        <s v="275731" u="1"/>
        <s v="277663" u="1"/>
        <s v="278675" u="1"/>
        <s v="279687" u="1"/>
        <s v="280948 2" u="1"/>
        <s v="278571" u="1"/>
        <s v="279675" u="1"/>
        <s v="280045" u="1"/>
        <s v="280137" u="1"/>
        <s v="280229" u="1"/>
        <s v="279663" u="1"/>
        <s v="279939" u="1"/>
        <s v="280033" u="1"/>
        <s v="280125" u="1"/>
        <s v="280217" u="1"/>
        <s v="279651" u="1"/>
        <s v="279743" u="1"/>
        <s v="279927" u="1"/>
        <s v="271809 2020" u="1"/>
        <s v="280021" u="1"/>
        <s v="280205" u="1"/>
        <s v="279731" u="1"/>
        <s v="279915" u="1"/>
        <s v="280101" u="1"/>
        <s v="279903" u="1"/>
        <s v="303038" u="1"/>
        <s v="062020" u="1"/>
        <s v="274789" u="1"/>
        <s v="jul0720" u="1"/>
        <s v="27009 1 octubre" u="1"/>
        <s v="277697" u="1"/>
        <s v="277685" u="1"/>
        <s v="275741" u="1"/>
        <s v="277673" u="1"/>
        <s v="278685" u="1"/>
        <s v="279697" u="1"/>
        <s v="280159" u="1"/>
        <s v="277661" u="1"/>
        <s v="278673" u="1"/>
        <s v="279685" u="1"/>
        <s v="280239" u="1"/>
        <s v="279673" u="1"/>
        <s v="279949" u="1"/>
        <s v="280043" u="1"/>
        <s v="280227" u="1"/>
        <s v="279661" u="1"/>
        <s v="279937" u="1"/>
        <s v="280031" u="1"/>
        <s v="280123" u="1"/>
        <s v="280215" u="1"/>
        <s v="279741" u="1"/>
        <s v="279833" u="1"/>
        <s v="279925" u="1"/>
        <s v="280111" u="1"/>
        <s v="280203" u="1"/>
        <s v="279913" u="1"/>
        <s v="290092 1" u="1"/>
        <s v="021{" u="1"/>
        <s v="29091 1010" u="1"/>
        <s v="277652 JN20" u="1"/>
        <s v="29091 28 agosto" u="1"/>
        <s v="274799" u="1"/>
        <s v="010820" u="1"/>
        <s v="072020 30" u="1"/>
        <s v="277695" u="1"/>
        <s v="277683" u="1"/>
        <s v="102020oct" u="1"/>
        <s v="280169" u="1"/>
        <s v="277671" u="1"/>
        <s v="278683" u="1"/>
        <s v="279695" u="1"/>
        <s v="280157" u="1"/>
        <s v="280249" u="1"/>
        <s v="278671" u="1"/>
        <s v="279683" u="1"/>
        <s v="279959" u="1"/>
        <s v="280237" u="1"/>
        <s v="279671" u="1"/>
        <s v="279947" u="1"/>
        <s v="280041" u="1"/>
        <s v="280133" u="1"/>
        <s v="280225" u="1"/>
        <s v="280409" u="1"/>
        <s v="279935" u="1"/>
        <s v="280121" u="1"/>
        <s v="280213" u="1"/>
        <s v="280201" u="1"/>
        <s v="27009 1 sept" u="1"/>
        <s v="121307" u="1"/>
        <s v="279911" u="1"/>
        <s v="102020" u="1"/>
        <s v="123123" u="1"/>
        <s v="290090 1" u="1"/>
        <s v="170920" u="1"/>
        <s v="275785" u="1"/>
        <s v="277693" u="1"/>
        <s v="280179" u="1"/>
        <s v="277681" u="1"/>
        <s v="280167" u="1"/>
        <s v="280259" u="1"/>
        <s v="278681" u="1"/>
        <s v="279693" u="1"/>
        <s v="279969" u="1"/>
        <s v="271701 JUN" u="1"/>
        <s v="280155" u="1"/>
        <s v="280247" u="1"/>
        <s v="279681" u="1"/>
        <s v="279957" u="1"/>
        <s v="280419" u="1"/>
        <s v="279945" u="1"/>
        <s v="279451 0" u="1"/>
        <s v="280131" u="1"/>
        <s v="280223" u="1"/>
        <s v="280407" u="1"/>
        <s v="279933" u="1"/>
        <s v="280211" u="1"/>
        <s v="3144" u="1"/>
        <s v="279921" u="1"/>
        <s v="290192 1" u="1"/>
        <s v="125145" u="1"/>
        <s v="18" u="1"/>
        <s v="oct1020" u="1"/>
        <s v="1585" u="1"/>
        <s v="274771" u="1"/>
        <s v="280189" u="1"/>
        <s v="277691" u="1"/>
        <s v="280177" u="1"/>
        <s v="280269" u="1"/>
        <s v="280165" u="1"/>
        <s v="279691" u="1"/>
        <s v="280153" u="1"/>
        <s v="280245" u="1"/>
        <s v="280429" u="1"/>
        <s v="279955" u="1"/>
        <s v="29000 11" u="1"/>
        <s v="280417" u="1"/>
        <s v="279943" u="1"/>
        <s v="280221" u="1"/>
        <s v="280405" u="1"/>
        <s v="279931" u="1"/>
        <s v="2365" u="1"/>
        <s v="303030" u="1"/>
        <s v="290190 1" u="1"/>
        <s v="126327" u="1"/>
        <s v="274793" u="1"/>
        <s v="274454 25may20" u="1"/>
        <s v="280199" u="1"/>
        <s v="21092020 E" u="1"/>
        <s v="280187" u="1"/>
        <s v="280279" u="1"/>
        <s v="279989" u="1"/>
        <s v="25052020" u="1"/>
        <s v="22 septiembre 1" u="1"/>
        <s v="280175" u="1"/>
        <s v="280267" u="1"/>
        <s v="279977" u="1"/>
        <s v="280163" u="1"/>
        <s v="280255" u="1"/>
        <s v="280151" u="1"/>
        <s v="280243" u="1"/>
        <s v="280427" u="1"/>
        <s v="2908123" u="1"/>
        <s v="279953" u="1"/>
        <s v="280415" u="1"/>
        <s v="279941" u="1"/>
        <s v="280403" u="1"/>
        <s v="277652 ab20" u="1"/>
        <s v="274454 AGOSTO20" u="1"/>
        <s v="303040" u="1"/>
        <s v="290209 33" u="1"/>
        <s v="22 septiembre 2" u="1"/>
        <s v="290520 1" u="1"/>
        <s v="275281 1" u="1"/>
        <s v="280197" u="1"/>
        <s v="277975" u="1"/>
        <s v="279999" u="1"/>
        <s v="21092020 D" u="1"/>
        <s v="4706" u="1"/>
        <s v="280185" u="1"/>
        <s v="279987" u="1"/>
        <s v="4716" u="1"/>
        <s v="280173" u="1"/>
        <s v="280449" u="1"/>
        <s v="279975" u="1"/>
        <s v="159456 I" u="1"/>
        <s v="280161" u="1"/>
        <s v="280253" u="1"/>
        <s v="280437" u="1"/>
        <s v="279963" u="1"/>
        <s v="280241" u="1"/>
        <s v="279951" u="1"/>
        <s v="280413" u="1"/>
        <s v="280401" u="1"/>
        <s v="2agosto" u="1"/>
        <s v="223232" u="1"/>
        <s v="26598111" u="1"/>
        <s v="jun   2020" u="1"/>
        <s v="28082020 pg9" u="1"/>
        <s v="277997" u="1"/>
        <s v="280195" u="1"/>
        <s v="279997" u="1"/>
        <s v="09072020" u="1"/>
        <s v="21092020 C" u="1"/>
        <s v="280183" u="1"/>
        <s v="280275" u="1"/>
        <s v="280459" u="1"/>
        <s v="01062020" u="1"/>
        <s v="240449" u="1"/>
        <s v="280171" u="1"/>
        <s v="280447" u="1"/>
        <s v="280539" u="1"/>
        <s v="279973" u="1"/>
        <s v="279463 1" u="1"/>
        <s v="280435" u="1"/>
        <s v="280619" u="1"/>
        <s v="279961" u="1"/>
        <s v="280423" u="1"/>
        <s v="280411" u="1"/>
        <s v="280503" u="1"/>
        <s v="021" u="1"/>
        <s v="14 jun" u="1"/>
        <s v="265" u="1"/>
        <s v="280297" u="1"/>
        <s v="280389" u="1"/>
        <s v="4707" u="1"/>
        <s v="280193" u="1"/>
        <s v="280377" u="1"/>
        <s v="280469" u="1"/>
        <s v="17072020" u="1"/>
        <s v="279995" u="1"/>
        <s v="21062020" u="1"/>
        <s v="21092020 B" u="1"/>
        <s v="4717" u="1"/>
        <s v="280181" u="1"/>
        <s v="280273" u="1"/>
        <s v="280457" u="1"/>
        <s v="280549" u="1"/>
        <s v="279983" u="1"/>
        <s v="278137 4" u="1"/>
        <s v="240447" u="1"/>
        <s v="280445" u="1"/>
        <s v="280537" u="1"/>
        <s v="280629" u="1"/>
        <s v="279971" u="1"/>
        <s v="280433" u="1"/>
        <s v="280617" u="1"/>
        <s v="280421" u="1"/>
        <s v="280605" u="1"/>
        <s v="265286" u="1"/>
        <s v="280501" u="1"/>
        <s v="0310.20201" u="1"/>
        <s v="28032020 12" u="1"/>
        <s v="0420" u="1"/>
        <s v="1492020" u="1"/>
        <s v="280295" u="1"/>
        <s v="280387" u="1"/>
        <s v="280479" u="1"/>
        <s v="09082020" u="1"/>
        <s v="25072020" u="1"/>
        <s v="280191" u="1"/>
        <s v="280467" u="1"/>
        <s v="280455" u="1"/>
        <s v="280547" u="1"/>
        <s v="280639" u="1"/>
        <s v="279981" u="1"/>
        <s v="280443" u="1"/>
        <s v="280431" u="1"/>
        <s v="280603" u="1"/>
        <s v="2809112 1sept" u="1"/>
        <s v="07062020 w" u="1"/>
        <s v="sep1" u="1"/>
        <s v="280 1090" u="1"/>
        <s v="28965" u="1"/>
        <s v="323423" u="1"/>
        <s v="280945 112" u="1"/>
        <s v="28081 12" u="1"/>
        <s v="713082020" u="1"/>
        <s v="070612020" u="1"/>
        <s v="290901 10" u="1"/>
        <s v="277701 3004" u="1"/>
        <s v="1082020" u="1"/>
        <s v="29082020" u="1"/>
        <s v="280385" u="1"/>
        <s v="280477" u="1"/>
        <s v="17082020" u="1"/>
        <s v="4718" u="1"/>
        <s v="280465" u="1"/>
        <s v="280649" u="1"/>
        <s v="279991" u="1"/>
        <s v="280453" u="1"/>
        <s v="280545" u="1"/>
        <s v="280637" u="1"/>
        <s v="0209..2020" u="1"/>
        <s v="280441" u="1"/>
        <s v="280625" u="1"/>
        <s v="240431" u="1"/>
        <s v="280613" u="1"/>
        <s v="280601" u="1"/>
        <s v="290919 12" u="1"/>
        <s v="3200" u="1"/>
        <s v="269957 4" u="1"/>
        <s v="02102020" u="1"/>
        <s v="2020" u="1"/>
        <s v="010820 p" u="1"/>
        <s v="274475 2" u="1"/>
        <s v="2508219 1" u="1"/>
        <s v="280499" u="1"/>
        <s v="280395" u="1"/>
        <s v="280487" u="1"/>
        <s v="275731 1" u="1"/>
        <s v="150520220" u="1"/>
        <s v="280383" u="1"/>
        <s v="280475" u="1"/>
        <s v="01082020" u="1"/>
        <s v="280463" u="1"/>
        <s v="280647" u="1"/>
        <s v="280451" u="1"/>
        <s v="280543" u="1"/>
        <s v="280635" u="1"/>
        <s v="280819" u="1"/>
        <s v="280623" u="1"/>
        <s v="280807" u="1"/>
        <s v="290209 36" u="1"/>
        <s v="280611" u="1"/>
        <s v="140520" u="1"/>
        <s v="300420" u="1"/>
        <s v="141520" u="1"/>
        <s v="147568" u="1"/>
        <s v="1589" u="1"/>
        <s v="20973" u="1"/>
        <s v="0001" u="1"/>
        <s v="5062020" u="1"/>
        <s v="274454 SEPT20" u="1"/>
        <s v="280497" u="1"/>
        <s v="280393" u="1"/>
        <s v="280485" u="1"/>
        <s v="280669" u="1"/>
        <s v="33082020" u="1"/>
        <s v="21082020" u="1"/>
        <s v="280473" u="1"/>
        <s v="280749" u="1"/>
        <s v="25052020 ING" u="1"/>
        <s v="280461" u="1"/>
        <s v="280645" u="1"/>
        <s v="280829" u="1"/>
        <s v="280541" u="1"/>
        <s v="280633" u="1"/>
        <s v="280817" u="1"/>
        <s v="280909" u="1"/>
        <s v="271701 2308" u="1"/>
        <s v="280621" u="1"/>
        <s v="agos20 2" u="1"/>
        <s v="220520" u="1"/>
        <s v="100520" u="1"/>
        <s v="274454 MAY20" u="1"/>
        <s v="289909" u="1"/>
        <s v="277959 1" u="1"/>
        <s v="280495" u="1"/>
        <s v="280679" u="1"/>
        <s v="25092020" u="1"/>
        <s v="280391" u="1"/>
        <s v="280483" u="1"/>
        <s v="JUN2ML2" u="1"/>
        <s v="280471" u="1"/>
        <s v="280747" u="1"/>
        <s v="280839" u="1"/>
        <s v="280643" u="1"/>
        <s v="280827" u="1"/>
        <s v="280919" u="1"/>
        <s v="280631" u="1"/>
        <s v="280907" u="1"/>
        <s v="280803" u="1"/>
        <s v="125497" u="1"/>
        <s v="300520" u="1"/>
        <s v="49939 1" u="1"/>
        <s v="12aq" u="1"/>
        <s v="21320" u="1"/>
        <s v="289907" u="1"/>
        <s v="12 julio." u="1"/>
        <s v="280689" u="1"/>
        <s v="280493" u="1"/>
        <s v="280677" u="1"/>
        <s v="21092020" u="1"/>
        <s v="280481" u="1"/>
        <s v="280849" u="1"/>
        <s v="280745" u="1"/>
        <s v="280837" u="1"/>
        <s v="280929" u="1"/>
        <s v="280641" u="1"/>
        <s v="280825" u="1"/>
        <s v="280917" u="1"/>
        <s v="280905" u="1"/>
        <s v="220620" u="1"/>
        <s v="125145 1" u="1"/>
        <s v="02202011" u="1"/>
        <s v="269957 5" u="1"/>
        <s v="21213" u="1"/>
        <s v="289905" u="1"/>
        <s v="280699" u="1"/>
        <s v="275732 21" u="1"/>
        <s v="280687" u="1"/>
        <s v="280491" u="1"/>
        <s v="280675" u="1"/>
        <s v="280767" u="1"/>
        <s v="280859" u="1"/>
        <s v="277652 AG20" u="1"/>
        <s v="280755" u="1"/>
        <s v="280847" u="1"/>
        <s v="280939" u="1"/>
        <s v="280927" u="1"/>
        <s v="2404450" u="1"/>
        <s v="280823" u="1"/>
        <s v="280915" u="1"/>
        <s v="1 SEPTIEM ALQUILA" u="1"/>
        <s v="279208" u="1"/>
        <s v="280903" u="1"/>
        <s v="278000" u="1"/>
        <s v="20 septiembre" u="1"/>
        <s v="1233" u="1"/>
        <s v="289903" u="1"/>
        <s v="277989 1" u="1"/>
        <s v="072020" u="1"/>
        <s v="280697" u="1"/>
        <s v="280685" u="1"/>
        <s v="280869" u="1"/>
        <s v="280359 1" u="1"/>
        <s v="280857" u="1"/>
        <s v="280949" u="1"/>
        <s v="280845" u="1"/>
        <s v="280937" u="1"/>
        <s v="278218" u="1"/>
        <s v="280833" u="1"/>
        <s v="280925" u="1"/>
        <s v="279218" u="1"/>
        <s v="280821" u="1"/>
        <s v="280913" u="1"/>
        <s v="279206" u="1"/>
        <s v="280901" u="1"/>
        <s v="25052020 1" u="1"/>
        <s v="290123" u="1"/>
        <s v="277999 1" u="1"/>
        <s v="289901" u="1"/>
        <s v="73905" u="1"/>
        <s v="277068" u="1"/>
        <s v="280695" u="1"/>
        <s v="280879" u="1"/>
        <s v="280683" u="1"/>
        <s v="280775" u="1"/>
        <s v="280867" u="1"/>
        <s v="280959" u="1"/>
        <s v="280671" u="1"/>
        <s v="280855" u="1"/>
        <s v="280947" u="1"/>
        <s v="280935" u="1"/>
        <s v="278216" u="1"/>
        <s v="279228" u="1"/>
        <s v="280831" u="1"/>
        <s v="280923" u="1"/>
        <s v="256082020 1" u="1"/>
        <s v="280911" u="1"/>
        <s v="56987" u="1"/>
        <s v="279204" u="1"/>
        <s v="289190 01" u="1"/>
        <s v="269082 1" u="1"/>
        <s v="jul20" u="1"/>
        <s v="891011" u="1"/>
        <s v="jun20" u="1"/>
        <s v="271593 2408" u="1"/>
        <s v="2898191" u="1"/>
        <s v="280889" u="1"/>
        <s v="277066" u="1"/>
        <s v="280693" u="1"/>
        <s v="280877" u="1"/>
        <s v="280969" u="1"/>
        <s v="2898192" u="1"/>
        <s v="280681" u="1"/>
        <s v="280865" u="1"/>
        <s v="280957" u="1"/>
        <s v="280853" u="1"/>
        <s v="280945" u="1"/>
        <s v="280841" u="1"/>
        <s v="280933" u="1"/>
        <s v="263958" u="1"/>
        <s v="278214" u="1"/>
        <s v="279226" u="1"/>
        <s v="280921" u="1"/>
        <s v="180920" u="1"/>
        <s v="271701 2609" u="1"/>
        <s v="279202" u="1"/>
        <s v="269957 6" u="1"/>
        <s v="26 julio" u="1"/>
        <s v="73631" u="1"/>
        <s v="277088" u="1"/>
        <s v="280899" u="1"/>
        <s v="154236" u="1"/>
        <s v="23 agosto" u="1"/>
        <s v="274316" u="1"/>
        <s v="280887" u="1"/>
        <s v="280979" u="1"/>
        <s v="278168" u="1"/>
        <s v="280691" u="1"/>
        <s v="280875" u="1"/>
        <s v="280967" u="1"/>
        <s v="2740281" u="1"/>
        <s v="36598" u="1"/>
        <s v="277052" u="1"/>
        <s v="280955" u="1"/>
        <s v="2814617" u="1"/>
        <s v="280851" u="1"/>
        <s v="280943" u="1"/>
        <s v="JUN20ml" u="1"/>
        <s v="277304" u="1"/>
        <s v="278132" u="1"/>
        <s v="280931" u="1"/>
        <s v="260920" u="1"/>
        <s v="278212" u="1"/>
        <s v="279224" u="1"/>
        <s v="279408" u="1"/>
        <s v="21318" u="1"/>
        <s v="269876" u="1"/>
        <s v="73432" u="1"/>
        <s v="21350" u="1"/>
        <s v="277994 11" u="1"/>
        <s v="21450" u="1"/>
        <s v="25643" u="1"/>
        <s v="29071 091" u="1"/>
        <s v="274326" u="1"/>
        <s v="280897" u="1"/>
        <s v="280989" u="1"/>
        <s v="280885" u="1"/>
        <s v="280977" u="1"/>
        <s v="49951" u="1"/>
        <s v="278166" u="1"/>
        <s v="280873" u="1"/>
        <s v="280965" u="1"/>
        <s v="280861" u="1"/>
        <s v="280953" u="1"/>
        <s v="158246" u="1"/>
        <s v="277314" u="1"/>
        <s v="280941" u="1"/>
        <s v="279234" u="1"/>
        <s v="278210" u="1"/>
        <s v="279222" u="1"/>
        <s v="279406" u="1"/>
        <s v="20898" u="1"/>
        <s v="30042020" u="1"/>
        <s v="25636" u="1"/>
        <s v="25644" u="1"/>
        <s v="9674" u="1"/>
        <s v="277096" u="1"/>
        <s v="280999" u="1"/>
        <s v="280895" u="1"/>
        <s v="280987" u="1"/>
        <s v="280883" u="1"/>
        <s v="280975" u="1"/>
        <s v="290209 49" u="1"/>
        <s v="280871" u="1"/>
        <s v="280963" u="1"/>
        <s v="280951" u="1"/>
        <s v="271846 16" u="1"/>
        <s v="279232" u="1"/>
        <s v="279508" u="1"/>
        <s v="279220" u="1"/>
        <s v="279404" u="1"/>
        <s v="21144" u="1"/>
        <s v="06062020" u="1"/>
        <s v="280997" u="1"/>
        <s v="276438" u="1"/>
        <s v="280893" u="1"/>
        <s v="280985" u="1"/>
        <s v="278266" u="1"/>
        <s v="280881" u="1"/>
        <s v="280973" u="1"/>
        <s v="159456 m" u="1"/>
        <s v="277334" u="1"/>
        <s v="280961" u="1"/>
        <s v="279518" u="1"/>
        <s v="279230" u="1"/>
        <s v="279506" u="1"/>
        <s v="EFDS" u="1"/>
        <s v="141520 1" u="1"/>
        <s v="279402" u="1"/>
        <s v="26062020" u="1"/>
        <s v="14062020" u="1"/>
        <s v="02062020" u="1"/>
        <s v="01082020 1" u="1"/>
        <s v="29563" u="1"/>
        <s v="280995" u="1"/>
        <s v="280891" u="1"/>
        <s v="280983" u="1"/>
        <s v="280930 1octubre" u="1"/>
        <s v="277344" u="1"/>
        <s v="280971" u="1"/>
        <s v="278240" u="1"/>
        <s v="278608" u="1"/>
        <s v="279528" u="1"/>
        <s v="279608" u="1"/>
        <s v="279412" u="1"/>
        <s v="279504" u="1"/>
        <s v="1992020" u="1"/>
        <s v="49939" u="1"/>
        <s v="29856" u="1"/>
        <s v="280938 4agosto" u="1"/>
        <s v="275170" u="1"/>
        <s v="280993" u="1"/>
        <s v="280667 1" u="1"/>
        <s v="280981" u="1"/>
        <s v="278170" u="1"/>
        <s v="278618" u="1"/>
        <s v="279538" u="1"/>
        <s v="280907 1" u="1"/>
        <s v="278606" u="1"/>
        <s v="279526" u="1"/>
        <s v="279618" u="1"/>
        <s v="23AG020820" u="1"/>
        <s v="279514" u="1"/>
        <s v="279606" u="1"/>
        <s v="279410" u="1"/>
        <s v="279502" u="1"/>
        <s v="26072020" u="1"/>
        <s v="30062020" u="1"/>
        <s v="02072020" u="1"/>
        <s v="280930 1sept" u="1"/>
        <s v="29865" u="1"/>
        <s v="172431" u="1"/>
        <s v="154628" u="1"/>
        <s v="25964" u="1"/>
        <s v="280818 12" u="1"/>
        <s v="275708" u="1"/>
        <s v="280991" u="1"/>
        <s v="278180" u="1"/>
        <s v="07102020" u="1"/>
        <s v="158456" u="1"/>
        <s v="280926 10" u="1"/>
        <s v="278628" u="1"/>
        <s v="279548" u="1"/>
        <s v="159456" u="1"/>
        <s v="277604" u="1"/>
        <s v="279536" u="1"/>
        <s v="279628" u="1"/>
        <s v="060820 p" u="1"/>
        <s v="278604" u="1"/>
        <s v="279524" u="1"/>
        <s v="279616" u="1"/>
        <s v="279708" u="1"/>
        <s v="279512" u="1"/>
        <s v="279604" u="1"/>
        <s v="2382020" u="1"/>
        <s v="22072020" u="1"/>
        <s v="10072020" u="1"/>
      </sharedItems>
    </cacheField>
    <cacheField name="Referencia" numFmtId="0">
      <sharedItems count="2657">
        <s v="ATENCION MAESTROS /ESTUDIANTES NKIÑOS vendo pizarra p/fibron. Whats app 388-155007477."/>
        <s v="VENDO TERMOMETROS DIGITAL (pistola) $4.000 - BARBIJOS  QUIRU.   OXIMETRO $3.200  WHATSAPP 3885853326 Envios a domicilio."/>
        <s v="VENDO  GRISINERA  PANCHERA  Marca Argental, medio uso, $265.000, negociable. Cel 388-58180948 5818094"/>
        <s v="VENDO SOBADORA (pesada), . marca Argenta, buen estado de conservación . y uso, $220.000, negociable. Cel 388-588 5818094"/>
        <s v="SEX  SHOP RINDA MAS Necochea 338 República de Siria 172  Sol superior a todo!!! TOTALMENTE NATURAL  ///logo li- chang///"/>
        <s v="VENDO CHERY TIGGO 2  Mod”2015 Full-Impecable. con 82.000km.  Cel. 38840849338  942015"/>
        <s v="OPORTUNIDAD VENDO LOCAL Galeria Impulso, apto consultorio u oficina, $2.700.000. Ce 3884662183"/>
        <s v=" 3A PROPIEDADES VENDE TERRENO 800 m2 Los Perales, calle Cabe Meza, c/ escritura y servicios, u$d 45.000. Cel 388 5062768"/>
        <s v="RQ VENTA DE TERRENOS"/>
        <s v="VENDO 3 TERRENOS continuos, zona Río Blanco, 10x30 c/u, todostruir, a 10 min del Centro, excelente zona. Cel 388 6856665"/>
        <s v="////LOGO INMOBILIARIA BARRERIRO////   CASAS  • Los Perales -rano - Calle Lavalle  Telef. (388) 4222609 - Cel. 38 4222609"/>
        <s v="PERICO  VENDO 2 TERRENOS juntos 10x27 c/u. Bº Municipal. Recibo camioneta C/D. 4x4  Cel. 388 154084933154084933"/>
        <s v="3A PROPIEDADES VENDE Terreno B° El Arenal 362 m2. en esq., escritura y servicios  $1.400.000 CDO. Cel.155062768"/>
        <s v="VENDO TERRENO CON GALPON ...."/>
        <s v="PERICO VENDO CASAS  Bº JM DE ROSAS Bº SAN JOSÉ Bº ROMA LOTES    OFICINA:23 DE AGOSTO Nº 295 PERICO CEL. WAPP. 38  239000"/>
        <s v="DUEÑO VENDE DUPLEX a estrenar, Alto La Viña. Tratar: 3884689890."/>
        <s v="INMOBILIARIA BARCENA VENDE (LOGO)"/>
        <s v="MARTILLERO VENDE DUPLEX LOS PERALES DPTO LOS PERALES DPTO HU ALTO COMEDERO 10 X 25  ALQUILER LOS PERALES  0388-154963270"/>
        <s v="DUEÑO VENDE CASA en Monterrico T/ losa. 2Dorm. 2 Bños. Coc. artamento en el fondo. Terreno 10x25 Tratar: Cel. 3884543121"/>
        <s v="LÒPEZ  INMOBILIARIA  ESTAMOS EN TODA LA PROVINCIA COMPRAS- VS  S/ Ruta Prov.47  Santo Domingo-Perico TEL. 0388 8 4913660"/>
        <s v="VENDO  IMPORTANTE  CASA EN PLENO CENTRO calle independencia  apta vivienda, consultorio, estudios , etc.  Cel.3884779841"/>
        <s v="FERRETERIA CARBAJAL"/>
        <s v="DERGAM"/>
        <s v="CARMOTO FERRETERIA INDUSTRIAL"/>
        <s v="Importante empresa del medio busca  Electricista de camionesreferencias comprobables     Enviar CV a: lm561854@8  561854"/>
        <s v="IMP EMP DEL MEDIO TECN OF MEC"/>
        <s v="CREDIS.   SELECCIONARA: COBRADOR / VENDEDOR   Con movilidad  años.   Por entrevistas comunicarse al: Cel. 388- 156821109"/>
        <s v="EMPRESA TEXTIL Necesita costurero/a. Con experiencia en máqu PERICO. Frente mercado municipal o llamar  Cel.3888 5004283"/>
        <s v="NECESITO AYUDANTE PRACTICO (varón). Presentarse en en Av. Exodo 532 de 10 a 16 horas."/>
        <s v="BUSCAMOS VENDEDORES C/EXP..."/>
        <s v="EVEX EXPERES - EVELIA  /////AVISO ARMADO///"/>
        <s v="PROSELAB SERV. DE MANTENIMIENTO GRAL PLANTAS INDUSTRIALES 3885877874 - 3885164911. jorgesubelza@hotmail.com"/>
        <s v="METALNOR-METALES-CHATARRA"/>
        <s v="“EL HORNERO”  ALQUILO CAMIONES VOLQUETES 18m3 y 6m6 “EL HORNUATERO  “EL HORNERO”  - VENDO AGUA-  Tel. 1568550158 4250352"/>
        <s v="HORMIGONERA + DE 20 AÑOS"/>
        <s v="HORMIGONERA -VENTA DE HORMIGON EN MIXER"/>
        <s v="HORMIGONERA  JUJUY S.R.L. VENTA DE ARIDOS: PIEDRA, ARENA, RIIO.  RELLENO DE TERRENO 4259148 - 4259548 ALTE BROW8 4259148"/>
        <s v="DINERO T&amp;T PRESTAMOS - EMPEÑOS  EN EL ACTO Recibimos todas lijo 388- 4232023 ALVEAR 720 De 9 a 13.30 y 17.00 a 8 5844130"/>
        <s v="///// TASADOR ////  AVISO ARMADO  tasador"/>
        <s v="TASACIONES CASAS- TERRENOS- FINCAS. Martillero HUGO SALAZAR Cel.0388-154078693"/>
        <s v=" LA  COMISIÓN DIRECTIVA DEL CONCEJO ADMINISTRACIÓN DE LA COOE POR FINALIZACIÓN DE MANDATO.   RAUL GUTIERREZ  PR8  048205"/>
        <s v="MARTILLERA LAURA BLANCO   *Departamento  Céntrico: (2 dormitlado del Comodín Duplex en Huaico 2 dorm, TRATAR: 3884979930"/>
        <s v="ALQUILO DEPTO CATEGORIA"/>
        <s v="ROCA ALQUILA"/>
        <s v="EMPRESA DE TRANSPORTE Se encuentra en la búsqueda de Personas  Enviar CV a: rrhhtransportejujuy@gmail.com Cel.3885051925"/>
        <s v="CANAL 7 PROGRAMACION ..."/>
        <s v="CANAL 2 PERICO PROGRAMACION ...."/>
        <s v="SEX SHOP ///AVISO ARMADO////"/>
        <s v="LA COCHERIA SRL"/>
        <s v="SERIVICIO SOCIALES FUTURO..."/>
        <s v="LOPEZ PIERRE FARMACIA"/>
        <s v="WERCHOW"/>
        <s v="COL. DE TECNICOS DIA DEL TECNICO..."/>
        <s v="INICIO DE LUCHA ANTIGRANIZO"/>
        <s v="GUARDIAS COLEGIO ESCRIBANOS...."/>
        <s v="AGROFER..."/>
        <s v="TOMBOSUERTE..."/>
        <s v="SERVICIOS FARMACIAS..."/>
        <s v="GOBIENRO AYUDANOS A CORTAR LA CDENA DE CONTAGIO..."/>
        <s v="“RUMBOS”"/>
        <s v="PODOLOGO UNIVERSITARIO GABRIEL ROMERO Uñas encarnadas- MicosALVEAR 730 PLATA ALTA RECIBIMOS TARJETAS DE CRÉDITO8 4228088"/>
        <s v="MONOTRIBUTO: AFIP, RENTAS, Inscripción, Regularización, etc.  Tu situación Impositiva en orden CPN. Cel. 388-608 6002352"/>
        <s v="Dra. Claudia M. Bianco OTORRINOLARINGOLOGA ADULTOS Independencia N° 1008 Turnos solo por teléfono 0388-4833107 8   01008"/>
        <s v="PROBLEMAS DE COLUMNA Y EXTREMIDADES                 QUIROPRAM. Palavecino  M.P. 1899 Independencia 518 - Cel. 155090998."/>
        <s v="Consultorios AV"/>
        <s v="ESTUDIO CONTABLE SINGH C.P.N. PAULA SINGH  Liquidación de Imincoln Nº 509 B° Luján nuevo. Tel:0388-4237041 Cel.8 4237041"/>
        <s v="GRACIELA BARAC C.P.N.º"/>
        <s v="                    ESTUDIO JURIDICO INTEGRAL Prestación Básos. Seguimientos de expedientes. Tel. 3885860216- 3885843944"/>
        <s v="DRA. MARIA CELESTE CARCHIDI AYARDE ABOGADA Familia  Sucesionujuy Teléfono las 24 horas 0388-155749472 ///logo watsapp///"/>
        <s v=" TERRAZAS Y ORCE REMIS ESTUDIO JURÍDICO  CONTABLE  ASESORAMIs y Judiciales.  Nuevo Domicilio  Argañaraz 141 Tel8 4988746"/>
        <s v=" ESTUDIO JURIDICO LOPEZ SALGADO  &amp; Asoc.  Dr. Ing. Guillermo Penal   Coronel Puch 432- Tel. Fijo 4236414 Cel.388 4236414"/>
        <s v="////LOGO///// DERECHO DE FAMILIA: Alimentos-Divorcio-Cuidadoitud de turnos: Cel. 388-5073068 .  Argañaraz Nº 298 5073068"/>
        <s v="+ CÓRDOBA, Ramona Yolanda (q.e.p.d.) Falleció el día 10 de o rezar para que tu alma vuele y veas la gloria divina. Amén."/>
        <s v="+ ROBERTO GASPAR “ Patita”      q.e.p.d. Falleció el día 30 nando, Héctor, Viviana, Adrián y Débora  y todos tus nietos."/>
        <s v="                                      AGRADECIMIENTO                              Falleció el día 3 de octubre de 2.020."/>
        <s v="RAÚL RAMÓN UGARTE (Serrucho) Q.E.P.D Falleció el 10 de septiembre  de 2020   AVISO ARMADO"/>
        <s v="CARGAR CUENTA DE WERCHO MOD 1X3 BYN  + ALVARADO ESTABAN"/>
        <s v="+ RUIZ, Elizabeth Del Carmen de Ochoa. q.e.p.d. Falleció el  Rogamos elevar oraciones por el eterno descanso de su alma."/>
        <s v="Giubergia, Miguel Ángel (q.e.p.d.) Falleció el día 8 de Octuamos nuestras oraciones para que encuentren pronto consuelo."/>
        <s v="DYMEC...."/>
        <s v="La familia Cabezas agradece a Marcos Jerez, Ernesto Rojas, Spor la ayuda brindada en un difícil momento. Claudio “Gallo”" u="1"/>
        <s v="BUSCO OFICIAL  CARPINTERO para puertas y ventanas de madera. Cel. 3884782523." u="1"/>
        <s v="OPORTUNIDAD VENDO CHALET Californiano en El Balcón de Yala, rtos. Parque de 1000 m2. Vista excepcional. Cel. 388 5223422" u="1"/>
        <s v="LUBRINOR" u="1"/>
        <s v="CANAL 2 PERICO." u="1"/>
        <s v="LOS TILIANES - PUCARA - DIA DEL TRABAJADOR" u="1"/>
        <s v="COLEGIO DE PSICOLOGOS RESOLUCION ..." u="1"/>
        <s v="                                               E  D  I  C  T - - - Es copia, San Salvador de Jujuy, 04 de Mayo 8  143855" u="1"/>
        <s v="E D I C T O San Pedro de Jujuy, 09 de Junio de 2020.- I.-AteConde - Secretaria.--------------------------------8   20300" u="1"/>
        <s v="GUEDILLA, RODRIGO R. CONTADOR  PÚBLICO M.P. 1.704 LIQUIDACIO804535 - Independencia 1173 - Mail: estudio.guedilla@outlook" u="1"/>
        <s v="RUBEN RIVAROLA" u="1"/>
        <s v="GOBIERNO USA BARBIJO ...." u="1"/>
        <s v="SANATORIO NUESTRA SRA. DEL ROSARIO ASAMBLEA GRAL. ORDINARIA..." u="1"/>
        <s v="VILTE, ARTEMIO (Q.E.P.D), falleció el lunes 21 de septiembreuevamente. Que en el cielo sigas celebrando la vida eterna.”" u="1"/>
        <s v="PORKMAN - PATRONALES NTRA SRA DEL CARMEN" u="1"/>
        <s v="EDICTO  -    - JUZGADO DE PRIMERA INSTANCIA N° 2  SECRETARIAFrías. -   -   - SAN SALVADOR DE JUJUY,16 de JUNIO 8  130732" u="1"/>
        <s v="SERAFIN CRUZ (q.e.p.d.) Falleció el 28 de Marzo del 2020 Papayo a horas 20 para rogar por el eterno descanso de su alma." u="1"/>
        <s v="FM PATEANDO EL TABLERO ..." u="1"/>
        <s v="EDICTO -------------- EN EL EXPTE. Nº D-031835/19, caratulad---- ANTE MÍ DRA. NATALIA ANDREA SOLETTA - SECRETAR8  031835" u="1"/>
        <s v="BINGO FUNDACION DEL HOSPITAL DE NIÑOS..." u="1"/>
        <s v="EXPTE. C-153878/19, Caratulado: “SUCESORIO AB INTESTATOELLIFUY, 11 de Septiembre de 2020.----------------------8  153878" u="1"/>
        <s v="VENDO URGENTE ECOSPORT Titanium Mod 2014, 45.000 km, papeles al dia . Cel 388-58732478 5873247" u="1"/>
        <s v="Empresa automotriz  incorpora vendedores y secretaria ,  mandar currículums al mail  serviciossrl2017@hotmail.com" u="1"/>
        <s v="Busco estudiante de diseño grafico con manejo de redes sociales y marketing digital Enviar CV al  fcarlos1092@gmail.com" u="1"/>
        <s v="CAMARA MINERA - EXODO JUJEÑO" u="1"/>
        <s v="ALEMAR  ANIV. CLINICA NTRA. SRA. DE FATIMA" u="1"/>
        <s v="EDICTO DRA. LIS VALDECANTOS BERNAL, JUEZ DE PRIMERA INSTANCIOS MESES. - --SAN SALVADOR DE JUJUY, 18   DE AGOSTO8  161045" u="1"/>
        <s v="TROPEA... SUP ESTILOS" u="1"/>
        <s v="SAN EXPEDITO  GRACIAS POR LOS FAVORES CONCEDIDOS.  O.O." u="1"/>
        <s v="OMAR CAYETANO REALES (1969- 2019) “ESOS MOMENTOS LLENOS DE RECEMOS A TODOS LOS QUE NOS ACOMPAÑARON SIEMPRE.  FL8    1969" u="1"/>
        <s v="SEPELIOS SAN JOSE SRL.  SERVICIOS SOCIALES" u="1"/>
        <s v="MARTILLERA LAURA BLANCO Alquileres :" u="1"/>
        <s v="CONCEJAL P.J. FABIAN RODRIGUEZ  ANIV.FALLECIMIENTO EVA DUARTE DE PERÓN" u="1"/>
        <s v="VENDO TURBANTES en telas de Seda, Algodón y Lana Cel. 388-155005769        388- 154299547" u="1"/>
        <s v="          EDICTO  Dr. Enrique R. Mateo  Vocal de la Cámara Co Local.- San Salvador de Jujuy, 25 de Septiembre d8  016054" u="1"/>
        <s v="En un nuevo Aniversario de la creación del Ejército Argentinndependencia 157 Teléfono 388-4223737  San Salvador de Jujuy" u="1"/>
        <s v="UNJU - DIA DEL JUBILADO DOCENTE UNIVERSITARIO" u="1"/>
        <s v="Constructora Busca Oficial Albañil, Ayudante.  Requisitos: E llamadas. O enviar CV a: rrhh.empleosconstructora@gmail.com" u="1"/>
        <s v="Constructora Busca Oficial Albañil, Ayudante. Requisitos: Ex llamadas. O enviar CV a: rrhh.empleosconstructora@gmail.com" u="1"/>
        <s v="CONSTRUCTORA Busca Persona p/ Oficina Técnica Requisitos: MMretendida (excluyente) a: rrhh.empleosconstructora@gmail.com" u="1"/>
        <s v="mutual agua energía" u="1"/>
        <s v="GOBIERNO 25 DE MAYO ..." u="1"/>
        <s v="//// CON LOGO/////  COLEGIO DE PROFESIONALES Y TÉCNICOS SUPE Elsa Fabiana Rivera Secretaria: Lic. Mónica Marcel8    7201" u="1"/>
        <s v="BANCO MACRO PEDIDO: 4500078548 HES: 1000183158" u="1"/>
        <s v="BANCO MACRO PEDIDO: 4500102879 HES: 1000183158" u="1"/>
        <s v="DOS EJESA CORTE..." u="1"/>
        <s v="E  D  I  C  T  O ===El Juzgado De 1ra. Instancia en lo Civilecretaria.-----------------------------------------896164068" u="1"/>
        <s v="AGUATERO “EL HORNERO” VENDO AGUA CAMION REGADOR Tel 156855015 - 42503528 4250352" u="1"/>
        <s v="+ SOSA, Ricardo Obdulio “Coco” (q.e.p.d.) Falleció el día 19ela de futbol y todos los vecinos de la localidad de Volcán." u="1"/>
        <s v="DORA TORRES VDA. DE CRUZ Falleció el 19 de Julio del 2010.   la perpetuidad. Sus hijos, hijas, nietos/as y bisnietos/as." u="1"/>
        <s v="MILAGRO DE DIOS Y JESÚS Dijo un pastor evangélico entre agosAplausos para Alberto Fernández. Proyección Raúl Bustamante." u="1"/>
        <s v="+ Dr. ROBERTO JOSE DOMANDL  Falleció el 13 de septiembre Su por siempre y elevamos oraciones al cielo por tu paz eterna”" u="1"/>
        <s v="EDICTO ==== El Juzgado de 1ra. Instancia en lo Civil y Comer- === Secretaria N° 1, Dra. Amelia del V. Farfán- S8  154673" u="1"/>
        <s v="GESTORIA DEL AUTOMOTOR REALIZAMOS TRAMITE Autorizado por DNRas, Particulares - Toda la provincia de Jujuy (388)154142825" u="1"/>
        <s v="GESTORIA DEL AUTOMOTOR TE REALIZAMOS EL TRAMITE Autorizado pas, Particulares - Toda la provincia de Jujuy (388)154142825" u="1"/>
        <s v="GOBIERNO LAVATE LAS MANOS ..." u="1"/>
        <s v="BANCO MACRO PEDIDO: 4500078548 HES: 1000179718" u="1"/>
        <s v=" ALQUILER DE EQUIPOS  Y HERRAMIENTAS PARA  LA CONSTRUCCIÓN Cm.ar Dirección: Lan Franco Esq. Tte. Tuco Bº Ciudad8 4230057" u="1"/>
        <s v="+ TOCONAS, Berta (q.e.p.d.) 23-08-1943  /  4-12-2006     Mambisnietas Belén, Karina, Valentino, Aldana, Celeste3  081943" u="1"/>
        <s v="CORRALON EL PROGRESO  CELEBRACION A LA VIRGEN DE ROSARIO DE RIO BLANCO Y PAYPAYA" u="1"/>
        <s v="SER: HOROSCOPO...." u="1"/>
        <s v="CARNICERIA LIZARRAGA  CELEBRACION A LA VIRGEN DE RIO BLANCO Y PAYPAYA" u="1"/>
        <s v="MAESTRA PAOLA TAROTISTA" u="1"/>
        <s v="       “SALTA PLAST POLIETILENOS”                   Fábrica ursoshumanos@saltaplast.com.ar y consultoraschwarz@gmail.com" u="1"/>
        <s v="EDICTO SUCESORIO -----El Juzgado de 1ra. Instancia en lo Civembre de 2019.- FDO. Dra. MARIA CECILIA FARFAN  SEC896141511" u="1"/>
        <s v="SErRVICIOS FARMACIAS.." u="1"/>
        <s v="+ COCA de Yapura, Elena (q.e.p.d.) Falleció el día 26 de mayna se cumple un año más de tu partida Enrique Ignacio Yapura" u="1"/>
        <s v="+ COLQUI, Julia Antonia (q.e.p.d.) Falleció el día 31 de maroraciones en su memoria y por el eterno descanso de su alma." u="1"/>
        <s v="CONVOCATORIA AGEM La Comisión Directiva de la Asociación Greblea serán públicas y a mano alzada (art. 31 del Estatuto).-" u="1"/>
        <s v="VENDO TERMOMETROS DIGITAL Infrarojo (pistola) BARBIJOS QUIRUicapa con clip nasal WHATSAPP 3885853326 Envios a domicilio." u="1"/>
        <s v="SERVICISO FARMACIAS ...." u="1"/>
        <s v="FASTA   CELEBRACION A LA VIRGEN DE RIO BLANCO Y PAYPAYA" u="1"/>
        <s v="MORA DISEÑO" u="1"/>
        <s v="UNJU - DIA DEL PROFESOR" u="1"/>
        <s v="TRAME SRL  ANIV. SAN CAYETANO" u="1"/>
        <s v="+ ING. CARLOS SNOPEK Y SU SEÑORA ESPOSA Fallecieron 9 de junPerón y de nuestra inolvidable Evita.  Héctor Leonardo Oliva" u="1"/>
        <s v="MUNI JUJUY - DIA DEL JUBILADO" u="1"/>
        <s v="+ YAPURA, Miguel Ignacio (q.e.p.d.) Falleció el día 9 de junparte y de Toda tu familia.  Tu hijo Enrique Ignacio Yapura." u="1"/>
        <s v="+ JOSE GUSTAVO BARRIENTOS (q.e.p.d.) Falleció el 1 de octubrma y tu vida. Grupo de Oración del Padre Pío de Pietrelcina." u="1"/>
        <s v="MOTORTRAC" u="1"/>
        <s v="EDICTO  EL JUZGADO DE PRIMERA INSTANCIA EN LO CIVIL Y COMERC. Secretaria N° 1, Dra. Amelia del Valle Farfán- Secretaria." u="1"/>
        <s v="EDICTO ASOCIACIÓN PAN DE LOS POBRES HOGAR SAN ANTONIO Conforndo Zurueta, Presidente, Prof. Gladys Marionsini Secretaria." u="1"/>
        <s v="EDICTO SUCESORIO Juzgado de Primera Instancia en lo Civil y 2 de mayo de 2020. Dra. Amelia del Valle Farfán. Secretaria." u="1"/>
        <s v="EDICTO SUCESORIO Juzgado de Primera Instancia en lo Civil y diciembre de 2019. Dra. Amelia del Valle Farfán. Secretaria." u="1"/>
        <s v="+ CRUZ de Tejerina, Raimunda (q.e.p.d.) Falleció el día 9 delvidaremos. Su familia ruega elevar oraciones en su memoria." u="1"/>
        <s v="GOBIERNO LIC: PUB: 01_2020 DIQUES...." u="1"/>
        <s v="+ JOSE LUIS ALMAZAN  “LUCHO”  Q.E.P.D. Se durmió en la paz da misa virtual para rogar por el eterno descanso de su alma." u="1"/>
        <s v="MUNIC. S.S. DE JUJUY - periodistas" u="1"/>
        <s v="GOBIERNO USA BARBIJO EN LA VIA ...." u="1"/>
        <s v="VETERINARIA EL JAGÜEL-DIA DEL ANIMAL" u="1"/>
        <s v="+ FUNES, Álvaro Gonzalo (q.e.p.d.) Falleció el día 4 de julivió para enseñarnos lo puro de su amor. TU FAMILIA y amigos." u="1"/>
        <s v="+ MORCILLO, Telmo Alberto  (q.e.p.d.)  Falleció el 25 de Junvitan a orar una plegaria por el eterno descanso de su alma." u="1"/>
        <s v="logo cañas VENTAS ALQUILERES ADMINISTRACION DE PROPIEDADES T 261- local 5 B° Centro Tel. 4227132  4233776 Cel. 8 4227132" u="1"/>
        <s v="+  EULOJIO GUERRERO Falleció el 20 de septiembre de 2019 ABUes que Dios te haya puesto en nuestro camino. ABY y Familia." u="1"/>
        <s v="LIMSA INFORMA SERVICIOS DE CONTENEDORES...." u="1"/>
        <s v="LIMSA COMUNICA ..." u="1"/>
        <s v="//////CON LOGO//////  PROFESIONALES PSICOLOGOS  El COLEGIO P Jujuy. Ante mí: Lic. GABRIELA CAROLINA TOCONAS- Secretaria." u="1"/>
        <s v="POLO TRENDLINE  Cuotas de aprox. $15.000  Plan A % Alicuota tado de cuenta en cuotas.  Pagas 20, a vencer 63 388 4090782" u="1"/>
        <s v="Oración a San Expedito  Gracias por estar a mi lado... Oh Glmposible. Gracias por los favores recibidos. Amelia Callojas" u="1"/>
        <s v="ESTUDIO ZAMPINI" u="1"/>
        <s v="CARNICERIA LIZARRAGA  ANIV. SAN CAYETANO" u="1"/>
        <s v="E   D   I   C   T   O   S        - - - JUZGADO DE PRIMERA INcargo del DR. SERGIO ANDRES ALVAREZ - Secretario.- 8  161133" u="1"/>
        <s v="VEXAR" u="1"/>
        <s v=" EDUARDO JOSE ROMEO            ABOGADO....... *DERECHO LABOR30 y 18.30 a 20.30 RAMIREZ DE VELAZCO 672 TEL:0388-154176693" u="1"/>
        <s v="NICO esp FATIMA" u="1"/>
        <s v="+ CAROLA Z. SOLANO SANDILLI 21/07/16 - 21/07/17 Q.E.P.D Al cn especial tus padres Olga y Raúl. Tus hermanas Gin8    1621" u="1"/>
        <s v="+ ROMERO, Gabriel (q.e.p.d.) Falleció el día 22 de septiembr. Ruegan elevar oraciones por el eterno descanso de su alma." u="1"/>
        <s v="Kinetic Jim" u="1"/>
        <s v="Nadie supera mis trabajos porque yo nací donde se hacen los  jamas igualarme!! Cel.: 3884626046 Atencion en S.S de Jujuy" u="1"/>
        <s v="UNION DE EMPRESARIOS DE JUJUY-DIA DEL empleado de comercio" u="1"/>
        <s v="GOBIERNO LAVATE LAS MANOS ....." u="1"/>
        <s v="IMPORTANTE EMPRESA DEL MEDIO SELECCIONARA :  Secretaria Ejectensión salarial a: recursoshumanos@eltrebolconstructora.com" u="1"/>
        <s v="Madreras URBINA Fabricación de aberturas" u="1"/>
        <s v=" J &amp; S ELECTRICIDAD  ANIV. CLINICA NTRA. SRA. DE FATIMA" u="1"/>
        <s v="IMPORTANTE EMPRESA SOLICITA  INGENIERO ELECTROMECÁNICO Y/O IO MINERO.  ENVIAR CV a: busquedalaboral2020salta@hotmail.com" u="1"/>
        <s v="FARMACIA GUEMES UNO  ANIV. SAN CAYETANO" u="1"/>
        <s v=" FRIAR Jujuy    busca encargado de local   1- Con experienciyente&quot; 7- Enviar CV con foto actualizada a rrhh@colsasrl.com" u="1"/>
        <s v="COLEGIO DE BIOQUIMICOS" u="1"/>
        <s v="GOBIERNO LAVATE LAS MANOS..." u="1"/>
        <s v="asociación sanmarinese" u="1"/>
        <s v="+ GIORDANO MARCELA PALMIRA (q.e.p.d.) fallecio  el 13/07/202nal  participan con profundo dolor su fallecimiento. ......." u="1"/>
        <s v="VILLANUEVA Servicios Mineros  14 años villanueva" u="1"/>
        <s v="CARODOSO ALQUILA" u="1"/>
        <s v="CENTRO EMP. DE COM LIBERTADOR" u="1"/>
        <s v="ESTUDIO CARRERAS - ESP GRADUADOS" u="1"/>
        <s v="CARNICERIA LIZARRAGA  ANIV. B°  BELGRANO" u="1"/>
        <s v=" + MACIAS, Myrian Mirta (Q.E.P.D.) Falleció el 26 de Agosto ogamos elevar una oración por el descanso eterno de su alma." u="1"/>
        <s v="FM SOL - COPA LIBERTADORES" u="1"/>
        <s v="Sancor Seguros" u="1"/>
        <s v="UPCN   EVA PERON..." u="1"/>
        <s v="INAUGURACION CHOCOLATTE" u="1"/>
        <s v="BENAVIDES REDES" u="1"/>
        <s v="La Rotonda Lacteos DIA DEL EMPLEADO DE COMERCIO" u="1"/>
        <s v="diario tribuno adhesion 23 de agosto...." u="1"/>
        <s v="BOLLINI" u="1"/>
        <s v="FARMACIA NUEVA SAGRADA FAMILIA   ANIV. SAN CAYETANO" u="1"/>
        <s v="ADRIAN MERCADO TESUR" u="1"/>
        <s v="CORRALON AVENIDA  ANIV. CLINICA NTRA. SRA. DE FATIMA" u="1"/>
        <s v="SE ALQUILA COCHERA mensual . Cel 388-155135994 / 4233964. Independencia 5738 4233964" u="1"/>
        <s v=" OBTENÉ UN BUEN INGRESO AYUDANDO  AL HOSPITAL DE NIÑOS!!! NEcomplejidad llamá a los teléfonos (0388) 4316258 y 8    0388" u="1"/>
        <s v="JUZGADO DE PRIMERA INSTANCIA EN LO CIVIL Y COMERCIAL Nº 1 DEitada. ====San Salvador de Jujuy, 01 de Noviembre d8  146624" u="1"/>
        <s v="PINTADA VIRTUAL" u="1"/>
        <s v="Extintores EMSA - ESP. VIRGEN RIO BLANCO" u="1"/>
        <s v="CLUB ATLETICO LEDESMA  ASAMBLEA" u="1"/>
        <s v="MUNICIPALIDAD DE SAN PEDRO - INFORMACIÓN DE PRENSA MES DE ABRIL20" u="1"/>
        <s v="+ APARICIO, ALEJANDRO   q.e.p.d Falleció el día 1 de agosto sa y familia invita rogar por el eterno descanso de su alma." u="1"/>
        <s v="GUIA DELIVERY - venta telefonica" u="1"/>
        <s v="Expediente N° 1101-99-S-2020.-8 0110199" u="1"/>
        <s v="+  MONTAÑO, MIGUELINA  Q.E.P.D.  Falleció el día 27 de junioracias por darme tu amor, tu ejemplo de ser una gran mujer”." u="1"/>
        <s v="08+ GOMEZ, Venancio (q.e.p.d.) Falleció el día 8 de abril deesignación a tanto dolor. Con amor, hasta siempre. 8   20008" u="1"/>
        <s v="FM JUJUY...." u="1"/>
        <s v="VENDO FIAT CRONOS 2018 URGENTE CEL.  388 5840565" u="1"/>
        <s v="VIOBAL - INAUGURACIÓN EDIFICIO COSTANERA" u="1"/>
        <s v="DERGAM - ESP. ING" u="1"/>
        <s v="GOBIERNO CONVOCATAORIA BOSQUES 2020 ..." u="1"/>
        <s v="ALTO COMEDERO  VENDO CASA 3 Dorm.-1B-200 Viv.  Títulos Perfectos Cel. 388-154082595 Cel. 388-155062768" u="1"/>
        <s v="ALQUILO LOCAL COMERCIAL Belgrano 855 (galería) Tratar 3884104640" u="1"/>
        <s v="CURSO DE VUELO DE DRONE" u="1"/>
        <s v="CARGAR CUENTA DE WERCHOW MOD 1X3 BYN  + VELAZQUEZ MARINA" u="1"/>
        <s v="ARGENTINA UNID LOS BONIST... PJ....." u="1"/>
        <s v="+ PARRA, Jaime Helber (q.e.p.d.) Falleció el día 29 de junio Guillermo y sus nietas Agustina, Abril, Alfonsina y Selena." u="1"/>
        <s v="= = = = = = = =  = = EDICTO SUCESORIO = = = = = = = = = = = iciembre de 2019.- - - - - - - - - - - - - - - - - 8  148152" u="1"/>
        <s v="LORENZA ALANCAY DE CONDORI (q.e.p.d.) Falleció el 21 de eptiabrazamos, te amamos, nos quedó tu gran legado “LA FAMILIA”." u="1"/>
        <s v="LOS NARANJOS  ////AVISO ARMADO////" u="1"/>
        <s v="                           EDICTO SUCESORIO - -- DR. DIEGO P1 de  Junio de 2020.-  - - - Secretaria: DRA. ELISA8   10620" u="1"/>
        <s v="+ MARTA, Soria (q.e.p.d.) Falleció el día 9 de septiembre de No es un adiós, sino un simple hasta que nos reencontremos." u="1"/>
        <s v="COMPRO A PROPIETARIO  GALPON, CASA O TERRENO en calle  Alte s Heras, Parroco Marshke  o zonas Aledañas.  Tel. 3885240278" u="1"/>
        <s v="COMPRO A PROPIETARIO  GALPON, CASA O TERRENO zona  Alte Brow Marshke  o similiar. Imagenes por Whatsapp  Tel. 3885240278" u="1"/>
        <s v="GOBIERNO ES MEJOR LA VACUNA ...." u="1"/>
        <s v="+ Eriberto &quot;Tito&quot; Posadas (q.e.p.d.) Se durmió en la paz deluentro eterno. ¡Abrazamos al cielo y te amamos siem8   10206" u="1"/>
        <s v="GOBIERNO LUCHA CORONAVIRUS..." u="1"/>
        <s v="NUMANCIA" u="1"/>
        <s v="NUEVO ALISOS - AYRES DE CAMPO" u="1"/>
        <s v="UOM ASESINATO RUCCI" u="1"/>
        <s v="ALQUILO 2 GALPONES  en Parque Industrial.  Cel. 0388-4876835 / 0388-40965458 4876835" u="1"/>
        <s v="gerry" u="1"/>
        <s v="TEMA TASA 0 %  TELAM  PRES. DE LA NACION ..." u="1"/>
        <s v="CONSEJO PROFESIONAL DE AGRIMENSORES Y GEOLOGOS..." u="1"/>
        <s v="VENDO PICK UP TOYOTA DOBLE CABINA 4X4 MODELO 2017 DX 2.4 TDI MUY BUEN ESTADO CEL 3886864554" u="1"/>
        <s v="MUNIC. S.S. DE JUJUY - PACHAMAMA" u="1"/>
        <s v="E D I C T O _________________________________________ Dr. GUal.- - - - - - San Pedro de Jujuy, 12 de Diciembre 8  010924" u="1"/>
        <s v="POSTES OLIMPICOS PREMOLDEADOS  PILAR DE LUZ TEL 42801488 4280148" u="1"/>
        <s v="+ CRUZ, CAYETANO ALBERTO  q.e.p.d. 07-08-1934 / 30/08/2019 “por su eterno descanso. FACEBOOK: MINERVA MONROY a 7  081934" u="1"/>
        <s v="RIO BLANCO .- SANTO DOMINGO" u="1"/>
        <s v="MUNIC. S.S. DE JUJUY cultura" u="1"/>
        <s v="COMPRO CASA  Cdad de Nieva- Los Perales,  Bajo La Viña- Padilla. Sin intermediarios.  Cel. 3885240278(whatsapp)" u="1"/>
        <s v="Que corte!" u="1"/>
        <s v="CONCEJO DELIBERANTE - 9 de julio" u="1"/>
        <s v=".............EDICTOS...................... Ref.Expte.  N° D-0. —Dra. Mariana Valeria Palavecino  Prosecretaria 8   10620" u="1"/>
        <s v="JULIO ANTONIO HEREDIA  Se durmió en La Paz del Señor el día  tu partida, quien te recuerda siempre, tú esposa Francisca." u="1"/>
        <s v="+ ZERPA de Ferretti, Miriam Maestra Nac. de Dibujo - Prof. En y marcan caminos por recorrer!!! Tu hija Ornella Ferretti." u="1"/>
        <s v="SMATA JUJUY - ESP. GRAFICO" u="1"/>
        <s v="GOBIERNO EL LAVADO DE MANOS ES LA MEJOR VACUNA ...." u="1"/>
        <s v="GOBIERNO SAN SALAVDOR ..." u="1"/>
        <s v="AGOSTINI DES. INMOBILIARIA - EMP. DE COMERCIO" u="1"/>
        <s v="CARGAR CUENTA DE WERCHOW MOD 1X3 BYN   +VILTE LUCIANO" u="1"/>
        <s v="UNJU - ANIVERSARIO 9 de JULIO" u="1"/>
        <s v="EDICTO DE CITACION    LA DIRECCION DE HABITAT E INCLUSION, e 04 de junio del 2020. Director Aró. Horacio García8 0617114" u="1"/>
        <s v="+ VILAJA, RENE JAVIER" u="1"/>
        <s v="EDICTO JUZGADO DE PRIMERA INSTANCIA EN LO CIVIL Y COMERCIAL  de Junio de 2020.- DR. SERGIO ANDRÉS ÁLVAREZ - Sec8  160233" u="1"/>
        <s v="M.DE AMBIENTE  Y DES. SUSTEN LIC.PUB. NAC. 01/2020...." u="1"/>
        <s v="+ CACERES, Alfredo Colomband “Tuchi” (q.e.p.d.) Falleció el s personas que lo conocieron una oración en su memoria. FAE." u="1"/>
        <s v="+ MIGUELINA MONTAÑO 02/11/1937 - 27/06/2013. Q.E.P.D.  “Hoy Mirta, Miguel, Nora, Mercedes y Liliana, y demás familiares." u="1"/>
        <s v="GOBIERNO SERENATA EXODO..." u="1"/>
        <s v="SUPER DIA" u="1"/>
        <s v="GOBIERNO SI SALIS  CUIDATE....." u="1"/>
        <s v="SEPARATA 4 PAGINAS CONSEJO PROF CS ECON" u="1"/>
        <s v="+ OVANDO ISABEL RAQUEL   //// AVISO ARMADO EN CARPETA DE LA FECHA ////" u="1"/>
        <s v="EDICTO SUCESORIO   JUZGADO  DE PRIMERA INSTANCIA CIVIL Y COMEZ PFISTER.- SAN SALVADOR DE JUJUY 11  DE SEPTIEMBR8  162325" u="1"/>
        <s v="FM JUJUY PORGRAMACION" u="1"/>
        <s v="+ TOLABA, Miryan Evelia (q.e.p.d.) Falleció el día 18 de agos te olvidaremos...Tus amigas Divinas (como nos bautizaste)." u="1"/>
        <s v="DIA DEL EMPLEADO DE TELEVISION" u="1"/>
        <s v="LOS TILIANES - DIA DE LA INDUSTRIA" u="1"/>
        <s v="GRACIAS SAN EXPEDITO POR LOS FAVORES RECIBIDOS FLIA. ZERPA" u="1"/>
        <s v="CABALLERO ALQUILA DPTOS" u="1"/>
        <s v="Finca Chaguaral" u="1"/>
        <s v="REUNIONES SEC: DE MEDIOS PRESIDENCIA TELAM...." u="1"/>
        <s v="PRODUGAS  GNC  - NAFTA..." u="1"/>
        <s v="FELIZ DIA DEL TRABAJADOR SANITARISTA  CADEPROS  /// AVISO ARMADO EN CARPETA DE LA FECHA/////" u="1"/>
        <s v="EDICTO SUCESORIO  -----JUZGADO DE PRIMERA INSTANCIA EN LO CI) días -----------SAN SALVADOR DE JUJUY, 26 DE MAYO8  151977" u="1"/>
        <s v="Farmacia del Norte" u="1"/>
        <s v="EMPRESA NECESITA OFICIAL" u="1"/>
        <s v="CAMARA MINERA - DIA DE LA MINERIA" u="1"/>
        <s v="GRACIAS SAN EXPEDITO por los favores concedidos. Amanda" u="1"/>
        <s v="SUTIAGA - 4 PAGINAS SUPLEMENTO ESPECIAL" u="1"/>
        <s v="UCASAL - DIA DEL TRABAJADOR" u="1"/>
        <s v="DUEÑO VENDE DUPLEX DE CATEGORIA- BAJO LA VIÑA.  1 dorm. y mera techada. Precio: USD 80.000 Cel: 388/4761088 / 38 4761088" u="1"/>
        <s v="Joyeria y Relojeria GENARO" u="1"/>
        <s v="COOPERATIVA SIN FRONTERAS CONVOCATORIA Cooperativa de Viviennte por finalización de mandatos  Porfirio Rocha  P8   54962" u="1"/>
        <s v="EXAR - DIA DE LA INDUSTRIA" u="1"/>
        <s v="GANADORA TV 32”" u="1"/>
        <s v="NOVA COMUNICA - DESVINCULACIÓN SR. MIÑO" u="1"/>
        <s v="CANAL4 PROGRAMACION" u="1"/>
        <s v="GOBIERNO TELEMEDICINA..." u="1"/>
        <s v=" E D I C T O     S U C E S O R I O - - - EL JUZGADO DE PRIMEubre de 2019.- - - - Firma Habilitada: Dr. JUAN JOS8  149367" u="1"/>
        <s v="SUBTE - delivery - miercoles de sandwiches" u="1"/>
        <s v="CONCEJAL  P.J. FABIAN RODRIGUEZ  ANIV. CLINICA NTRA. SRA. DE FATIMA." u="1"/>
        <s v="FM PUNTO DE VISTA..." u="1"/>
        <s v="GRACIAS SAN EXPEDITO Por los Favores Recibidos L.L.M." u="1"/>
        <s v="EDICTO  ==== El Juzgado de 1ra. Instancia en lo Civil y Comeetaria N° 1, Dra. Verónica Córdoba Etchart- Firma H8  165095" u="1"/>
        <s v="EDICTO Tribunal de Familia, Sala II, Vocalía 4, en el Expte.                   San Salvador de Jujuy, 22 de May8  140404" u="1"/>
        <s v="SERVICIOS  HOROSCOPO..." u="1"/>
        <s v="CONCEJAL P.J. FABIAN RODRIGUEZ  SUP. ESP. 23 DE AGOSTO EXODO JUJEÑO" u="1"/>
        <s v="VETERINARIA SAN SALVADOR  DIA DEL VETERINARIO  MODIFICA TELEFONO ///// sacar el telefono fijo, queda solo el celular////" u="1"/>
        <s v="CONCEJAL P.J. DR. HUGO SOSA  ANIV. 25 DE MAYO" u="1"/>
        <s v="NECESITO SOLDADOR PARA REPARACION DE MAQUINAS, ZONA PERICO CEL: 3884041580" u="1"/>
        <s v="+ MARCELO URO  (Q.E.P.D.)  Se durmio en los brazos del Señor                                           Gustavito Caserez" u="1"/>
        <s v="+ MARCELO URO  (Q.E.P.D.)  Se durmio en los brazos del SeñorEleit,  Adrian Cialone, Mariano Yamada  y  Gustavito Caserez" u="1"/>
        <s v="- JUZGADO DE PRIMERA INSTANCIA EN LO CIVIL Y COMERCIAL N°6 Srma Habilitada SAN SALVADOR DE JUJUY, 24 de Febrero8  113590" u="1"/>
        <s v="SE BUSCA ASISTENTE DE RRHH  REQUISTOS * MANEJO DE EXEL Y WOR EXPERIENCIA COMPROBABLE ENVIAR CV A recursoshjumi@gmail.com" u="1"/>
        <s v="SE BUSCA ENCARGADO DE COMPRAS      REQUISITOS: *CAPACIDAD DEXPERIENCIA COMPROBABLE ENVIAR CV A comprasjumi2020@gmail.com" u="1"/>
        <s v="UN DIA PERFECTO ..." u="1"/>
        <s v="GOMEZ ROCO ..." u="1"/>
        <s v="Maderera Juniors" u="1"/>
        <s v="BINGO LOBO  ...." u="1"/>
        <s v="+ DOMINGUEZ, Rosario del Valle  q.e.p.d. Falleció el día 26 s Jimena y Alberto, tus nietos Mariano, Santiago y Victoria." u="1"/>
        <s v="SAN EXPEDITO   GRACIAS POR LOS FAVORES RECIBIDOS  J.G." u="1"/>
        <s v="FLIA. SALVATIERRA FLORES. GRACIAS SAN EXPEDITO POR LOS FAVORES RECIBIDOS." u="1"/>
        <s v="FRIAR" u="1"/>
        <s v="AGROFER ..." u="1"/>
        <s v="VENDO DPTO.  Macrocentro 117 m2.  Cel. 388-154127401 / 388-154199168" u="1"/>
        <s v=" FM JUJUY ..." u="1"/>
        <s v="ruben rivarola - belgrano" u="1"/>
        <s v="CANAL 2 PERICO - ESP. SAN ISIDRO" u="1"/>
        <s v="AGOSTINI INMOBILIARIA" u="1"/>
        <s v="VINERIA S.JUAN ESP ARQ" u="1"/>
        <s v="CARGAR CUENTA DE WERCHOW MOD 1X3 BYN  + PACHECO ROBERTO" u="1"/>
        <s v="MAIMARA DUEÑO VENDE Y/O ALQUILA CASA Bº El Cristo a una cuadincena, mes o bianual.Tratar 388-154707788.Horario Comercial" u="1"/>
        <s v="DON VITO PARRILLA..." u="1"/>
        <s v="ALMA SWEATERS" u="1"/>
        <s v="GOBIERNO  USA BARBIJO" u="1"/>
        <s v="GRACIAS ANGEL DE LA GUARDA POR LOS FAVORES RECIBIDOS.  P.R.R." u="1"/>
        <s v="COLEGIO DEL SALVADOR DIA DEL ESTUDIANTE" u="1"/>
        <s v="EDICTO SUCESORIO  = = = JUZGADO DE PRIMERA INSTANCIA EN LO CO DE 2020.-  SECRETARIA HABILITADA: DRA. SANDRA M. 8  159963" u="1"/>
        <s v="ING Ramón Russo" u="1"/>
        <s v="QR EL TRIBUNO FILTRO" u="1"/>
        <s v="SALUDO DIA DEL AMIGO  OMAR CHURQUINA" u="1"/>
        <s v="ALQUILO CASA PARA 10 personas en carnaval en Humahuaca.cel 388154105290 388154885607.154105290" u="1"/>
        <s v="ORACION A SAN EXPEDITO  /////imagen/// Rezar 9 Ave Marías ducar este aviso y se cumplirá aunque sea imposible. Cesar Paz" u="1"/>
        <s v="TARJETA NOA - dia del trabajador" u="1"/>
        <s v="MADERERA EL TREBOL" u="1"/>
        <s v="GOBIERNO COVID 19 :::::" u="1"/>
        <s v="DISTRIBUIDORA MALU  ANIV. SAN CAYETANO" u="1"/>
        <s v="EDICTO  JUZGADO DE PRIMERA INSTANCIA EN LO CIVIL Y COMERCIALante dos meses.   SAN SALVADOR DE JUJUY, 08 de Mayo8  144266" u="1"/>
        <s v="CARRE-PAGINA ESPECIAL DIA DEL PADRE" u="1"/>
        <s v="INSTITUTO DE GASTROENTEROLOGIA - ADHESION DIAGN. POR IMAG." u="1"/>
        <s v="Sala III de la Cámara Civil y Comercial  Vocalía N° 9, Poder------  SAN SALVADOR DE JUJUY,  26  de Diciembre  d8  133306" u="1"/>
        <s v="RUBEN ARMANDO  RIVAROLA" u="1"/>
        <s v="RUBEN A. RIVAROLA NATALICIO DE EVA" u="1"/>
        <s v="+ CASTRO, Paulo (q.e.p.d.) Falleció el día 14 de abril de 20 políticos; nietos y bisnietos te recordaran con mucho amor." u="1"/>
        <s v="RTO PERICO" u="1"/>
        <s v="SER: HOROSCOPO....." u="1"/>
        <s v="+ VICENTE LEONAR   WERCHOW" u="1"/>
        <s v="ARRIENDO FINCA  en La Ovejería 40 has  con instalaciones.  388 4047171 / 4095404.8 4095404" u="1"/>
        <s v="NORTE SERVICIOS SOCIALES  ////ANIVERSARIO CLINICA FATMA/////" u="1"/>
        <s v="SE NECESITA FARMACEUTICO Presentar CV en Belgrano esq. Lamadrid." u="1"/>
        <s v="ADECCO COMUNICADO" u="1"/>
        <s v="INFORMACIÓN DE PRENSA MES DE JUNIO 2020" u="1"/>
        <s v="CARGAR CUENTA DE WERCHOW MOD 1X3 BYN   + GUANUCO VICENTE" u="1"/>
        <s v="+ SANDRO AVILA (q.e.p.d.) fallecio el dia 02/09/2020....." u="1"/>
        <s v="TAWANTINSUYO - JUJUY PARA LOS JUJEÑOS" u="1"/>
        <s v="GRACIAS SAGRADO CORAZON DE JESUS Por los Favores Recibidos G.N.M." u="1"/>
        <s v="ARRIENDO 10 HA. Descansada para Tabaco  En Los Lapachos Monterrico.  Cel. 388 154864312154864312" u="1"/>
        <s v="PODER JUDICIAL  DESIGNACION DE FUNCIONARIOS...  considerando ...." u="1"/>
        <s v="MUNDO MAGICO  CELEBRACION A LA VIRGEN DE RIO BLANCO Y PAYPAYA" u="1"/>
        <s v="ELSA TITA PÉREZ  13 / 09 / 20              CESAR DAVID LOPEZ a no bajar los brazos!”  Familia López Pérez y López Salas." u="1"/>
        <s v="MUNIC. S.S. DE JUJUY - XIBI XIBI" u="1"/>
        <s v="E.M.A. Y R.B. GRACIAS SAN EXPEDITO POR LOS FAVORES RECIBIDOS." u="1"/>
        <s v="+ ARROYO EDUARDO GABRIEL “Lalo” q.e.p.d. Falleció el día 29 osto a elevar una oración por el eterno descanso de su alma." u="1"/>
        <s v="VENDO TRANSMISOR M-31, CONSOLA, TORRE, DIPOLOS ABIERTOS, COAXIL. NO MSJ 3884800080." u="1"/>
        <s v="EDICTO SUCESORIO  -.-.-.-JUZGADO DE PRIMERA INSTANCIA EN LO .-.-Secretario: Dra. Sandra M. Torres-Secretaria Ha8  160355" u="1"/>
        <s v="+ ERNESTO RABAJ Falleció el 13 DE SEPTIEMBRE DE 2020 Duele l                                       FAMILIA SALVATIERRRA." u="1"/>
        <s v="PROMO CUPONES" u="1"/>
        <s v="SOEMFA" u="1"/>
        <s v="HAMBURGO SEGUROS - SORTEO AUTO" u="1"/>
        <s v="+ Dra. Isabel Mamaní de Luna (q.e.p.d.) Falleció el día 24 dogando elevar una oración por el eterno descanso de su alma." u="1"/>
        <s v="JORGE ALBERTO YUFRA (hijo) Q.E.P.D.  Falleció el 25 de septicho. Que la Virgen de la consolación sea siempre tu refugio." u="1"/>
        <s v="LOS PERALES - EL MOLLAR" u="1"/>
        <s v="+ HOYOS RAMÓN  q.e.p.d.  19/04/38  21/07/ 2014 “En un nuevo ma”.  Tus hijos Oscar Hoyos, Noemí Hoyos, nietos y bisnietos" u="1"/>
        <s v="+ FRUCTUOSO GORENA  (Q.E.P.D.)  Se durmio en los brazos del una oración en su memoria por el eterno descanso de su alma." u="1"/>
        <s v="MELLI AUTOMOTORES" u="1"/>
        <s v="YOLY POLLERIA" u="1"/>
        <s v="MUNIC. S.S. DE JUJUY - homenaje a conde" u="1"/>
        <s v="EDICTO SUCESORIO  REF. EXPTE. C  151137/19, CARATULADO: SUCErzo de 2020  Dra. María de los Ángeles Meyer  Prose896151137" u="1"/>
        <s v="SAN EXPEDITO TE PIDO POR LA SALUD DE ROXANA R.V." u="1"/>
        <s v="                     DR DIEGO JAVIER CHACON Especialista en  en Salta y Jujuy .Asesoramiento en general. Tel 3884967046." u="1"/>
        <s v="+ IRMA BEATRIZ LOPEZ DE YAPURA Falleció el 11 de Agosto de 2a oracion en su memoria y por el eterno descanso de su alma." u="1"/>
        <s v="MUNIC. S.S. DE JUJUY - EJERCITO ARGENTINO" u="1"/>
        <s v="(PUBLICA EN SALTA) GERENTE DE VENTAS ASUNTO GV20" u="1"/>
        <s v="Extintores EMSA" u="1"/>
        <s v="COMODIN" u="1"/>
        <s v="Ledesma SAAI" u="1"/>
        <s v="OSPE...." u="1"/>
        <s v="ISJ   ADULTO MAYOR ..." u="1"/>
        <s v="CARGAR CUENTA DE WERCHOW MOD 1X3 BYN  + CAZON PAOLA" u="1"/>
        <s v="LA CAMARA JUJEÑA DE EMPRESAS DE SALUD Y SALUD JUJUY SRL, lamentan con profundo dolor ..." u="1"/>
        <s v="PORKMAN - apertura en JUJUY" u="1"/>
        <s v="+ ERNESTO CARO “Chacho” ( q.e.p.d.) Falleció el Martes 21 de Julio de 2020...." u="1"/>
        <s v="+ NILA BARRIOS  (q.e.p.d.) Falleció el 14 de julio de 2020 M su memoria. “Que brille para Nilda la luz que no tiene fin”" u="1"/>
        <s v="+ GUANUCO, Gabriel Ángel (q.e.p.d.) Falleció el día 16 de seompañero Miguel Guanuco y rogamos una oración en su memoria." u="1"/>
        <s v="MARTILLERA LAURA BLANCO VENTAS" u="1"/>
        <s v="COMPRO AUTOS CON deudas,crédito prendario andando o desarmado, voy interior. Cel. 388-48076268 4807626" u="1"/>
        <s v="CHEF PROFESIONAL..." u="1"/>
        <s v=" ORACION A “SAN EXPEDITO” GRACIAS POR ESTA, SIEMPRE AMI LADOmposible. Gracias por los favores concedidos.  Leticia Ramos" u="1"/>
        <s v="COLEGIO DE ENFERMEROS- SUP. SALUD" u="1"/>
        <s v="MUNI JUJUY - contenedores de reciclados" u="1"/>
        <s v="BINGO  LIGA..." u="1"/>
        <s v="ISJ  INFORMA....COVID 19" u="1"/>
        <s v="BINGO FUNDACION  HOSPITAL DE NIÑOS..." u="1"/>
        <s v="GRACIAS SAN ROQUE Y VIRGEN DE LA MERCED POR LOS FAVORES RECIBIDOS  M.M." u="1"/>
        <s v=" + COLQUI, Julia Antonia (q.e.p.d.) Falleció el día 31 de maurrección y la vida. El que cree en mi aunque muera vivirá&quot;." u="1"/>
        <s v="AGROFEER... (AUSPCIAI COTIZACION DE MONEDA)" u="1"/>
        <s v="SERVICIOS FARMACIAS....." u="1"/>
        <s v="EL MOLLAR - LA ALMONA..." u="1"/>
        <s v="SADIR DIAGNOSTICO POR IMAGENES" u="1"/>
        <s v="IMPORTANTE EMPRESA TEXTIL Necesita costureros/as. Con experiosto 183 PERICO. (lun a vier. de 18 a 21 hs)Cel.3888 5004283" u="1"/>
        <s v="giganto gráfica" u="1"/>
        <s v="PRESTAMOS DE DINERO CON ASESORAMIENTO (IMAGEN BILLETES DE 50IA IMPULSO  PLANTA BAJA - (LOCAL Nº 14) 4232228 - 38 4232228" u="1"/>
        <s v="CARGAR CUENTA DE WERCHOW  MOD 1X3 BYN  + LUPA ISABEL" u="1"/>
        <s v="EDICTO SUCESORIO = = = JUZGADO DE PRIMERA INSTANCIA en lo CI 19 de Agosto de 2020.- = = = SECRETARIA DRA. ELISA8  060420" u="1"/>
        <s v="I S J  Nuevo modulo de teleasistencia." u="1"/>
        <s v="VENDO TERRENO BOSQUE DEL CEIBAL II EXCELENTE UBICACION 40x25para escriturar.  OFERTA $ 650.000 (contado) Cel.3884480268." u="1"/>
        <s v="VENDO TERRENO BOSQUE DEL CEIBAL II EXCELENTE UBICACION 40x25para escriturar.  OFERTA $ 750.000 (contado) Cel.3884480268." u="1"/>
        <s v="SOLICITADA LAS PROFESIONES NO SE FRANQUICIAN" u="1"/>
        <s v="+ VILMA  ROSARIO JIMENEZ ...." u="1"/>
        <s v="CLINICA NUESTRA SRA. DE FATIMA" u="1"/>
        <s v="HUMAHUACA LOTEO SAN JORGE  10x25 $ 250.000 agua y luz. 10X30, agua y luz. Financiación.388-41692678 4169267" u="1"/>
        <s v="9 abril 2020                         Hace dos meses.mi viejotino y para que nos vayamos juntos. HASTA NUNCA, PAPÁ GARE K" u="1"/>
        <s v="Widex Jujuy MEDICINA SALUD ....LIC Yudith Colina" u="1"/>
        <s v="Gracias san expedito por los favores recibidos. Perdón por la demora.  L.G." u="1"/>
        <s v="María Inés Rodriguez QEPD 01-07-17   01-07-20 Puedes llorar  sobrinos y cuñados ruegan elevar una oración en su8  010717" u="1"/>
        <s v="REINO PRODUCTOS NATURALES  Incorpora vendedoras para venta dk permanente. Cel 388-4122436. 19 de Abril 863, S S8 4122436" u="1"/>
        <s v="------------------------------------------- EDICTO ---------DIAS.-  ---San Salvador de Jujuy, 10 de Septiembre 8  124578" u="1"/>
        <s v="TOLABA MIRYAN  CARGAR A WERCHOW" u="1"/>
        <s v="+ MARÍA ALICIA CAYO   q.e.p.d  Se durmió en los brazos del S  Sobrinas Analia Natalia, Lorena, Valentina, Rocío y Sofía." u="1"/>
        <s v="VENDO 10 HAS en La Almona. Escucho propuestas de compra. Cel 0388-154199168." u="1"/>
        <s v="GRACIAS SAN EXPEDITO POR LOS FAVORES RECIBIDOS J.C.H." u="1"/>
        <s v="Feliz 50 Años Radio San Salvador de Jujuy. Gracias  Fernandoste legado......  Es el mensaje de cantando en Jujuy ......." u="1"/>
        <s v="NUMANCIA ... .." u="1"/>
        <s v="+ RENE MILAGRO FERNANDEZ (aviso armado)" u="1"/>
        <s v="DUEÑA VENDE LOCAL COMERCIAL en Galeria Huasi, Belgrano al 500. Cel 388-154199168" u="1"/>
        <s v="+ CACERES DE CHOCOBAR JULIA ESTER Q.E.P.D.  Falleció el 23 dbisnietos invitan elevar una oracion por su eterno descanso." u="1"/>
        <s v="+ GOMEZ, Venancio (q.e.p.d.) Falleció el día 8 de abril de 2amo y amare siempre, hasta pronto. Tu Venancia “Caro Gómez”." u="1"/>
        <s v="SAN EXPEDITO  ORACION COMPLETA....  AURELIA RODRIGUEZ" u="1"/>
        <s v="Deseo hacer llegar a la sala de Unidad Coronaria del Sanator por Covid 19. De corazó agradezco nuevamente. CARMEN COLQUI" u="1"/>
        <s v="Susana Rueda Seguros" u="1"/>
        <s v="BUSQUEDA SAN PEDRO" u="1"/>
        <s v="AUTO CITY" u="1"/>
        <s v="BELÉN DELIVERY Del Mercado a tu Casa 1 PACK DE VERDURAS -2 Kry zona Centro y alrededores Cel 388-4869797 (solo 8 4869797" u="1"/>
        <s v="CANAL 4" u="1"/>
        <s v="LA COCHERIA S.R.L." u="1"/>
        <s v="SOLICITADA TABACALERAS" u="1"/>
        <s v="GOBIERNO ISJ ODONTOLOGIA..." u="1"/>
        <s v="EMPRESA DEL MEDIO BUSCA CAJERO" u="1"/>
        <s v="Farmacia Carrizo" u="1"/>
        <s v="VENDO AMAROK V6 2018, impecable, recibo camioneta menor valor. Cel. 388-4674278 / 388-68613128   62018" u="1"/>
        <s v="GRACIAS SAN CAYETANO POR EL PAN, TRABAJO Y SALUD J.CH." u="1"/>
        <s v="E D I C T O   - - - El Dr. CARLOS M. COSENTINI,  Vocal de la en cinco días.   SAN SALVADOR DE JUJUY, 14 de JULI8  100358" u="1"/>
        <s v="Chaile Seguros (ex Pablo Chaile)" u="1"/>
        <s v="ESC REMEDIOS DE ESCALADA" u="1"/>
        <s v="GRACIAS SAN EXPEDITO Por los Favores Recibidos  Flia. Barengo" u="1"/>
        <s v="                                                    EDICTOS Mayo de 2.020.- a cargo del DR. SERGIO ALVAREZ  sec8  154819" u="1"/>
        <s v="AGOSTINI" u="1"/>
        <s v="EL PULSO" u="1"/>
        <s v="ELECTROMECANICA SANCHEZ  ANIV. CLINICA NTRA. SRA. DE FATIMA" u="1"/>
        <s v="CHARLY ROCKERIA" u="1"/>
        <s v="COLEGIO DE ABOGADOS ESP BIOQ." u="1"/>
        <s v="+ ESTEBAN GURRIERI  (Q.E.P.D.)  Se durmió en los brazos del r una oración al Altísimo por el descanso eterno de su alma." u="1"/>
        <s v="GOBIERNO TRABAJADOR" u="1"/>
        <s v="CLAUDIA MACHADO PRODUCCIONES" u="1"/>
        <s v="+ MAMANI, Gallego      q.e.p.d. Se durmió en los brazos del os, hoy te recuerda y sienten tu partida con inmenso dolor”." u="1"/>
        <s v="+ MARTINEZ, Abel Elías (q.e.p.d.) Falleció el día 7 de agostaniel lo recuerdan con amor y ruegan por su eterno descanso." u="1"/>
        <s v="Carlos Diaz Héroe de Malvinas Se durmió en la paz del Señor iliares ruegan elevar al altísimo una oración en su memoria." u="1"/>
        <s v="Melli Automotores SRL" u="1"/>
        <s v="SE FUE UN PAJARITO LOBO ....." u="1"/>
        <s v="COLEGIO DE INGENIEROS - EXODO JUJEÑO" u="1"/>
        <s v="METALURGICA GARLATTI-DIA DEL METALURGICO" u="1"/>
        <s v="DISTRIBUIDORA DE PRODUCTOS DE LIMPIEZA. BUSCA VENDEDORES.   ón.  Comunicarse al 388- 155250262 únicamente de 18 a 20 Hs." u="1"/>
        <s v="EDICTO ---La  Cámara en lo civil y Comercial  Sala II  Vocaltaria.-“ SAN SALVASDOR DE JUJUY, 02  de septiembre 8  084521" u="1"/>
        <s v="IITA" u="1"/>
        <s v="Sindicato de luz y fuerza - ESP PERON" u="1"/>
        <s v="+ WALTER VERAMENDI  (q.e.p.d.) Falleció el 3 de junio de 202 tantos momentos preciosos compartidos. Te vamos a extrañar”" u="1"/>
        <s v="GOBIERNO DE JUJUY  CARTA ABIERTA...." u="1"/>
        <s v="                                                            n en vida fue uno de los Socios fundadores de la Institución" u="1"/>
        <s v="BALBI DISTRIBUIDORA" u="1"/>
        <s v="IMPORTANTE EMPRESA CONST. SOLICITA" u="1"/>
        <s v="+ DANIEL HIGINIO ALDAPE 16-3-53 / 03-09-20 Los hijos y esposigos y familia que nos acompañaron en este  difícil8   16353" u="1"/>
        <s v="BUSCAMOS PRODUCTORES COMERCIALES  PARA MEDIOS Emisora FM locicitar entrevistas a los teléfonos  3884879069 y 3884877959." u="1"/>
        <s v="MINERA EXAR - DIA DE LA MINERIA" u="1"/>
        <s v="Gracias San Expedito, gracias Señor por la gracia concedida.  C.I.C." u="1"/>
        <s v="E  D  I  C  T  O  S    _ _ _ _ _ _ JUZGADO DE PRIMERA INSTANAN SALVADOR DE JUJUY  29 DE MAYO DE 2020._ _ _ _ _ 8  159697" u="1"/>
        <s v="PROYAJO S.A." u="1"/>
        <s v="+ ROJAS, Mercedes  (q.e.p.d.)  Falleció el día 22 de mayo detreno descanso de tu alma.   TE AMAREMOS POR SIEMPRE ¡MECHI!" u="1"/>
        <s v="ESCUAL DE FUTBOL PADRE MARCELO GOTTIG   SUPLEMENTO PADRE GOTTIG  ///AVISO ARMADO /////" u="1"/>
        <s v="+ BENITA FILOMENA CONDORI DE PUCH  ( Q.E.P.D.)  Se durmió enartida al Reino de los cielos la recuerdan con mucho Amor..." u="1"/>
        <s v="ANALISTA SENIOR DE CONTROL DE GESTIÓN Nos encontramos en la ail.com con el asunto ANALISTA SENIOR DE CONTROL DE GESTIÓN." u="1"/>
        <s v="CEDEMS DIA DLE PROFESOR" u="1"/>
        <s v="Mutual de Agua y Energia" u="1"/>
        <s v="ISJ TELEASISTENCIA ..." u="1"/>
        <s v="FATIMA DIA DE LA SANIDAD" u="1"/>
        <s v="VIRACOCHA ...." u="1"/>
        <s v="+ OSCAR RINALDO ARROYO  ( Q.E.P.D.)  Se durmió en los brazosr al Altísimo una oración por el eterno descanso de su alma." u="1"/>
        <s v="+ VACA, Juan Carlos (q.e.p.d.) Falleció el día 18 de septiemiliares y amigos  a elevar oraciones por su eterno descanso." u="1"/>
        <s v="C.G.T ESP PERIODISTAS" u="1"/>
        <s v="ASOCIACION PERIODISTAS AGROPECUARIOS" u="1"/>
        <s v="SE ALQUILA LOCAL PLENO CENTRO" u="1"/>
        <s v="BINGO FUNDACION HOSPITAL DE NIÑOS..." u="1"/>
        <s v="CARMOTO - DIA DEL CAMINO" u="1"/>
        <s v="CONSEJO DE FONOAUDILOGOS" u="1"/>
        <s v="VENTA TELEFONICA ...." u="1"/>
        <s v="Colegio de Ingenieros DIA DEL GRADUADO EN CS ECONÓMICAS" u="1"/>
        <s v="MUNIC PALPALA - VTA BARBIJOS" u="1"/>
        <s v="Multi Lub" u="1"/>
        <s v="Nos encontramos en la búsqueda de un Analista de Operaciones Interesados enviar CV con foto A: empleoenjujuy19@gamil.com" u="1"/>
        <s v="AUTOMOTORES PEREZ" u="1"/>
        <s v="SAN EXPEDITO  GRACIAS POR LOS FAVORES RECIBIDOS  G. O. Z." u="1"/>
        <s v="canal 7 programacion ." u="1"/>
        <s v="CANAL2 PERICO  PROGRAMACION..." u="1"/>
        <s v="N.M.M. GRACIAS SAN EXPEDITO POR LOS FAVORES RECIBIDOS." u="1"/>
        <s v="GRACIAS SAN EXPEDITO POR LOS FAVORES RECIBIDOS. J.G." u="1"/>
        <s v="Centro Empleados de Comercio  Filial Libertador Leonardo Cardozo" u="1"/>
        <s v="Dfd repuestos - VIRGEN DE RIO BLANCO" u="1"/>
        <s v="SERVICIOS SOCIALES DEL NORTE" u="1"/>
        <s v="VIRGEN DEL CARMEN   ///IMAGEN ///  GRACIAS POR LOS FAVORES RECIBIDOS Y POR TU BONDAD INFINITA   O.F.G." u="1"/>
        <s v="SOLICITADA UNJU" u="1"/>
        <s v="OPTICA SAN CAYETANO  ANIV. SAN CAYETANO" u="1"/>
        <s v="EDICTO SUCESORIO = = = =JUZGADO DE PRIMERA INSTANCIA EN LO CJUY, 13 de marzo 2020.   = = = = Firma: Dra. Elisa 8  147510" u="1"/>
        <s v="EDICTO SUCESORO = = = =JUZGADO DE PRIMERA INSTANCIA EN LO CIUY, 13 de marzo 2020.   = = = = Firma: Dra. Elisa M8  147510" u="1"/>
        <s v="canal 4 programacion-...." u="1"/>
        <s v="VENDO SAVEIRO" u="1"/>
        <s v="AGOSTINI DESARROLLOS INM." u="1"/>
        <s v="CAMARA JUJEÑA CONSTRUC. DIA DEL CAMINO" u="1"/>
        <s v="ELECTROMECANICA SANCHEZ  ANIV. SAN CAYETANO" u="1"/>
        <s v="GRACIAS SAN EXPEDITO POR LOS FAVORES RECIBIDOS.  L.E.A." u="1"/>
        <s v="GOBIERNO DIA DEL PERIODISTA..." u="1"/>
        <s v="De Acuerdo a la Resolución Nº 372- SCA /2018. Anexos I y II  Boletín Oficial y diario de la Provincia. Fdo. Pablo Campos" u="1"/>
        <s v="CONCEJAL P.J. DR. HUGO SOSA  DIA DEL TRABAJADOR" u="1"/>
        <s v="+ LASQUERA, Rafael “Corzuela” 31/08/1939  “Muchas felicidade FELIZ CUMPLE PAPÁ BESOS Y ABRAZOS AL CILEO. TU HIJO RAFAEL." u="1"/>
        <s v="ISJ  ADULTO MAYOR..." u="1"/>
        <s v="CAMARA PYME - DIA DEL TRABAJADOR" u="1"/>
        <s v="UEL TROFEOS-SUDC DEPORTES CANJE TROFEOS MARATON" u="1"/>
        <s v="VENDO ECOSPORT FREESTYLE, mod 2017, 50.000 km, impecable, no recibo vehiculo.  Cel 3884082347" u="1"/>
        <s v=" -------------------------------------------------------EDIC SALVADOR DE JUJUY, A LOS 15 DIAS DEL MES DE MAYO  8  153278" u="1"/>
        <s v="CHARLY ROCKERIA (publica aqui)" u="1"/>
        <s v="SE EXTRAVIO EN B° SAN ISIDRO RESPONDE AL NOMBRE DE TOMY. CEL. 388-4871437 Fijo 42545678 4871437" u="1"/>
        <s v="EL CARNAVAL  *LOGO * PEGAR FOTO DE TABACOS ANTERIORES * 10% AQUERIA, PAGO EN EFECTIVO * VALIDO HASTA EL 30 DE SEPTIEMBRE" u="1"/>
        <s v="ELECTROMAT ESP LW8" u="1"/>
        <s v="AGRICOLA FERMI SRL" u="1"/>
        <s v="PALA CARGADORA 2 m3  SEM 639B, 4x4, Joystic y A/A año 2012.  Cel.388-42981388 4298138" u="1"/>
        <s v="PROMO EL TRIBUNO TV" u="1"/>
        <s v="NARANJA - TRABAJADOR" u="1"/>
        <s v="MUNICIPALIDAD DIA DEL RECOLECTOR..." u="1"/>
        <s v="CONCEJAL P.J. ABIAN RODRIGUEZ  DIA DEL TRABAJADOR" u="1"/>
        <s v="MYN INYECCION" u="1"/>
        <s v="DUEÑO VENDE DPTO  2 Hab - 2 Baños. 73 m2 Propios  Las Vicuñas a 50 Mts. de Policia y Rotonda.  Cel. 3886853325" u="1"/>
        <s v="LA CASA DEL JUBILADO - DIA DEL JUBILADO" u="1"/>
        <s v="CARGAR CUENTA DE WERCHOW MOD 1X3  + VARGAS FRANCISCA" u="1"/>
        <s v="MUNICIPALIDAD DE PERICO - INFORMACIÓN DE PRENSA MES DE JULIO20" u="1"/>
        <s v="ESTUDIO CONTABLE CPN OSCAR CONGIU" u="1"/>
        <s v="RNT RED NACIONAL DE TECNICOS DE LA REP. ARG. RNT...." u="1"/>
        <s v="PAREDES MAYORISTA  ANIV. CLINICA NTRA. SRA. DE FATIMA." u="1"/>
        <s v="FARMACIA CUMBRE" u="1"/>
        <s v="Colegio Medico DIA DEL CONTADORES" u="1"/>
        <s v="DUEÑO ALQUILA DEPARTAMENTO DE 1 DORMITORIO. CALLE JUANA MANUELA GORRITI, CERCA DEL CENTRO. CEL 3885127399" u="1"/>
        <s v="EDICTO  El Juzgado de 1ª Instancia de Procesos Ejecutivos deudad. Salta,  25 de junio de 2020.- Dra. MARIA NELA8   04761" u="1"/>
        <s v="GOBIERNO USA BARBIJO ..." u="1"/>
        <s v="EDICTO DE PRESCRIPCION ADQUISITIVA...." u="1"/>
        <s v="BANCO MACRO - AVISO + PROGRAMA ONDA ESTUDIANTIL PEDIDO: 4500078548 HES: 1000187554" u="1"/>
        <s v="+ REYNAGA, Verónica (q.e.p.d.) Falleció el día 10 de septiemia y por su eterno descanso. Que Dios lo tenga en la gloria." u="1"/>
        <s v="WERCHOW   ///+ FELIX CRUZ////  AVISO ARMADO" u="1"/>
        <s v="ALQUILER DE CAMIONETAS   DIA DE LA MINERIA" u="1"/>
        <s v="CAMARA MINERA - DIA DEL TRABAJADOR" u="1"/>
        <s v="ALQUILO COCHERA TECHADA  y Monitoreada, zona Cancha de Gimnasia.  Llamar al 388-41242798 4124279" u="1"/>
        <s v="CLUB ATLETICO GORRITI" u="1"/>
        <s v="electricidad JUJUY" u="1"/>
        <s v="Mutual agua energía PAGINA ESPECIAL" u="1"/>
        <s v="SOEAIL" u="1"/>
        <s v="EDICTOS - - -Juzgado de Primera Instancia en lo Civil y Comeujuy, 15 de Julio de 2.020.------------------------8   33086" u="1"/>
        <s v="CONCEJO DELIBERANTE - dia del periodista" u="1"/>
        <s v="APACHETA" u="1"/>
        <s v="CENTRO VOLKSWAGEN-SUP. AUTOMOTOR" u="1"/>
        <s v="TARJETA SOL 1 aviso pagado" u="1"/>
        <s v="TARJETA SOL 2 aviso pagado" u="1"/>
        <s v="UPCN DIA DEL PERIODISTA ..." u="1"/>
        <s v="FM TRANSAMERICA ..." u="1"/>
        <s v="COMPRAMOS  TODO LO QUE YA NO TE PONES!! BUZOS - CAMPERAS - CSTADO).  PAGO BIEN (NO VOY A DOMICILIO)  CEL. 388- 154422267" u="1"/>
        <s v="TERESA CHUMACERO IBARRA     (q.e.p.d.) Falleció el 15 de juljos y nietos ruegan elevar oraciones por su eterno descanso." u="1"/>
        <s v="AGOSTINI DESARROLLOS INM. ESP ARQUIT." u="1"/>
        <s v="Transporte Marghetti" u="1"/>
        <s v="canal 4 ProGraMacion..." u="1"/>
        <s v="CANAL 7 PROGRAMACION..." u="1"/>
        <s v="CAMARA DEL TABACO ADHESION:::" u="1"/>
        <s v="SANDERO STEPWAY  MOD/2018 -15.000KM Tel. 0388-156855015" u="1"/>
        <s v="VENDO PERMUTO  Maquina de Carpintería.  Cel. 03873625450 si Whatsapp" u="1"/>
        <s v="SENCO - pagina impar" u="1"/>
        <s v="ELECTROMAT" u="1"/>
        <s v="SERVIVIOS HOROSCOPO::::" u="1"/>
        <s v="GOBIERNO  SI TE CUIDAS VOS CUIDA TAMBIEN....." u="1"/>
        <s v="RUTA 9" u="1"/>
        <s v="MUNICIPALIDAD DE PERICO - INFORMACIÓN DE PRENSA MES DE JUNIO20" u="1"/>
        <s v="VENDO LOCAL GALERIA IMPULSO 1er. piso c/ 2 oficinas. $ 2.300.000. Tel. 3884662183" u="1"/>
        <s v="ASOCIACIÓN PAN DE LOS POBRES DE SAN ANTONIO          -HOGAR otas sociales pagadas hasta el día 30 de Setiembre 8    2072" u="1"/>
        <s v="EMPRESA PAEZ S.R.L." u="1"/>
        <s v="MUTUAL DE EX. EMPLEA. DE AGUA Y ENERGIA" u="1"/>
        <s v="PROF. GOMEZ CARDOZO, Carlos Mariano  (q.e.p.d.) Falleció el . Su recuerdo permanecerá por siempre en nuestros corazones." u="1"/>
        <s v="IMPLEMENTOS INDUSTRIALES" u="1"/>
        <s v="EXPTE N C-100803/2017 “COBRO DE PESOS POR SERVICIOS TARJETASDITO. LIMPIEZA URBANA S.A. LIMSA C/VILLAR IGNACIO C8  100803" u="1"/>
        <s v="Peluqueria Flequillo" u="1"/>
        <s v="TOYOTA ETIOS XS Mod 2016, 5 ptas, 6 M, excelente estado, papeles al día 92.000 Km, $570.000. Cel. 388-41751338 4175133" u="1"/>
        <s v="Consejo Departamental Ledesma PJ" u="1"/>
        <s v="CARMOTO" u="1"/>
        <s v="AGROQUIMICA SAN JOSE - ESP VIRGEN RIO BLANCO" u="1"/>
        <s v="PODER JUDICIAL DE LA PROVINCIA DE JUJUY CAMARA DE APELACIONES EN LO CIVIL Y COMERCIAL:::::" u="1"/>
        <s v="GRACIAS SAN EXPEDITO POR LOS FAVORES RECIBIDOS.   E y B.L." u="1"/>
        <s v="Poderosa novena a la Virgen de Guadalupe Compra una vela, ena fe el milagro se realizara. Doy gracias a mi Virgen.  R.V." u="1"/>
        <s v="LIMSA 23 de agosto" u="1"/>
        <s v="SOLE NAVARRO. GRACIAS SAN EXPEDITO POR LOS FAVORES CONCEDIDOS." u="1"/>
        <s v="BOULEVARD" u="1"/>
        <s v="FARMACIA VITAL SELECCIONARÁ FARMACEUTICO/A Importantes Ingreos Presentar CV. en San Martín 1040 4to. Piso de 10 a 13 hs." u="1"/>
        <s v="TELECOM FLOW" u="1"/>
        <s v="auspicia dolar AGROFER" u="1"/>
        <s v="+ SAAVEDRA JORGE...  El Secretario Gral de ADEP participa.....  ///aviso armado en carpeta de la fecha /////" u="1"/>
        <s v="COMPRO AUTO CON DEUDA innibidos, enbargado, pago mas, voy al interior. 3885973084" u="1"/>
        <s v="VENDO CLIO 3PTAS MODELO 97 DIESEL. BUEN ESTADO. RECIBO MOTO  3885210885 WASAP LLAMADAS" u="1"/>
        <s v="AGENCIA BRIONES ////ANIVERSARIO CLINICA FATIMA/////" u="1"/>
        <s v="/////AVISO ARMADO///// VETERINARIA SANDI" u="1"/>
        <s v="PATA FLAMBEADAA LA MOSTAZA Y PICADAS ESPECIALES. “Javier Parra”  Rec. todas las tarjetas Cel. 3884605868(Whatsapp)" u="1"/>
        <s v="+ BURGOS, GABRIELA LILIANA  (q.e.p.d).  Falleció el 14 de jun para elevar una oración por el eterno descanso de su alma." u="1"/>
        <s v="+ BURGOS, José Saturnino  (q.e.p.d.)  Se durmió en la paz deogamos elevar una oración por el eterno descanso de su alma." u="1"/>
        <s v="COMPRA VENTA PERMUTA  Renault Megan mod 2008 GNC $195.000 Fi  Bº Malvinas (CERCA OF /AGUA DE LOS ANDES) CEL. 388  191995" u="1"/>
        <s v="CREDIS CRECER   solicita vendedor/cobrador con experiencia ymandar SMS O WSPP Cel.3885843026 se ofrece comición y premio" u="1"/>
        <s v="CREDIS CRECER   solicita vendedor/cobrador con experiencia ymandar SMS O WSPP Cel.3886821109 se ofrece comición y premio" u="1"/>
        <s v="EXPTE C.041.760 /15" u="1"/>
        <s v="Transportes Ameysa S.A." u="1"/>
        <s v="DUEÑO ALQUILA  Local Comercial  Galería El Pórtico  calle Beno 851.  Fijo 4225497  (lunes a viernes 9 a 12 y 178 4225497" u="1"/>
        <s v="FM JUJUY..." u="1"/>
        <s v="DRES. HUGO SOSA Y CESAR MURILLO  CARDIOLOGIA  ANIV. CLINICA NTRA. SRA. DE FATIMA" u="1"/>
        <s v="PICK-UP AMAROK D/C. 2012, 180HP Trendline Tratar: San Martin 108 Perico Tel. 4916-806 Cel. 3881550095998 4916806" u="1"/>
        <s v="GANADORA TV SORTEO" u="1"/>
        <s v="GOBIERNO - JUZGADO DE MINAS" u="1"/>
        <s v="ESTUDIO CONTABLE Monica Salas" u="1"/>
        <s v="CONCEJAL P.J. DR. HUGO SOSA ANIV. FALLECIMIENTO DEL GRAL. JOSE DE SAN MARTIN" u="1"/>
        <s v="LIGA DE VETERANO DE FUTBOL DE JUJUY CONVOCATORIA La Comisiónia  Sin otro particular saludamos a ud, muy atentamente.----" u="1"/>
        <s v="LORENA ROA  DISEÑADORA" u="1"/>
        <s v="+ HUARACHI Julio (q.e.p.d.) Se durmió en la paz del Señor elitan a elevar una oración por el eterno descanso de su alma." u="1"/>
        <s v="+ HURTADO JUAN DOMINGO  (q.e.p.d.)  Se durmió en la Paz del evar oraciones para rogar por el eterno descanso de su alma." u="1"/>
        <s v="+WALTER FLORES   Q.E.P.D. Falleció el día 08 de junio de 202 recuerdo está conmigo, te llevo en mi corazón para siempre." u="1"/>
        <s v="+ JUAN CARLOS LIQUIN    (q.e.p.d.) Se durmió en la paz del Sria y elevar una plegaria por el eterno descanso de su alma." u="1"/>
        <s v="+ JUAN JOSE ATENCIO  (q.e.p.d.) Se durmió en la paz del señonvitan a elevar oraciones por el eterno descanso de su alma." u="1"/>
        <s v="FECHORIAS" u="1"/>
        <s v="GOBIERNO SERENATE AL EXODO ....." u="1"/>
        <s v="SERVIFIAT-DIA DEL TAXISTA" u="1"/>
        <s v="VENDO CASA, 3DORM. Primera categoría Los Perales 210m2 construidos. Cel. 388 154618228 www.habitatcar.com.ar154618228" u="1"/>
        <s v="INDUSTRIA CONSTRUCTORA MINING  Tinglados, Portones, Escaleralex y Edificios, Mov. Suelo.  Cel. 388-5201956 / 388 5201956" u="1"/>
        <s v="MUNDO MAGICO  ANIV. SAN CAYETANO" u="1"/>
        <s v="GOBIERNO AYUDANOS A CORTAR CON LA CDENA DE CONTAGIOS...." u="1"/>
        <s v=" + GONZALEZ de Galván, Glady (q.e.p.d.) Falleció el día 12 dvo, tu nuera Natalia y tus nietos Ignacio, Bárbara y Camila." u="1"/>
        <s v="+ LUIS ALBERTO MONASTERIO        (q.e.p.d.) Falleció el 14 do.Ruegan elevar oraciones por el eterno descanso de su alma." u="1"/>
        <s v="+ LUIS CUSI  (Q.E.P.D.)  Se durmió en los brazos del Señor eadosas elevar una oración por el eterno descanso de su alma." u="1"/>
        <s v="+ LUNA, Guillermo Gabriel “Memo” (q.e.p.d.) Falleció el día glesia Catedral para orar por el eterno descanso de su alma." u="1"/>
        <s v="+ LUIS FABIAN GARCIA  (Q.E.P.D.)  Se durmió en los brazos deron una plegaria Altísimo por el descanso eterno de tu alma." u="1"/>
        <s v="MARTINEZ JORGE LUIS Falleció el 15 de septiembre de2020  a lo momento y ruegan elevar una oración por su eterno descanso" u="1"/>
        <s v="NUEVO TV EL TRIBUNO" u="1"/>
        <s v="Colegio de Ingenieros DIA DEL INGENIERO" u="1"/>
        <s v="  PROYECTO DE GASNOR SEGÚN RESOLUCION ENARGAS I/910/09  1- Nliario.  8- FINANCIAMIENTO: Según plan de pago sele8   01024" u="1"/>
        <s v="+ GASPAROVIC LUCRECIA" u="1"/>
        <s v="Unión cañeros independientes" u="1"/>
        <s v="+GUERRA DE GUANTAY JUSTA ENCARNACION (Q.E.P.D.) Se durmió en nietos y bisnietos ruegan elevar una oración en su memoria." u="1"/>
        <s v="MATINA JOSE CARLOS                   q.e.p.d. Falleció el 11ruegan elevar una oración por el eterno descanso de su alma." u="1"/>
        <s v="LA CASA DE JEREMIAS" u="1"/>
        <s v="EXPTE C 053 362 / 158  053362" u="1"/>
        <s v="Agostini EL MOLLAR - LA ALMONA" u="1"/>
        <s v="E    D    I   C    T  O    S    ===== JUZGADO DE PRIMERA INSe la DRA. MARIA CECILIA HANSEN  Secretaria.--------896150287" u="1"/>
        <s v="+ TITO, Alfonso Gregorio q.e.p.d. Se durmió en la paz del seus hijos e hijas; tus nietos y nietas y tus hijos políticos." u="1"/>
        <s v="Gabiota Sport" u="1"/>
        <s v="PANIFICADORA REYES" u="1"/>
        <s v="PROYECCIÓN RAÚL BUSTAMANTE Dios quiere ayudarnos, pedo debem niños. En el mes séptimo, siete fuerzas para el Gobernador." u="1"/>
        <s v="CANDELA  ALMA GOURMET  Incorpora líderes y/o vendedoras de canancias. Stock permanente. Cel 388-4122436. 19 de 8 4122436" u="1"/>
        <s v="LIMSA whatsapp" u="1"/>
        <s v="CONSEJO DIRECTIVO CP DE CS ECON" u="1"/>
        <s v="SORIA FERNANDO AVISO ARMADO" u="1"/>
        <s v="proyajo" u="1"/>
        <s v="TELECOM - CONECTIVIDAD" u="1"/>
        <s v="GRACIAS SAN EXPEDITO POR LOS FAVORES RECIBIDOS -FAMILIA BARENGO-" u="1"/>
        <s v="SIRIO LIBANESA" u="1"/>
        <s v="LIMSA TRABAJADOR" u="1"/>
        <s v="EJESA CORTE" u="1"/>
        <s v="DENTAL RED - ESP SERV. PENIT." u="1"/>
        <s v="+ MIRANDA ABEL LINO  Hoy 24 de Septiembre  cumplirías un añomente. Tu esposa Mary y tus sobrinos Mónica, Luciana y René." u="1"/>
        <s v="ELENA ARROYO  (q.e.p.d.)  Falleció el día 17 de mayo de 2020 enfermeros/as y al personal en general de esta institución." u="1"/>
        <s v="LENARDUZZI AUTOMOTOR" u="1"/>
        <s v="giganto gráfica - ESP VIRGEN RIO BLANCO" u="1"/>
        <s v=" + SATURNINA VELAZQUEZ (Nina)   (Q.E.P.D.)  Se durmió en la  una oración en su nombre por el eterno descanso de su alma." u="1"/>
        <s v="UNJU - DIA DEL TRABAJADOR" u="1"/>
        <s v="ADRIAN MERCADO SUBASTA" u="1"/>
        <s v="SW SERVICIO DE INGENIERIA" u="1"/>
        <s v="MMERCEDES BENZ 218  con caja 4.80 m3,  recibo menor valor. Cel.3886855584" u="1"/>
        <s v="EXPTE 48636/158   48636" u="1"/>
        <s v="+  SEVERIANA CAÑARI DE VILCA                            (q.e                                                      Hilda." u="1"/>
        <s v="GARELY" u="1"/>
        <s v="COLEGIO DE ODONTOLOGOS - ESP ODONTOLOG." u="1"/>
        <s v="TELECOM RECARGA DIGITAL" u="1"/>
        <s v="ATSA DIA DE LA ENFERMERIA.." u="1"/>
        <s v="VETERINARIA IBERA --- DIA DEL VETERINARIO  ////AVISO ARMADO FECHA ////  * Feliz dia  a todos los Medicos Veterinarios..." u="1"/>
        <s v="x favor CAMBIRA EL HORARIO “HORARIO CORRIDO DE 10 A 19 HS.)  EL ACTO CON TODAS LAS TARJETAS (aviso nuevo color amarillo)" u="1"/>
        <s v="GERENTE DE VENTAS ASUNTO GV20" u="1"/>
        <s v="S10, LTZ 2012. D/ C 4x2.  Recibo vehículo chico. Cel.388-42981388 4298138" u="1"/>
        <s v="+JUAN DOMINGO GASPAR  (q.e.p.d.) 28/01/54  - 19/05/2020 HOY ía, Elida, Débora y Cecilia, tus nietos, bisnietos 8    5419" u="1"/>
        <s v="EXPTE C 057 663 /158  057663" u="1"/>
        <s v="CONCEJAL DR. HUGO SOSA  ANIV. N° FALLECIMIENTO D. PERÓN" u="1"/>
        <s v="+ SANTOS BENITO CALIZAYA   ////AVISO ARMADO EN CARPETA DE LA FECHA/////" u="1"/>
        <s v="UOCRA" u="1"/>
        <s v="EDICTO DE CITACION  ----------LA DIRECCION DE HABITAT E INCLde 2020 Director Arq. Horacio García Ramírez.------8  618007" u="1"/>
        <s v="TAVERNITI" u="1"/>
        <s v="CHARLA UCO Clinica Fatima" u="1"/>
        <s v="VIGIA ESP. VIRGEN DE RIO BLANCO" u="1"/>
        <s v="+ SAGARDIA, YULIANA JORGELINA   /////AVISO ARMADO EN CARPETA DE LA FECHA /////" u="1"/>
        <s v="---------------------------EDICTO SUCESORIO----------------- dieciséis  días del mes de Junio del año dos mil v8  055154" u="1"/>
        <s v="LOTES EN PRE-VENTA  10X30 y 10X40 B° Los Perales Cel 388-66521618 6652161" u="1"/>
        <s v="del río automotores" u="1"/>
        <s v="I.V.U.J.  Gobierno de Jujuy   EVITA LA DESADJUDICACION Y ACCefinanciacion se hace  solo en dependencias institucionales." u="1"/>
        <s v="+BENITA VALLEJOS ROCHA  MOD 1X3 BYN" u="1"/>
        <s v="56º aniversario de la mutualidad de circ. de suboficiales ..." u="1"/>
        <s v="CLINICA VETERINARIA DON JUAN MEDICOS VETERINARIOS JUAN AGOSTias- Domicilio CAMPERO 385 Bª Gorriti     Cel. 388-155038484" u="1"/>
        <s v="MUNIC. S.S. DE JUJUY - HOMENAJE A SAN MARTIN" u="1"/>
        <s v="COOP. DE TABACALEROS - DIA TRABAJ. RURAL" u="1"/>
        <s v="ASOCIACIÓN CIVIL &quot;25 DE MAYO&quot; Personería Jurídica N° 422- G- para el periodo 2020 al 2022. Presidenta  Méndez A8    0422" u="1"/>
        <s v="UNJU - exodo jujeño" u="1"/>
        <s v="Pintureria y ferreteria Rosa Larrieu" u="1"/>
        <s v="+ IVANA JAQUELINA TEVES DE ZUÑIGA  (Q.E.P.D.)  Se durmió en ruegan elevar una oracion por el eterno descanso de su alma." u="1"/>
        <s v="+ IVANA JAQUELINA TEVES DE ZUÑIGA  (Q.E.P.D.)  Se durmió en ruegan elevar una oración por el eterno descanso de su alma." u="1"/>
        <s v="GOBIERNO DIA DEL MAESTRO...." u="1"/>
        <s v=" GOBIERNO BARBIJO ..." u="1"/>
        <s v="GRACIAS SAN EXPEDITO POR LOS FAVORES RECIBIDOS.    RODOLFO REVOLLO" u="1"/>
        <s v="+ SALOME ELVIRA CONDORI “PILA” Q.E.P.D. Se durmió en los brao de su alma y que brille para ella la luz que no tiene fin." u="1"/>
        <s v="ROSARIO MUEBLES" u="1"/>
        <s v="MUNI JUJUY - FERIA DE FLORES" u="1"/>
        <s v="VALDEZ HAMBURGUEZAS" u="1"/>
        <s v="VENTA DE RADIO  FM...." u="1"/>
        <s v="COMPRO CASA  Cdad de Nieva- Los Perales,  Bajo La Viña- Padilla. Sin intermediarios.  Cel. 3885240278." u="1"/>
        <s v="+ DR. CARLOS ALBERTO LUCERO FALLECIO EL DIA 19 DE JULIO DE 2TOR  DE DICHA INSTITUCION.  SE RUEGA POR SU DESCANSO ETERNO." u="1"/>
        <s v="ESTUDIO LASQUERA" u="1"/>
        <s v="UNIVERSIDAD SIGLO XXI.." u="1"/>
        <s v="GOBIERNO AHORA ES RESPONSABILIDAD..." u="1"/>
        <s v="-------------------------------------- EDICTO --------------taria. Es copia.- San Salvado de Jujuy, 21 de Mayo 896070802" u="1"/>
        <s v="CANAL 4 UNICABLE" u="1"/>
        <s v="COLEGIO DE INGENIEROS VOCAL TECNICO ..." u="1"/>
        <s v="======================== EDICTO =========================== a la Sra. DEFENSORA OFICIAL CIVIL que por turno cor8  096045" u="1"/>
        <s v="SAN ROQUE   ///IMAGEN ///  GRACIAS POR LOS FAVORES RECIBIDOS Y POR TU BONDAD INFINITA   O.F.G." u="1"/>
        <s v="GOBIERNO RENTAS ..." u="1"/>
        <s v="LUISIÑO" u="1"/>
        <s v="CRISTALES JUJUY" u="1"/>
        <s v="VENDO CELULAR SAMSUNG S10 detalle de vidrio. $ 15.000. 155096851" u="1"/>
        <s v="EDICTO SUCESORIO El Juzgado de Primera Instancia en lo Civil del CPC).- San Salvador de Jujuy,  21 de AGOSTO  d8  161753" u="1"/>
        <s v="MARIO PRUDENCIO TEJERINA Q.E.P.D.  Nos dejaste el 26 de agosria por el eterno descanso de tu alma en el Reino del Señor." u="1"/>
        <s v="CLUB GIMNASIA BINGO LOBO...." u="1"/>
        <s v="&quot;ASOCIACIÓN ENÉSIMA GENERACIÓN DECRETO G-5746 LEGAJO 217&quot;  Lo de19:00 a 21:00 hs. en la calle  Baron de Holmberg N° 147." u="1"/>
        <s v="YAGUAR" u="1"/>
        <s v="Acciones de Gracias a Gauchito Gil por todos los favores Sallia. Perdón por la demora. A.N.S. , S.T.S. , V.G.P. , S.N.S." u="1"/>
        <s v="Acciones de Gracias a San Expedito por todos los favores Sallia. Perdón por la demora. A.N.S. , S.T.S. , V.G.P. , S.N.S." u="1"/>
        <s v="RUBEN EDUARDO RIVAROLA NATALICIO DE EVA" u="1"/>
        <s v="CARGAR A WERCHOW MOD 1X3 BYN  + CONDORI PEREZ" u="1"/>
        <s v="CLINICA ANIMAL BERNARDO- DIA DEL VETERINARIO  * CAMBIAR FOTO * AUMENTAR M. V. Horacio R. Castillo - MP 203" u="1"/>
        <s v="+FUNES, Álvaro Gonzalo (q.e.p.d.) Falleció el día 4 de Julioamiliares, quienes pedimos elevar una oración en su memoria." u="1"/>
        <s v="UTHGRA DIA del trabajador" u="1"/>
        <s v="JUJUY MADERAS" u="1"/>
        <s v="PRESTAMOS  Con tarjeta, empeños, prendas, cambio, cheques terceros cel. 3886867250." u="1"/>
        <s v="EDICTO  Juzgado de Primera Instancia en lo Civil y Comercial Armando Puca. Juez. Dra. NATACHA BULIUBASICH-PRO SECRETARIA" u="1"/>
        <s v="EDICTO SUCESORIO. El Juzgado de Primera Instancia en lo Civi agosto de  2020. DRA. MARIA LAURA LOPEZ PFISTER. SECRETARIA" u="1"/>
        <s v="CONCEJAL DR. HIGO SOSA  ANIV. SAN CAYETANO" u="1"/>
        <s v="GOBIERNO VIRGEN DE RIO BLANCO Y PAYPAYA...." u="1"/>
        <s v="MUNI JUJUY - TRABAJADOR" u="1"/>
        <s v="DR. CESAR ADRIAN “CACHO” SCARO (q.e.p.d.) Fallecio el jueves a las 22.30. RUBEN ARMANDO RIVAROLA....." u="1"/>
        <s v="BLIMOP" u="1"/>
        <s v="EDINOR DESARROLLOS INMOBILIARIOS -Alquila Loft en Necochea 2endencia 573. Cel 388-4233964 / 155135994  www.edin8 4233964" u="1"/>
        <s v="EDINOR DESARROLLOS INMOBILIARIOS, Loteo El Camino Real, Rio pendencia 573. Cel 388-4233964 / 155135994 www.edin8 4233964" u="1"/>
        <s v="PARQUE EL SOLAR ///TEXTO EN CARPETA DE LA FECHA///  CON LOGO" u="1"/>
        <s v="Veterinaria Bartolini" u="1"/>
        <s v="CONCEJO DELIBERANTE - pachamama" u="1"/>
        <s v="+ CLEMENTINA CONSTANTINA JUNA (q.e.p.d.) Directorio, Medicos, Enfermeros del Sanatorio del Rosario ...." u="1"/>
        <s v="GOBIERNO  SERENATEEXODO JUJEÑo...." u="1"/>
        <s v="PERICO DUEÑO VENDE Casa Cel. 388 5864694" u="1"/>
        <s v="SALTA  SOBRINO, Julio     Q.E.P.D. Falleció el día 29 de abrcia, Cristina y Carolina, tus sobrinos políticos y sobrinos." u="1"/>
        <s v="URGENTE VENDO TERRENOS $900.000 CONTADO *Bº SANTA RITA *TODODIATA *CONSULTAR TEL: 0388-154354899 / 156859696 (SOLO WAPP)" u="1"/>
        <s v="VENDO LOCAL GALERIA IMPULSO 1er. piso c/ 2 oficinas. $ 2.300.000. Tel. 3884071345" u="1"/>
        <s v="VENDO FIAT GRAND SIENA  Mod” 2013 Excel. estado $ 410.000 Cel. 388 58078348  942013" u="1"/>
        <s v="EDICTO  EN EL EXPTE. N° C- 140684/19 caratulado &quot;SUCESORIO A 2020.   ANTE MÍ: Dra. LAURA DUASO FERNANDEZ — PROS8  140684" u="1"/>
        <s v="EDICTO SUCESORIO ----JUZGADO DE PRIMERA INSTANCIA EN LO CIVI PUCA  JUEZ- Ante mi Dra. AGUSTINA NAVARRO- Pro sec8  156124" u="1"/>
        <s v="MIRIAM ZERPA DE FERRETTI Profesora - Magter    (q.e.p.d.) Selizar oraciones en su honor el 16 de Julio.  Muchas Gracias." u="1"/>
        <s v="NOVA INFORMATICA ..." u="1"/>
        <s v="CARGAR CUENTA DE WERCHOW MOD 1X3 BYN  + CACHIZUMBA VICTOR" u="1"/>
        <s v="(LOGO) SINDICATO DE CHOFERES DE CAMIONES  OBREROS Y EMPLEADOo General                                 Comision Directiva" u="1"/>
        <s v="CONCEJO DELIBERANTE - san salvador patrono" u="1"/>
        <s v="GRACIAS SAN CAYETANO, VIRGEN DEL ROSARIO DE SAN NICOLAS, DESRA. DE LURDES Y SAN EXPEDITO POR LOS FAVORES RECIBIDOS E.H.O" u="1"/>
        <s v="JUAN MATEO PORCEL LA RECUERDA CON CARIÑO A QUIEN FUERA SU ESPOR SU PARTIDA AL REINO DE LOS CIELOS Y QUE DESCANSE EN PAZ." u="1"/>
        <s v="ISALCO JULIO" u="1"/>
        <s v="TABACO BOUTIQUE" u="1"/>
        <s v="DR. ALFREDO CALVO  AVISO ARMADO" u="1"/>
        <s v="TORNERIA MECANICA GRAL. SAVIO  DIA DEL EMP. METALURGICO" u="1"/>
        <s v="EDICTO SUCESORIO:  = = =JUZGADO PRIMERA INSTANCIA EN LO CIVIJUJUY ,17 de SEPTIEMBRE DE 2019. - - - - - - - - - 8  138217" u="1"/>
        <s v="PROPIETARIO ALQUILA 2 DPTOS en 1er piso Alvear 934 Centro, zona Bancos, 2 dorm. 85 m2. Cel 388-4499835 / 4795688 4499835" u="1"/>
        <s v="FM Orion" u="1"/>
        <s v="DISTRIBUIDORA MALU" u="1"/>
        <s v="Sindicato de luz y fuerza" u="1"/>
        <s v="+ BORJAS, Lidia Gabina (q.e.p.d.) Falleció el día 18 de juniVanina, tus nietos Martina y Enzo y tu hijo político Walter." u="1"/>
        <s v="CAMARA DeL TABACO -  DIA DEL EJERCITO" u="1"/>
        <s v="TRAME S.R.L.   DIA DE LA INDUSTRIA" u="1"/>
        <s v="SEPELIOS SAN JOSE  SERVICIOS SOCIALES" u="1"/>
        <s v="IVUJ   Gobierno de Jujuy" u="1"/>
        <s v="PAG. 4  UNJU - MANUEL BELGRANO ......" u="1"/>
        <s v="PINTURERIAS DIP" u="1"/>
        <s v="CARLITOS REPUESTOS" u="1"/>
        <s v="centro de empleados de farmacia" u="1"/>
        <s v=" EDICTO SUCESORIO El Juzgado de Primera Instancia en lo Civiptiembre de 2020. Firma habilitada. Dr. Carlos Fabi8  160376" u="1"/>
        <s v="PJ REPUDIO" u="1"/>
        <s v="La tribuna" u="1"/>
        <s v="ASOCIACION CIVIL, CULTURAL Y DEPORTIVA “ LOS GRILLITOS”  Per Elección de Autoridades.   Dr. CHRISTIAN AMERISE P8   08814" u="1"/>
        <s v="Motonoa" u="1"/>
        <s v="NARANJA - TRABAJADOR - ESP PERIODISTAS" u="1"/>
        <s v="ERICA MARISEL CASON                                         EMPRE!!! PADRES, ESPOSA, HIJA, HERMANOS, CUÑADOS Y 8   10620" u="1"/>
        <s v=" EDICTO  ---JUZGADO DE PRIMERA INSTANCIA EN LO CIVIL Y COMERar.- Prosecretaria.  San Pedro de Jujuy, 04 de juni8   33205" u="1"/>
        <s v="+ Dr. SCARO, Cesar Adrian (q.e.p.d.) Falleció el día 10 de su alma. Acompañando a sus familiares en este triste momento." u="1"/>
        <s v="EDICTO SUCESORIO EL JUZGADO DE PRIMERA INSTANCIA EN LO CIVILe 2020. Fdo. Dra. María de los Ángeles Meyer. Prose8  157158" u="1"/>
        <s v="SUTIAGA PAG. ESP." u="1"/>
        <s v="SITRAVIP" u="1"/>
        <s v="EL TRIBUNO - ANIVERSARIO LW8" u="1"/>
        <s v="ALQUILO IMPORTANTE  SALON COMERCIAL  en Cuyaya 300 mtrs cubiertos.  Cel.0388-155190020 gurrieri88@gmail.com" u="1"/>
        <s v="EDICTO SUCESORIO  El Juzgado de Primera Instancia en lo Civie cinco días.-  San Salvador de Jujuy 21 de Agosto 8  160681" u="1"/>
        <s v="BETANCUR, SILVERIO (Q.E.P.D.) FALLECIO EL DIA 15/9/2020...." u="1"/>
        <s v="MARIA DEL  CARMEN JARAMILLO  (Q.E.P.D)  Se durmió en los braso de su alma y que brille para ella la luz que no tiene fin" u="1"/>
        <s v="BALDI FIAMBRES" u="1"/>
        <s v="UPCN ADHESION 26 ..." u="1"/>
        <s v="GRACIAS SAN EXPEDITO POR LOS FAVORES RECIBIDOS.  M.O.R." u="1"/>
        <s v="MUNICIPALIDAD DE PALPALÁ  CELEBRACION A LA VIRGEN DE RIO BLANCO Y PAYPAYA" u="1"/>
        <s v=" CLARA ROSA MENDEZ “Clarita” (q.e.p.d.) Se durmió en la paz descanso de su alma. Sé que más allá no encontraremos Clari." u="1"/>
        <s v="SER: FARMACIAS....." u="1"/>
        <s v="PRESIDENCIA TELAM  CHAT CAMILA...." u="1"/>
        <s v="SR. DE BOMBORI  Gracias por los favores recibidos. M.A.S." u="1"/>
        <s v="27 ANIVERSARIO EMPRESA GRAL. SAVIO......" u="1"/>
        <s v="CANAL 2 PERICO..." u="1"/>
        <s v="EDICTOS  El Dr. R. Sebastián Cabana, Juez de Primera Instanc436 del CPC).   San Salvador de Jujuy, 03 de Marzo 8  145694" u="1"/>
        <s v="SUCESORES DE FANZINI Y FLEMING S.A." u="1"/>
        <s v="Ñaro ropa para  hombres, jovenes mujeres y niños" u="1"/>
        <s v="CANAL 7 PROGRAMACION...." u="1"/>
        <s v="CARGAR CUENTA DE WERCHOW  MOD 1X3 BYN  +FELIX CRUZ" u="1"/>
        <s v="BINGO LOBO ...." u="1"/>
        <s v="OPTICA EL GALLO - virgen de rio blanco" u="1"/>
        <s v="Instituto de Enseñanza Gral H. Arrieta" u="1"/>
        <s v="FCIA. NUESTRA SRA. DEL CARMEN .ADHESION...." u="1"/>
        <s v="CANAL 4 UNICABLE..." u="1"/>
        <s v="PROFE DE CIENCIAS POLITICAS prepara en Historia Derecho,Inst y Universitario. Realizo trabajo Prácticos Cel. 388 4672165" u="1"/>
        <s v="PROFESOR DE CIENCIAS POLITICAS prepara alumnos, Nivel Secund. Ética, Inst. Cívica, Derecho y Sociología Cel. 388 4672165" u="1"/>
        <s v="OPTICA EL GALLO - empleados de comercio-" u="1"/>
        <s v="CENTRO EMP DE COMERCIO - ESP SAN SALVADOR" u="1"/>
        <s v="LIC:PUB: 06/2020 AGUA POTABLE Y SANEAMIENTO..." u="1"/>
        <s v="VENDO CAJA FUERTE 0,80 x 0,60, no mensaje4s, solo interesados. Cel 388-43970338 4397033" u="1"/>
        <s v="                                                    EDICTOS e 2.020, a cargo del DR. SERGIO ANDRES ALVAREZ  sec8  163231" u="1"/>
        <s v="+ Dr. Guillermo Robles Avalos               Q.E.P.D  Fallecicanso de su alma y acompañan a su familia con profundo dolor" u="1"/>
        <s v="+ FERRETTI, Tomas A. (q.e.p.d.) 7-3-1934  /  25-8-2015 Estarlor su fallecimiento. Ruegan elevar oraciones en su7   31934" u="1"/>
        <s v="------------------------------------------------E D I C T O osecretaria N° 12 Dra. ADELA FERNANDA SALAVERON----8  147985" u="1"/>
        <s v="MUNIC. S.S. DE JUJUY - cultura" u="1"/>
        <s v="UNJU - DIA DEL GRADUADO EN CS ECONOMICAS" u="1"/>
        <s v="UTHGRA - ESP PERIODISTAS (bonif de plan 5x2)" u="1"/>
        <s v="GOBIERNO EL USO DEL BARBIJO ES LA MEJOR VACUNA ..." u="1"/>
        <s v="SOLEDAD IGLESIAS" u="1"/>
        <s v="COSEJERO y HECHICERO JAIRO  Nuevo numero de Cel. 0388155628277155628277" u="1"/>
        <s v="BUSQUEDA. busco niñera con experiencia comprobable horario full time comunicarce al numero 3884592345" u="1"/>
        <s v="CAMARA DeL TABACO - DIA DEL TRABAJ. RURAL" u="1"/>
        <s v="farmacia general belgrano  - ESP VIRGEN RIO BLANCO" u="1"/>
        <s v="DUEÑO VENDE  sin comisión  casa planta baja  2 dorm. c/cochera  Barrio Los Perales.  Cel. 388-50173178 5017317" u="1"/>
        <s v="ASOCIACIÓN CIVIL -Centro Integral de Acondicionamiento Físicrero de 2020 a hs. 10.00.- Presidente: Marcelo Serg8   10206" u="1"/>
        <s v="MUCHO DINERO DÉJELE a su familia si le toca partir. Un segurs pesos mensuales - Asesoramiento gratis - Te. 388 8 4338875" u="1"/>
        <s v="Toyojuy chevrojuy" u="1"/>
        <s v="Parador Punto Medio" u="1"/>
        <s v="MADERAS EL CEIBO" u="1"/>
        <s v="GRACIAS SAN EXPEDITO POR LOS FAVORES RECIBIDOS. NORMA B.VERA" u="1"/>
        <s v="RUBEN RIVAROLA 17 DE AGOSTO" u="1"/>
        <s v="CANAL 7 PROGRAMACION" u="1"/>
        <s v="SECRETARIA PARLAMENTARIA CONGRESO DE LA NACIÓN" u="1"/>
        <s v="GABINETE PODOLOGICO SINGH VALERIA MAIRE SINGH MP 009  Lunes  hs. Campero Nº 137  Tel (388) 4223583  Cel (0388) 8   10620" u="1"/>
        <s v="GABINETE PODOLOGICO SINGH VALERIA MAIRE SINGH MP 009 Atencio hs. Campero Nº 137  Tel (388) 4223583  Cel (0388) 8   10620" u="1"/>
        <s v="GOBIERNO DIA DEL  EJERCITO" u="1"/>
        <s v="CENTRO OCULAR LASER-SUP. SALUD" u="1"/>
        <s v="CARGAR CUENTA DE WERCHOW MOD 1X3 BYN  + SOTO SINFORIANO" u="1"/>
        <s v="MUNIC. S.S. DE JUJUY - 9 de julio" u="1"/>
        <s v="AGRUPACION CROATA" u="1"/>
        <s v="EXPTE C-051.494/15" u="1"/>
        <s v="CARGAR CUENTA DE WERCHOW  MOD 1X3 BYN" u="1"/>
        <s v="DUEÑO VENDE TERRENO de 250 mtrs2, t/ser y papeles al día. Caeso. Altura Rotonda Chango Mas. Cel. 3884049899  38884070073" u="1"/>
        <s v="LUBRICENTRO ALEM-DIA DEL PENITENCIARIO" u="1"/>
        <s v="FM JUJUY ......" u="1"/>
        <s v="+  ROSA BEATRIZ MIRANDA       (q.e.p.d.) Falleció el 18 de jlos Francisco Luna y tus hijos Juan Manuel y María Virginia." u="1"/>
        <s v="UNION CAÑEROS INDEP. DE JUJUY Y SALTA" u="1"/>
        <s v="PORKMAN - GASTRONOMICOS" u="1"/>
        <s v="TODO IKA" u="1"/>
        <s v="+JUAN JOSE BALBIN  MOD 1X3 BYN" u="1"/>
        <s v="AGROQUIMICA SAN JOSE" u="1"/>
        <s v="ACOSTA MUEBLES" u="1"/>
        <s v="ACOSTA MUEBLES ESP VIRGEN" u="1"/>
        <s v="(LOGO)HASSA CONSTRUCCIONES ALBAÑILERÍA EN GENERAL  Losas de ciones. Presupuesto sin cargo.  Cel.3884542207/ Fij8 4235962" u="1"/>
        <s v="SANATORIO LOS LAPACHOS" u="1"/>
        <s v="COLEGIO DE ENFERMEROS PAG ESP CENTRAL 2" u="1"/>
        <s v="CLINICA NTRA. SRA. DE FATIMA  CELEBRACION A LA VIRGEN DE RIO BLANCO Y PAYPAYA" u="1"/>
        <s v="SMATA JUJUY" u="1"/>
        <s v="-  -  -  -  -  -  -  -  -  -  -  -  -  -  -  -  -  -  -  E D ABRAHAM M.  Pro-Secretaria T.J. - - - - - - - - - 8  026312" u="1"/>
        <s v="VENDO ROLLOS 100% DE SORGO FORRAJERO-PESO APROXIMADO 280 KGSUJUY.-COMUNICARSE A LOS TELEFONOS 03888530637 O 3888532433.-" u="1"/>
        <s v="ARRIENDO 10 HA. Descansada En Los Lapachos Monterrico.  Cel. 388 154864312154864312" u="1"/>
        <s v="Estudio Contable el Mercantil" u="1"/>
        <s v="+ ELVA DANIELO  &quot;ELVITA&quot;  (Q.E.P.D,)  Se durmió en la paz de                                                  Tu Familia" u="1"/>
        <s v="Importante empresa de transporte busca electricista, para Aunto de caja, diferencial, motor y válvulas barias 3884130289" u="1"/>
        <s v="INMEMORIAN     + Dr. PEÑA, Andrés José     El club Parque Rosignación que precisamos. Hasta siempre... Querido &quot;Monito&quot;." u="1"/>
        <s v="ADRIAN MERCADO" u="1"/>
        <s v="-------------------------------------------EDICTO-----------mar.- Prosecretaria. San Pedro de Jujuy, 18 de Juni8    2019" u="1"/>
        <s v="+ PEREYRA Marcelo Alejandro (q.e.p.d.) Falleció el 4 de agosá caer y nos guiará desde arriba nuestro amor será eterno..." u="1"/>
        <s v="GRACIAS Mamita de CHAGUAYA por todo este tiempo que estuviste siempre conmigo. A.A.CH." u="1"/>
        <s v="EDICTO SUCESORIO:  Juzgado de Primera Instancia en lo Civil nco (5) días.-  San Salvador de Jujuy, 04 de Mayo d8  157234" u="1"/>
        <s v="ADEP" u="1"/>
        <s v="EJESA ADHESION TRABAJADOR..." u="1"/>
        <s v="MINTA POINT - PAG ESP E INFOMERCIAL WEB" u="1"/>
        <s v="INFORMA CARLOS GUSTAVO CONDORI, DNI 34.584.237, EN EL CARÁCTUNA PARA COMERCIALIZAR LOTES DEL MENCIONADO FRACCIONAMIENTO." u="1"/>
        <s v="LAS VERTIENTES SRL - DIA DEL PERIODISTA" u="1"/>
        <s v="CARGAR CUENTA DE WERCHOW MOD 1X3 BYN  + MENDOZA FLORENCIO" u="1"/>
        <s v="SILVIA DEL ROSARIO GIACOPPO" u="1"/>
        <s v="A.A.T.A.L.A.C. SALUD A TECNICO DE LABORATORIO..." u="1"/>
        <s v="ORACION A SAN EXPEDITO Rezar 9 ave Marias durante 9 dias, pepublicar este aviso y se cumplira aunque sea imposible. L.M." u="1"/>
        <s v="GARELY esp ZAFRA" u="1"/>
        <s v="agroquímica san josé" u="1"/>
        <s v="LA HORMIGA" u="1"/>
        <s v="JUJUY FM AZULADO" u="1"/>
        <s v="MARTILLERA LAURA BLANCO     ALQUILERES   *Departamento  CéntLocal Villa San Martin  buena ubicación   TRATAR: 3884979930" u="1"/>
        <s v="MARTILLERA LAURA BLANCO   *Departamento  Céntrico: (2 dormitrios)  Calle Necochea al lado del Comodín TRATAR: 3884979930" u="1"/>
        <s v="MARTILLERA LAURA BLANCO   ALQUILERESS    *Excelente Departamnas *Alquiler  Terreno  Calle San Martin  TRATAR: 3884979930" u="1"/>
        <s v="MARTILLERA LAURA BLANCO   ALQUILERESS   *Departamento  Céntras  *Alquiler  Terreno  Calle San Martin  TRATAR: 3884979930" u="1"/>
        <s v="MARTILLERA LAURA BLANCO  vende Depósitos  en complejo empresenal, excelente oportunidad de  inversión. TRATAR 3884979930" u="1"/>
        <s v="MARTILLERA LAURA BLANCO  VENTA  TERRENOS    * 2 Hermosos Ters  de 600m2 *Arenales Terrenos de 10 x 25  TRATAR 3884979930" u="1"/>
        <s v="MARTILLERA LAURA BLANCO VENTA  TERRENO SAN PABLO DE REYES 1540 MUY BIEN UBICADO OPORTUNIDAD DE PRECIO  TRATAR 3884979930" u="1"/>
        <s v="MARTILLERA LAURA BLANCO VENTA  TERRENO SAN PABLO DE REYES 15S SERVICIOS VARIOS TERRENOS EN HIGUERILLAS TRATAR 3884979930" u="1"/>
        <s v="Ortega automotores" u="1"/>
        <s v="URGENTE CAMIONETA ISUZU 2.8 D/C. 4x4 2005 Tratar San Martín 108 Perico Tel. 4916806 Cel. 388 1550095998 4916806" u="1"/>
        <s v="Finca San Lucas" u="1"/>
        <s v="JAMPINA HUMAHUACA SALUD INTERCULTURAL" u="1"/>
        <s v="ATENCIÓN  ALQUILO SALÓN COMERCIAL  95 m2, Céntrico, Güemes acon bacha de acero inox, termotanque 90 L.  Cel. 388 5082752" u="1"/>
        <s v="ATENCIÓN ALQUILO  2 DPTOS.  44 m2 céntrico Güemes al 700, $ ro en 3er piso. Ideal pareja o pers. Sola.  Cel. 388 5082752" u="1"/>
        <s v="CONCEJO DELIBERANTE - EXODO JUJEÑO" u="1"/>
        <s v="CLINICA NUESTRA SRA. DE FATIMA...  lw8" u="1"/>
        <s v="EDICTO  DR. DIEGO ARMANDO PUCA, JUEZ DE PRIMERA INSTANCIA EN                 San Salvador de Jujuy, 05 de Junio8  156336" u="1"/>
        <s v="JUJUY PARA LOS JUJEÑOS DISFRUTEMOS DE NUESTRA PROVINCIA - ELE- JUJUY ENERGIA VIVA- SEP.. DESTINOS FULL COLOR  4 PAGINAS." u="1"/>
        <s v="AOMA MINERA AGUILAR - DIA DE LA MINERIA" u="1"/>
        <s v="CARODOSO VENDE" u="1"/>
        <s v="UNJU - PACHAMAMA" u="1"/>
        <s v="+ GOMEZ, Venancio (q.e.p.d.) Falleció el día 8 de abril de 2llah quiere, nos volveremos a ver padre mío. Te amo. Jimena." u="1"/>
        <s v="EDICTO SUCESORIO --El JUZGADO DE PRIMERA INSTANCIA EN LO CIVS  SECRETARIA.   Dra. MARIA GUILLERMINA SEQUEIROS S8  158244" u="1"/>
        <s v="COLEGIO DE ABOGADOS" u="1"/>
        <s v="ATP PRESIDENCIA....." u="1"/>
        <s v="P. 4 - UNIVERSIDAD NACIONAL DE JUJUY ... ESPECIAL" u="1"/>
        <s v="EDICTO SUCESORIO EL JUZGADO DE PRIMERA INSTANCIA EN LO CIVIL2020.  Secretaría N° 13: Dr. MAURO R. DI PIETRO -SE8  164987" u="1"/>
        <s v="CONSEJO CS ECONOMICAS" u="1"/>
        <s v="GRACIAS SAN EXPEDITO POR EL FAVOR RECIBIDO.   A.G. de B." u="1"/>
        <s v="+ CRUZ, Bonifacio (q.e.p.d.) Falleció el día 16 de mayo de 2stial me alegra mucho. Te amo hermanito lindo. Familia Cruz." u="1"/>
        <s v="GRACIAS SAN LA MUERTE POR LOS FAVORES RECIBIDOS SUDAÑEZ EDGADRO ALFREDO" u="1"/>
        <s v="RUBEN RIVAROLA - DIA DEL MAESTRO" u="1"/>
        <s v="INDEMNIZACION POR DESPIDO Y OTROS RUBROS DESPIDO RIOS, RICARE TRABAJO TRANSPORTE AUT. DE PASAJEROS EL SALVADOR LIMITADA”" u="1"/>
        <s v="+ GUERRA,  Héctor Andrés  Q.E.P.D. Falleció el día 30 de mar familia. Que en paz descanses, elevo mis lágrimas al cielo." u="1"/>
        <s v="COTEJU PAGINA ESPECIAL" u="1"/>
        <s v="DUEÑO ALQUILA DPTO. CENTRO zona bancos, 2 dorm. Cel. 3884795680- 3885138104" u="1"/>
        <s v="WERCOW" u="1"/>
        <s v="CARGAR CUENTA DE WERCHOW MOD 1X3 BYN   + CALIZAYA, EMETERIO" u="1"/>
        <s v="FACAR - ESP.- TAXISTA" u="1"/>
        <s v="+ FELIX SEVERIANO BURGOS “ Mengue”  (Q.E.P.D.) Se durmió en e algún día estaremos juntos en la gloria  De nuestro Señor." u="1"/>
        <s v="+ MAURIN, Eudocia Abelina     Falleció el día 4 de agosto detoda su familia en estos momentos de dolor. EQUIPO COMERCIAL" u="1"/>
        <s v="EDICTO    EN EL EXPTE. N° D-031094/19, caratulado: &quot;SUCESORI JUNIO DE 2020.  ANTE MÍ: DRA. NATALIA SOLETTA - SE8  031094" u="1"/>
        <s v="COLEGIO DE INGENIEROS - periodistas" u="1"/>
        <s v=" + PAZ, Nora Amelia (q.e.p.d.) Falleció el día 7 de septiembaña mucho. Tu hijo Jean. Descansa en paz, ya hiciste mucho”." u="1"/>
        <s v="ESPECIAL EVELIA" u="1"/>
        <s v="ESTUDIO INGLEMON  ADHESION..." u="1"/>
        <s v="Grupo Instituto del Norte - Farmacia Inst del Norte" u="1"/>
        <s v="+ MODESTA CLAROS (q.e.p.d.) Falleció el 5 de Junio de 2011  rto.  Tus hijos políticos Ana, Josefa, Ada, Miriam y Rufino." u="1"/>
        <s v="+ CARLOS ALBERTO GURRIERI. “BETO”  ( Q.E.P.D.)  Se durmió en al Altísimo en su memoria por el eterno descanso de su alma" u="1"/>
        <s v="“Querido Papá Dionisio Herbas, por razones de esta Pandemia, desearte que tengas un muy Feliz Cumpleaños Te amamos Papá." u="1"/>
        <s v="PAG ESP. DIA DEL ING AGRON." u="1"/>
        <s v="FELIZ DIA SEÑOS /////AVISO ARMADO /////" u="1"/>
        <s v="GRACIAS SAN EXPEDITO  POR LOS FAVORES RECIBIDOS FAMILIA SOLER" u="1"/>
        <s v="VALVERDI PROPIEDADES VENTA  ALQUILERES - TASACIONES - ADMINISTRACION DE PROPIEDADES.  Tel 388-59339038 5933903" u="1"/>
        <s v="Parrillada  Restaurante Las Yungas" u="1"/>
        <s v="------------------------------------------------E D I C T O etaria N° 4 Dra. MARA GUILLERMINA SEQUEIROS--------8  129992" u="1"/>
        <s v="Sindicato de luz y fuerza  adhesion San Salvador" u="1"/>
        <s v="UTEDYC" u="1"/>
        <s v="SERVICIOS FARMACIA....." u="1"/>
        <s v="RELLENO DIARIO TRIBUNO....." u="1"/>
        <s v="PUEGOT PARTNER CONFORT 1.4  furgón Mod. 2013 papeles al día celente estado.  Cel. 388-4382284 / 3512019654 solo8 4382284" u="1"/>
        <s v="CASEMI" u="1"/>
        <s v="MARKAS" u="1"/>
        <s v="ALQUILO LOCAL frente al Shopping $3.500 más impuestos.  Belgrano 566 14 m2.  Cel. 388-4290116 / 388-48799378   56614" u="1"/>
        <s v="UJUY PARA LOS JUJEÑOS DISFRUTEMOS DE NUESTRA PROVINCIA - EL E- JUJUY ENERGIA VIVA- SEP.. DESTINOS FULL COLOR  4 PAGINAS." u="1"/>
        <s v="COMPLEJO RETRO" u="1"/>
        <s v="farmacia general belgrano" u="1"/>
        <s v="PROFESORA EN LETRAS susana farfan aviso armado" u="1"/>
        <s v="+ KEVIN G. LAMAS (q.e.p.d.) Sé durmió en la paz del señor eliguel, Sonia y tus primos y primas Belén, Ismael y Agustina." u="1"/>
        <s v="EDICTO SUCESORIO JUZGADO DE PRIMERA INSTANCIA EN LO CIVIL Y CES en CINCO DIAS. San Salvador de Jujuy 12 de mayo8  119416" u="1"/>
        <s v="CANAL 4  PROGRAMACION" u="1"/>
        <s v="Fundación ProJuy Agropecuario ESP ZAFRA" u="1"/>
        <s v="COLEGIO DE INGENIEROS" u="1"/>
        <s v="IVUJ  RETOMAMOS LA ATENCION PARA ALGUNOS TRAMITES..." u="1"/>
        <s v="DUEÑO ALQUILA DEPARTAMENTO TEMPORAL AMOBLADO EN PLENO CENTRO 1 DORMITORIO. CEL 3885127399" u="1"/>
        <s v="VENDO IMPORTANTE TERRENO  En excelente ubicación  B° Alto Padilla  10x40 Cel. 388-43319818 4331981" u="1"/>
        <s v=" MARTILLERA LAURA BLANCO                            VENTAS  Pedrito invierta 3 dormitorios 2.600.000  TRATAR: 3884979930" u="1"/>
        <s v=" MARTILLERA LAURA BLANCO                         VENTAS   *C Hermosa Casa Lozano  2560m2 de Terreno   TRATAR: 3884979930" u="1"/>
        <s v=" MARTILLERA LAURA BLANCO                         VENTAS   *CIERTA. * Céntrico: 3 dormitorio 2 baños   TRATAR: 3884979930" u="1"/>
        <s v=" MARTILLERA LAURA BLANCO                        VENTAS  PROP IDEAL VIVIENDA, ESTUDIOS O CONSULTORIOS. TRATAR: 3884979930" u="1"/>
        <s v=" MARTILLERA LAURA BLANCO    VENTAS  *Casa Huaico Chico: Callosos terrenos  juntos  de 600m2 cada uno  TRATAR: 3884979930" u="1"/>
        <s v=" MARTILLERA LAURA BLANCO   Chjra  venta de  departamentos  emono ambientes  1 y 2 y dos dormitorios   TRATAR: 3884979930" u="1"/>
        <s v=" MARTILLERA LAURA BLANCO   GRAN OPORTUNIDAD VENTA DE FRACCIOAN PEDRO Y PERICO.  IDEAL EMPRENDIMIENTOS TRATAR: 3884979930" u="1"/>
        <s v="LIMSA DIA DEL PERIODISTA" u="1"/>
        <s v="         Desmalezados   Mantenimiento Espacios Verdes  -    trias  Por consultas y presupuestos comunicarse: 388 5195301" u="1"/>
        <s v="UTHGRA" u="1"/>
        <s v="+ PAOLONI, Carlitos   q.e.p.d. Falleció el dia 5 de agosto dos de la escuela de Minas Promo 03. Te recordaremos siempre." u="1"/>
        <s v="+ TORRES Vda. de Cruz, Dora (q.e.p.d.) Falleció el 19 de JulNo lo dudes, nunca te olvidamos. Te amamos. Américo e hijas." u="1"/>
        <s v="SERVICIOS HOROSCOPO" u="1"/>
        <s v="DERGAM-SUP DEPORTIVO" u="1"/>
        <s v="TRAME S.R.L.  DIA DEL TRABAJADOR" u="1"/>
        <s v="FARMACIA INTERNACIONAL-ESP FATIMA" u="1"/>
        <s v="SOLICITADA FATIMA" u="1"/>
        <s v="posadas" u="1"/>
        <s v="ELECTROMECANICA SANCHEZ  DIA DE LA INDUSTRIA" u="1"/>
        <s v="EDICTO SUCESORIO  - - - JUZGADO DE PRIMERA INSTANCIA EN LO Cma Habilitada.   San Salvador de Jujuy, 10 de MARZO8  152184" u="1"/>
        <s v="PALPALA  VENDO / PERMUTO  LOTE 10x30 s/ Ruta 66 a 100 mts. drita s/ calle Santa Elena Cel. 388 4710926 Wapp. 388 4784859" u="1"/>
        <s v="SATSAID - DIA DEL TRABAJADOR" u="1"/>
        <s v="+ CHOSCO, Ariel Francisco (q.e.p.d.) Falleció el día 23 de mgos que eleven una oración y rueguen por su eterno descanso." u="1"/>
        <s v="EVANGELINA MARCELA RIOS ABOGADA ·Asesoramiento Jurídico en guciones Previsional Lavalle 76 Portero 1 Tel.0388- 8    0388" u="1"/>
        <s v="ANIVERSARIO CLINICA DEL NIÑO RECIEN NACIDO.... PAG. 3 Y 4" u="1"/>
        <s v="+ MEDINA, Ivone (q.e.p.d.) Falleció el día 2 de junio de 199uellas en todos nosotros. Estas y estarás presente siempre”." u="1"/>
        <s v="RQ INSTITUCIONAL" u="1"/>
        <s v="GRACIAS PODEROSA NOVENA  A LA VIRGEN DE  GUADALUPE Enciende ido y espero que siempre me tenga bajo su protección. M.L.P." u="1"/>
        <s v="/////////////////JESUS TAROT////////" u="1"/>
        <s v="ASOCIACION DE MEDICOS INDEPENDIENTES DE JUJUY  CONVOCATORIA ASAMBLEA GENERAL ORDINARIA ....." u="1"/>
        <s v="FM JUJUY" u="1"/>
        <s v="----------------------------------------------------EDICTO--ica Administrativa.- ES COPIA. .  23 de Septiembre 8   22212" u="1"/>
        <s v="+ PAULINO ALFARO   AVISO ARMADO" u="1"/>
        <s v="MUNI PALPALÁ" u="1"/>
        <s v="GRACIAS SAN EXPEDITO POR LOS FAVORES RECIBIDOS - MARIELA" u="1"/>
        <s v="VENDO FIAT 500 SPORT, Mod 2012, 100.000 km, $723.000, negociable, no permuto. Cel 388-52363578 5236357" u="1"/>
        <s v="belizan" u="1"/>
        <s v="VENDO CASA EN HUMAHUACA B° SAN ANTONIO 10X25MTS sobre calle  Aires,  CON AGUA Y LUZ-. ¡¡¡URGENTE !!!Whatsapp 3884969673." u="1"/>
        <s v="FARMAR" u="1"/>
        <s v="IMPO EMP CONSTRUCTORA SOLICITA" u="1"/>
        <s v="Federacion de Obreros de la industria del papel.." u="1"/>
        <s v="+ CESAR ANTONIO SINGH   Q.E.P.D. Falleció el día 23 de agosthoy 23 de septiembre a horas 20 en la iglesia San Francisco." u="1"/>
        <s v="D.R.D GRACIAS SAN EXPEDITO POR LOS FAVORES RECIBIDOS." u="1"/>
        <s v="GOBIERNO LAVATE LAS MANOS  ..." u="1"/>
        <s v="CONCEJAL P.J. DR. HUGO SOSA SUP. ESP. 23 DE AGOSTO EXODO JUJEÑO" u="1"/>
        <s v="IMPORTANTE CONSULTORA DEL MEDIO SOLICITAN PROMOTORAS/ES  Mayte mail: ap1047cnv@gmail.com con asuntos:“REF.PROMOTORES/AS”" u="1"/>
        <s v="EDICTO LOTEO PALPALA DE ACUERDO A LA RESOLUCIÓN Nº233 - SCA/se en Boletín Oficial por tres (3) veces en cinco (801101348" u="1"/>
        <s v="NUEVO PROFESIONAL Emanuel Rolando Martínez Prof. en Cienciaseste logro y te deseamos el mayor éxito en esta nueva etapa." u="1"/>
        <s v="INFORME DE PRENSA MUNICIPALIDAD MONTERRICO - JUNIO" u="1"/>
        <s v="PADRE MARCELO ADÁN GOTTIG, 2001 - 2020 Hoy se cumple un año  una oración en su memoria. Tiburcio, Marta Rivas y familia." u="1"/>
        <s v="BUSQUEDA JUJUY" u="1"/>
        <s v="AutoJujuy 1" u="1"/>
        <s v="Maderera Junior" u="1"/>
        <s v="MUNICIPALIDAD DE PERICO - INFORMACIÓN DE PRENSA MES DE SEPT20" u="1"/>
        <s v="CAROLINA HOGAR" u="1"/>
        <s v="RIVAROLA - DIA DEL JUBILADO" u="1"/>
        <s v="GOBIERNO CERCA TUYO SAN PEDRO - LA ESPERANZA..." u="1"/>
        <s v="AUTOCIEL" u="1"/>
        <s v="Andromeda" u="1"/>
        <s v="(LOGO)                  CONVOCATORIA ASAMBLEA GENERAL ORDINAsa Fabiana Rivera Secretaria: Lic. Abigail Celeste 8    7201" u="1"/>
        <s v="EDICTO SUCESORIO EI Juzgado de 1ra. Instancia en lo Civil y , 16 de marzo de 2020- Dra. AGUSTINA NAVARRO - PROS8  157182" u="1"/>
        <s v="IMP. EMPRESA DEL MEDIO COBRADOR" u="1"/>
        <s v="COLEGIO MEDICO - SALUDO INGENIEROS" u="1"/>
        <s v="GRACIAS SAN EXPEDITO Por los Favores Recibidos. Perdón por la demora  A.A.CH." u="1"/>
        <s v="+ ADELA RAMOS DE SARMIENTO (15/03/1928  10/09/2004) Querida oquia Sagrado Corazón de Jesús  facebook Agustin Ig8    2004" u="1"/>
        <s v="+ CONCEPCION GORENA Q.E.P.D. Se durmió en la Paz del Señor   QUIERO, TE EXTRAÑO HOY y SIEMPRE  tu Hijo Daniel y Familia." u="1"/>
        <s v="AutoJujuy 2" u="1"/>
        <s v="CORRIENTE SINDICAL" u="1"/>
        <s v="MUNICIPALIDAD DE PALPALÁ  DIA DE LA BANDERA Y ANIV. B°  BELGRANO" u="1"/>
        <s v="LAMINA VIRGEN" u="1"/>
        <s v="URGENTE BANDA DE YALA Lote 20m x 80m. Escritura pública inmediata, $560.000. Cel 3884071345" u="1"/>
        <s v="INFORME DE PRENSA MUNICIPALIDAD MONTERRICO - agosto" u="1"/>
        <s v="TELETRABAJO 50.000 por mes,  mínimo sin salir de tu casa Inf. 3886829041" u="1"/>
        <s v="ATENCION MAESTROS /ESTUDIANTES NKIÑOS vendo pizarra p/fibron. WTAPP. 388255007477255007477" u="1"/>
        <s v="COOP. DE TABACALEROS CONVOCATORIA ..." u="1"/>
        <s v="COMPRO PIK UP /2014 Y 2015 Doble cabina. 154103543 - 155207169" u="1"/>
        <s v="SERVICIOS  FARMACIAS...." u="1"/>
        <s v="JUMI  ADHEISON ...14 ANIVERSARUO DE VILLANUEVA" u="1"/>
        <s v="+ LAURA INÉS AGÜERO ( q.e.p.d) Falleció el 9 de Septiembre dlla la luz que no tiene fin. La recordamos con mucho cariño." u="1"/>
        <s v="HEBE FARFAN, FONOAUDIOLOGA" u="1"/>
        <s v="SIEMPRE PRESENTE... !TU RECUERDO FIRME PAPA!  + FRANCISCO DEs hijos, nietos, hijas politiicas y toda la familia Salgado”" u="1"/>
        <s v="GRAN MONARCA" u="1"/>
        <s v="UNJU - MANUEL BELGRANO ......" u="1"/>
        <s v="COLEGIO y CONSEJO DE BIOQUIMICOS A LA COMUNIDAD" u="1"/>
        <s v="================ = = = = = = EDICTO SUCESORIO ==============O DE 2020.  = = = Dra. Amelia del Valle Farfán  Secretaria -" u="1"/>
        <s v="DUEÑO VENDE DUPLEX PREMIUM  A ESTRENAR  ALTO LA VIÑA 3884689890" u="1"/>
        <s v="TARJETA NARANJA" u="1"/>
        <s v="CONCEJO DELIBERANTE - DIA DEL JUBILADO" u="1"/>
        <s v="+ CABANA MIRIAM ESTELA  //// MODULO ARMADO EN CARPETA DE LA FECHA ////" u="1"/>
        <s v="+ ECHENIQUE, María Esther (q.e.p.d.) Falleció el día 23 de squien tuvimos la dicha de conocer Tus compañeros de la Teso." u="1"/>
        <s v="+ MELIAN, Miguel Ángel (q.e.p.d.) Falleció el día 5 de juniorinos; tus tíos y demás familiares te recordamos con cariño." u="1"/>
        <s v="Finca Lagami" u="1"/>
        <s v="EJESA CORTE..." u="1"/>
        <s v="EXPTE C-116.026/18" u="1"/>
        <s v="UNO EJESA CORTE..." u="1"/>
        <s v="TU SONRISA COMO BANDERA ...." u="1"/>
        <s v="GRAN MONARCA... TRABAJADOR." u="1"/>
        <s v="FLORERIA SAN CAYETANO   ANIV. CLINICA NTRA. SRA. DE FATIMA" u="1"/>
        <s v="VETERINARIA HELIOS AVISO ARMADO EN CARPETA DE LA FECHA ATENCION" u="1"/>
        <s v="KIARA RIOS - FM SOL" u="1"/>
        <s v="CLINICA ANIMAL BERNARDO   ////10% DE DESCUENTO////" u="1"/>
        <s v="LUBRICENTRO DAYTONA" u="1"/>
        <s v="ECOSPORT/2012 SE Impecable. Recibo menor valor  y/o pick up/2014/2015 154103543 - 155207169" u="1"/>
        <s v="CONVOCATORIA  -  SINDICATO DE TRABAJADORES DE LA INDUSTRIALIZACION" u="1"/>
        <s v="COOPERATIVA DE TRABAJO SAMIN Ltda. Matricula N° 56225 Convoctual de la Cooperativa   Liliana Alejandra Vilte  P8  056225" u="1"/>
        <s v="ruben rivarola - periodistas" u="1"/>
        <s v="+ ZERPA OSCAR ROLANDO  Q.E.P.D  Falleció el día 24 de septieón  a su señora esposa e hijos ante tal irreparable pérdida." u="1"/>
        <s v="BUSQUEDA PERSONAL" u="1"/>
        <s v="PANIFICADORA TRIGO LIMPIO" u="1"/>
        <s v="   EDICTO SUCESORIO JUZGADO DE PRIMERA INSTANCIA EN LO CICIVES en cinco días. San Salvador de Jujuy 12 de marzo8  152925" u="1"/>
        <s v="AGROSUMA" u="1"/>
        <s v="SITRAVIP COMUNICADO" u="1"/>
        <s v="CABALLERO TASACIONES" u="1"/>
        <s v="EDICTO  Dr. Juan Pablo Calderón Juez del Juzgado de Primera      Secetaria  Es copia S.S. de Jujuy, 14 de Mayo 8  119446" u="1"/>
        <s v="GOBIERNO DE JUJUY barbijo" u="1"/>
        <s v="LA MANSION ESP SAN ISIDRO" u="1"/>
        <s v="VALVERDI PROPIEDADES SOLICITA  ALQUILERES Y VENTAS - TASACIODMINISTRACION DE PROPIEDADES.  Tel 388-5933903 / 388 5933903" u="1"/>
        <s v="VALVERDI PROPIEDADES VENTA - ALQUILERES - TASACIONES - ADMINe 10 a 12 hs. Jose de la Iglesia 1783. Nuevo Tel 388 5933903" u="1"/>
        <s v="VALVERDI PROPIEDADES VENTA - SOLICITO ALQUILERES - TASACIONES - ADMINISTRACION DE PROPIEDADES.  Tel 388-59339038 5933903" u="1"/>
        <s v="VALVERDI VENDE  OPORTUNIDAD de compra a Inversores 2 Localesnte comercial.  Fijo 388-5933903  Cel. 155812419 / 8 5933903" u="1"/>
        <s v="- - - - - - - - - - - - - - - - - - - - - - - -  E  D  I  C 05 DE DICIEMBRE DEL 2019.- - - - - - - - - - - - - 8  021221" u="1"/>
        <s v="CONCEJAL P.J. FABIAN RODRIGUEZ  ANIV. 25 DE MAYO" u="1"/>
        <s v="1- JUJUY PARA JUJEÑOS" u="1"/>
        <s v="SEPELIOS SAN JOSE S.R.L. SERVICIOS SOCIALES" u="1"/>
        <s v="UPCN ADHESION" u="1"/>
        <s v="DISTRIBUIDORA RIVROLA..." u="1"/>
        <s v="FULL COLOR PINTURERIA - EMPLEADO DE COMERCIO" u="1"/>
        <s v=" VENDO CACHORROS Snaucer.gigante mensajes al cel 388 5703593" u="1"/>
        <s v="+ HOYOS NICOLAS PASCUAL “TATA” (Q.E.P.D) Fallecio el 13 de Sjos politicos: Javier, Franco, Beto y Chino.   GRACIAS PAPA!" u="1"/>
        <s v="BANCO NACION ARGENTINA" u="1"/>
        <s v="E D I C T O  JUZGADO DE PRIMERA INSTANCIA N· 2, SECRETARIA Nviembre del año 2019.  Fdo.: Dra. ELISA MARCET  Secretaria -" u="1"/>
        <s v="DR. LUCERO, Carlos Alberto (q.e.p.d.). Falleció el domingo, irreparable pérdida. Rogamos elevar oraciones en su memoria." u="1"/>
        <s v="SATSAID REPUDIO CANAL 2" u="1"/>
        <s v="+ JORGE CABANA FUSZ(q.e.p.d.) Los gremios que conformamos...." u="1"/>
        <s v="CONCEJAL FABIAN RODRIGUEZ  CELEBRACION A LA VIRGEN DE RIO BLANCO Y PAYPAYA" u="1"/>
        <s v="SWAT DEP" u="1"/>
        <s v="ALQUILO COCHERA MENSUAL C. de Nieva media cuadra Plaza Los Leones.  Tratar 154332264" u="1"/>
        <s v="DIESEL JUJUY" u="1"/>
        <s v="BINGO LOBO CLUIB GIMNASIA......." u="1"/>
        <s v="GOBIERNO" u="1"/>
        <s v="ISJ  GOBIERNO ..." u="1"/>
        <s v="IVUJ  REF. EXPTE. Nº 1101 - S- 2018..." u="1"/>
        <s v="UNION INDUSTRIAL DE JUJUY _ DIA DE LA INDUSTRIA...." u="1"/>
        <s v="ESTUDIO JURIDICO  REYNOSO &amp; ASOCIADOS Especialista en Causasiudad Perico. Rivadavia Nº 201 San Pedrito - S. S. de Jujuy." u="1"/>
        <s v="Union Cañeros Independientes de Salta y Jujuy" u="1"/>
        <s v="+ PLACIDA FLORES VDA. DE MASSARI             (q.e.p.d.) 1919te lo mucho te extrañamos, porque fuiste una MADRE 8    1919" u="1"/>
        <s v="INFORME DE PRENSA MUNICIPALIDAD MONTERRICO - JULIO" u="1"/>
        <s v="EDICTO SUCESORIO  El Juzgado de Primera Instancia en lo CiviOS- SECRETARIA.- San Salvador de Jujuy, 10 de Junio8  154362" u="1"/>
        <s v="LIC.PUB. 04/2020 AGUA POTABLE Y SANEAMIENTO ...." u="1"/>
        <s v="BINGO HOSPITAL DE NIÑOS::::" u="1"/>
        <s v="SEXSHOP - PAGINA ESPECIAL - ENAMORADOS" u="1"/>
        <s v="CARGAR CUENTA DE WERCHOW  MOD 1X3 BYN  + BURGOS RODOLFO" u="1"/>
        <s v="VENDO TERRENO  Mart. Hugo Salazar Reyes  La Almona B° Virgen Inmueble sobre calle Lavalle al 100 (200 m2) Cel. 154078693" u="1"/>
        <s v="VENDO TERRENOS Mart. Hugo Salazar Reyes  La Almona CASAS: Ba Inmueble sobre calle Lavalle al 100 (200 m2) Cel. 154078693" u="1"/>
        <s v="VALVERDI PROPIEDADES VENTA - ALQUILERES - TASACIONES - ADMINrtamentos. Jose de la Iglesia 1783. Tel 4225405 - 38 4225405" u="1"/>
        <s v="COLEGIO DE INGENIEROS - DIA DE LA INDUSTRIA" u="1"/>
        <s v="FELIZ DIA INGENIEROS   ////AVISO ARMADO EN CARPETA DE LA FECHA////" u="1"/>
        <s v="GOBIERNO  FESTIVAL DEL CINE" u="1"/>
        <s v="-------------------------------------------------- EDICTOS ---------------- San Salvador de Jujuy, 13 de Marzo 8  051744" u="1"/>
        <s v="DISTIBUIDORA  E.C. RIVAROLA  SUP. ESP. 23 DE AGOSTO EXODO JUJEÑO" u="1"/>
        <s v="ENTER SERVICE S.A." u="1"/>
        <s v="OPORTUNIDAD DE NEGOCIO VENDO DESPENSA COMPLETA. B°CIUDAD DE BLES. EQUIPAMIENTO EXCELENTE ESTADO SOLO LLAMADAS.3885864217" u="1"/>
        <s v="TARJETA NOA - DIA DEL PADRE" u="1"/>
        <s v="DIOMEDES REYNALDO LAVAYÉN Se durmió en la paz del señor el 1a que busca justicia en tu honor. Te amo viejo.  Tu hijo May" u="1"/>
        <s v="CEDEM" u="1"/>
        <s v="GOBIERNO  COVID..." u="1"/>
        <s v="CANAL 7 PROGHRAMACION" u="1"/>
        <s v="CASEMI - DIA DE LA MINERIA" u="1"/>
        <s v="UNION TRANV. AUTOMOTOR TRABAJADOR" u="1"/>
        <s v="VENDO DPTO. En Monterrico a pasos de Av. España Com.Coc. Liv. Garage 1Dorm. amplio. Cel. 3884864312" u="1"/>
        <s v="3- JUJUY PARA JUJEÑOS" u="1"/>
        <s v="GOBIERNO  DIA DEL PROFESOR..." u="1"/>
        <s v="E  D  I  C  T  O  S    _ _ _ _ _ _ JUZGADO DE PRIMERA INSTAN_SAN SALVADOR DE JUJUY  20 DE MAYO DE 2020._ _ _ _ 8  151158" u="1"/>
        <s v="Metalurgica y construcciones Ledesma" u="1"/>
        <s v="ELECTROMECANICA OVANDO Y REPUESTERA ITALIA.  ANIV. CLINICA NTRA. SRA. DE FATIMA" u="1"/>
        <s v="DUEÑA VENDE  Captur 2.0-Intens 2017 km.35 mil Exc. estado contado 1.2 m Cel 388-4173942.-8 4173942" u="1"/>
        <s v="ELECTROMAT ESP ing." u="1"/>
        <s v="JMS MAQUINAS AGROVIAL" u="1"/>
        <s v="UPCN  dia del trabajador..." u="1"/>
        <s v="AGOSTINI INGENIERIA" u="1"/>
        <s v="EMPR. CONSTRUCT. NEC. PERSONAL" u="1"/>
        <s v="FARMACIA GUEMES UNO  CELEBRACION A LA VIRGEN DE RIO BLANCO Y PAYPAYA" u="1"/>
        <s v="SERVICIOS HOROSCOPO......" u="1"/>
        <s v="ESC. PCIAL. AGROTECNICA Nº7" u="1"/>
        <s v="CARGAR CUENTA DE WERCHOW  MOD 1X3 BYN   TARIFA HECTOR" u="1"/>
        <s v="A.T.E. CENTRO DE JUBILADOS Y PENSIONADOS  ANIV. SAN CAYETANO" u="1"/>
        <s v="RENOVACION BANCARIA ..." u="1"/>
        <s v="FERRETERIA CARVAJAL-SUP. CONSTRUCCION" u="1"/>
        <s v="Juan José Vargas Q.E.P.D. 16-11-1962/ 13-08-2020 Papito queramos eternamente. Tú esposa María y tus hijas Romi 6  111962" u="1"/>
        <s v="DISTRIBUIDORA MALU  CELEBRACION A LA VIRGEN DE RIO BLANCO Y PAYPAYA" u="1"/>
        <s v="EDITO SUCESORIO  Juzgado de Primera Instancia en lo Civil y cinco (5) días. San Salvador de Jujuy, 05 de Marzo 8  156525" u="1"/>
        <s v="HOTEL BRISAS MATRIMONIO $ 1.200 Single $ 800. Alte Brown 1157. Tel. 0388-43169138 4316913" u="1"/>
        <s v="Cámara Jujeña de Empresarios Gastronomicos" u="1"/>
        <s v="MUNIC. S.S. DE JUJUY" u="1"/>
        <s v="FELIX VARGAS" u="1"/>
        <s v="GRACIAS San Jorge, San Expedito, San Roque,San Santiago, Vircias por los favores recibidos, perdon por la demora.   M.M." u="1"/>
        <s v="BINGO LOBO .." u="1"/>
        <s v="5- JUJUY PARA JUJEÑOS" u="1"/>
        <s v="GRACIAS SAN EXPEDITO POR LOS FAVORES RECIBIDOS.   P.I." u="1"/>
        <s v="COMPRO  INSUMOS Y APARATOS  PARA GIMNASIO Tel. 3884800242." u="1"/>
        <s v="Maderera tierra colorada" u="1"/>
        <s v="SATSAID - ANIV. LW8" u="1"/>
        <s v="CARNICERIA LA FAMILIA          (logo)  CARNES DE NOVILLO DE San Martín  PALPALA.  De 8:30 a 14:30  Whatsapp:  3884750644" u="1"/>
        <s v="EL GLADIADOR SRL" u="1"/>
        <s v="LA CASA DEL RIEGO - ESP VIRGEN RIO BLANCO" u="1"/>
        <s v="carmen castillo  aviso armado" u="1"/>
        <s v="Colegio Medico DIA DEL BIOQUIMICO" u="1"/>
        <s v="UTA ESP PERIODISTAS" u="1"/>
        <s v="AGUA DE VIDA Si oras a Dios con Fe, Amor y a CRISTO  JESÚS s Pero deben abrir las Iglesias.  Proyección Raúl Bustamante." u="1"/>
        <s v="PERICO + Emanuel Ortega “Facha” Q.E.P.D.  Se durmió en la pa015  Al cumplirse el quinto  Aniversario de su fallecimiento" u="1"/>
        <s v="CABALLERO" u="1"/>
        <s v="MUNIC PALPALA - FERIA MAYORISTA" u="1"/>
        <s v="CORRALON EL MERCADO - ESP MINERIA" u="1"/>
        <s v="IMPORTANTE EMPRESA DEL MEDIO BUSCA  &quot;ENCARGADO DE COMPRAS&quot;. on referencias comprobables a: uniteanuestroequipo@gmail.com" u="1"/>
        <s v="IMPORTANTE EMPRESA DEL MEDIO SELECCIONARA :  Secretaria Ejecnviar CV con foto actualizada A :  empleoenjujuy19@gmail.com" u="1"/>
        <s v="IMPORTANTE EMPRESA DEL MEDIO SELECCIONARA : Secretaria EjecuCV con foto actualizada a : area.postulaciones2020@gmail.com" u="1"/>
        <s v="Importante empresa jujeña seleccionara ARQUITECTO/ experiencremuneración pretendida a.: recursoshumanosenjujuy@gmail.com" u="1"/>
        <s v="Importante empresa jujeña seleccionara SECRETARIA EJECUTIVA  remuneración pretendida a: recursoshumanosenjujuy@gmail.com" u="1"/>
        <s v="Importante empresa jujeña seleccionará CONTADOR PÚBLICO NACIcurrículum vitae al correo: recursoshumanosenjujuy@gmail.com" u="1"/>
        <s v="Importante empresa seleccionara : OFICIAL ELECTRICISTA con areferencias comprobables a: recursoshumanosenjujuy@gmail.com" u="1"/>
        <s v="AGOSTINI DES. INMOBILIARIA" u="1"/>
        <s v="Busco ADMINISTRATIVO CON EXPERIENCIA en control de stock y pedidos. Enviar CV al fcarlos1092@gmail.com" u="1"/>
        <s v="LIMSA INFORMA MEDIO DE PAGOS..." u="1"/>
        <s v="MUNIC. S.S. DE JUJUY - 23 DE AGOSTO" u="1"/>
        <s v="LOS TILIANES - EXODO JUJEÑO" u="1"/>
        <s v="ANTOJITOS /////Presentando este cupón 10% de descuento///// 680 @antojitosjujuy    /  Es la misma en instagram y en face" u="1"/>
        <s v="DOS  EJESA CORTE..." u="1"/>
        <s v="             = = = = = = = = = = = = = = E D I C T O  = = = aria-. SAN SALVADOR DE JUJUY,          10 DE JUNIO 8  124723" u="1"/>
        <s v="+ ELÍAS, Raúl Miguel (Q.E.P.D.) Falleció el día 20 de julio  tu esposa, hijos, nietas y bisnieta te recordamos con amor." u="1"/>
        <s v="EDICTOS -- Juzgado de Primera Instancia en lo Civil y Comercn Pedro de Jujuy, 26 de Diciembre de 2.019.--------8   31886" u="1"/>
        <s v="GOBIERNO SAME ...." u="1"/>
        <s v="EDICTO SUCESORIO JUZGADO DE PRIMERA INSTANCIA EN LO CIVIL Y 4 de mayo de 2020. Dra. Amelia del Valle Farfán. Se8  133727" u="1"/>
        <s v="EDICTO SUCESORIO ---EL JUZGADO DE PRIMERA INSTANCIA Nº 3 SECia N° 6 DRA. MARIA GUILLERMINA SEQUEIROS Pro- Secre8  156370" u="1"/>
        <s v="PANIFICADORA BELEN" u="1"/>
        <s v="+ CETENO MERCEDES CATALINA “MECHA”   q.e.p.d. Se durmió en lFAMILIA TORRICO-CENTENO                      TORRICO-SEGOVIA" u="1"/>
        <s v="LIMSA DIA DEL RECOLECTOR..." u="1"/>
        <s v="SERVICIOS SOCIALES DEL NORTE-dia del trabajador" u="1"/>
        <s v="FM JUJUY ...." u="1"/>
        <s v="GENERAL MOTORS" u="1"/>
        <s v="+ CRUZ, PELAGUI SALUSTIANA   Q.E.P.D. 08/06/44  -  05/05/202 en nuestros recuerdos. “Descansa en Paz”.  FAMILIA8    4405" u="1"/>
        <s v="EDICTO SUCESORIO Juzgado de Primera Instancia en lo Civil y triz Borja.- San Salvador de Jujuy, 26 de octubre d8  119360" u="1"/>
        <s v="7- JUJUY PARA JUJEÑOS" u="1"/>
        <s v="Z y Z   La Vaqueria TAVERNITI - FUS USA - MOHA - RASH - OPENs tarjetas en 6 cuotas sin intereses Alberdi 246 - San Pedro" u="1"/>
        <s v="FACAF Y FAFTA JUNTOS" u="1"/>
        <s v="CARNAVAL DE LOS TEKIS" u="1"/>
        <s v="AGENCIA EL TRIBUNO  - PALPALÁ  ANIV. SAN CAYETANO" u="1"/>
        <s v="TROPEA" u="1"/>
        <s v="IMPORTANTE COMPAÑIA" u="1"/>
        <s v="EDICTO ---- Juzgado de Primera Instancia en lo Civil y Comer---------- ----San Pedro de Jujuy, 25 de septiembre896025324" u="1"/>
        <s v="CRICULO ODONTOLOGICO" u="1"/>
        <s v="VENDO CEDRO ROSADO tablas de 1”, 1,5” y 2” estacionado Tel: 03888 - 154557888   03888" u="1"/>
        <s v="DISTRIBUIDORA BALBI" u="1"/>
        <s v="ALQUILO CASA A estrenar a Empresas, Ministerio de Educación, Oficinas, Familia, loza, agua caliente, alarma. 3885137675" u="1"/>
        <s v="VENDO TERRENO EN PALPALA B° Antártida 15x40, a 1 cuadra de C.  Recibo vehículo parte de pago.Escucho ofertas de contado." u="1"/>
        <s v="MIGUEL ANGEL   VENDE EN PERICO  Casas - Terrenos - Fincas Cel. 388 155899027155899027" u="1"/>
        <s v="SALUD JUJUY" u="1"/>
        <s v="VENTA TELEFÓNICA" u="1"/>
        <s v="la casa de jeremías" u="1"/>
        <s v="PANADERIA SANTO ANTONIO - DIA DEL PANADERO" u="1"/>
        <s v="VENDO LOTE  10x20  B° Martin Raúl Galán Palpalá,  t/servicios. Cel 388-66521618 6652161" u="1"/>
        <s v="Colegio de Ingenieros DIA DEL BIOQUIMICO" u="1"/>
        <s v="“Club Avicola 23 de Agosto” Asoc. Civil             Pers. JuSecretario                                        Presidente" u="1"/>
        <s v="METELE PATA" u="1"/>
        <s v="GOMEZ ROCO ...." u="1"/>
        <s v="XTREME NEUMATICOS" u="1"/>
        <s v="A.T.E. PALPALÁ  SALUDO  DIA DEL TRABAJADOR PALPALÁ" u="1"/>
        <s v="YOLY POLLERIA - ADHESION 25 DE MAYO" u="1"/>
        <s v="LAUTARO TEJERINA GUTIÉRREZ 21/02/17  30/05/17 “Angelito” Laueñín, que tu condición de Ángel  nos proteja.     Tu Familia" u="1"/>
        <s v="EDICTO - - - - La Sala IV del Tribunal del Trabajo, Vocalía ala IV del tribunal del Trabajo  Centro Judicial Sa8   23141" u="1"/>
        <s v="LOGHINET  AVISO ARMADO" u="1"/>
        <s v="COMODIN- saludo 25 de mayo" u="1"/>
        <s v="EDICTO  LOTEO EL CARMEN DE ACUERDO A LA RESOLUCIÓN Nº086 - Sse en Boletín Oficial por tres (3) veces en cinco (801101362" u="1"/>
        <s v="CONCEJO DELIBERANTE - policia" u="1"/>
        <s v="COSEJERO y HECHICERO JAIRO  Nuevo numero de Cel. 388-56282778 5628277" u="1"/>
        <s v="PRESTAMOS DE DINERO en el acto CON EL MEJOR PLAN Y ASESORAMIS) CON TARJETAS DE CREDITO INDEPENDENCIA 718 4241238 4241230" u="1"/>
        <s v="MIGUEL ANGEL  VENDE EN PERICO  AUTO - PICK UP Cel. 388 155899027155899027" u="1"/>
        <s v="RESPIRADORES, CILINDROS, OXIMETROS, concentradores, humificadores. Cel 388-155095592 Whatsapp" u="1"/>
        <s v="Solicitada COVID19" u="1"/>
        <s v="MAXICONSUMO OFERTAS" u="1"/>
        <s v="EDICTO SUCESORIO Juzgado de Primera Instancia en lo Civil y del C.P.C.).-  San Salvador de Jujuy,  28  de Mayo 8  156736" u="1"/>
        <s v="LABORATORIOS SLEIBE" u="1"/>
        <s v="MUNICIPALIDAD DE SAN PEDRO - aniversario" u="1"/>
        <s v="GOBIERNO  COVID 19 RECOMENDACIONES...." u="1"/>
        <s v="VETERINARIA BELGRANO SUR-DIA DEL VETERINARIO" u="1"/>
        <s v="GRACIAS SAN EXPEDITO Y VIRGENCITA DE GUADALUPE POR LOS FAVORES RECIBIDOS.C.M." u="1"/>
        <s v="VALVERDI PROPIEDADES VENTA - ALQUILERES - TASACIONES - ADMINISTRACION DE PROPIEDADES.  Tel 388-59339038 5933903" u="1"/>
        <s v="FUNDACION BARCELO" u="1"/>
        <s v="Transportes Ameysa" u="1"/>
        <s v="COLEGIO DE MAGISTRADOS" u="1"/>
        <s v="Mutual de Agua y Energia filial Ledesma" u="1"/>
        <s v="JUJUY HIERROS - DIA DEL CAMINO" u="1"/>
        <s v="+ MERCEDES OLMOS (q.e.p.d.) Falleció el día 13 de agosto de a elevar una oración por el eterno descanso de su alma. FAE." u="1"/>
        <s v=" E D I C T O   ----- DR. ENRIQUE R. MATEO - Pte. de trámite,                 San Salvador de Jujuy, Junio  11  8  039869" u="1"/>
        <s v="+ SCARO, Cesar Adrian    ///aviso armado /////  ATSA" u="1"/>
        <s v="             PODER JUDICIAL DE LA PROVINCIA DE JUJUY  CAMARAAS. - - - SAN SALVADOR DE JUJUY, 13 de diciembre de8   99283" u="1"/>
        <s v="Máximo N.Albornoz   Falleció el día lunes 05 de octubre del  por su eterno descanso y que la música lo acompañe siempre." u="1"/>
        <s v="OPORTUNIDAD VENDO LOCAL Galeria Impulso, apto consultorio u oficina. Ce 3884662183" u="1"/>
        <s v="TEMA SALARIO  TELAM  PRES. DE LA NACION ..." u="1"/>
        <s v="Alvarez y Cia." u="1"/>
        <s v="GOBIERNO CORONAVIRUS:.." u="1"/>
        <s v="GOBIERNO COVID 19 ....." u="1"/>
        <s v="EDICTO SUCESORIO  ====El juzgado de 1ra. Instancia en lo CivRZO DEL 2020- FDO. Dra. MARIA SILVIA MOLINA-PROSECR8    2020" u="1"/>
        <s v="EDICTO SUCESORIO - - - - - El Juzgado de 1ra Instancia en lotubre del 2020- FDO. Dra. MARÍA CECILIA FARFÁN  SEC8    2020" u="1"/>
        <s v="Para Jehová, no hay nada imposible. Leer Salmos Cap: 38; 39 poco tiempo tendrás noticias. Gracias por lo concedido. S.C." u="1"/>
        <s v="CARMEN UNA VIDENTE" u="1"/>
        <s v="ADHESION COL. FARMACEUTICO- DIA DEL BIOQUIMICO..." u="1"/>
        <s v="BALBI DISTRIBUIDORA PAG.3" u="1"/>
        <s v="ISJ   DENUNCIA DE SINIESTRO ANUAL.....NDIJF" u="1"/>
        <s v="(PUBLICA EN SALTA) GERENTE DE SUCURSAL JUJUY ASUNTO GSJ20" u="1"/>
        <s v="ENTE NAC. REG. DE LA ELECTRICIDAD ENRE..." u="1"/>
        <s v="DYCAR ABRIL" u="1"/>
        <s v="FARMACIA NUEVA SAGRADA FAMILIA  ANIV. B°  BELGRANO" u="1"/>
        <s v="BUSQUEDA DE PERSONAL JUJUY" u="1"/>
        <s v="Inti Watana Estacionamiento" u="1"/>
        <s v="ALQUILO DPTO. 1 dorm. a pers. Sola  Hip. Irigoyen 1458.  Cel. 388-4879937 / 388-1542901168 4879937" u="1"/>
        <s v="EDICTO SUCESORIO  ====En Juzgado de 1era Instancia en lo Civ SILVIA MOLINA-PROSECRETARUA.-------------------------------" u="1"/>
        <s v="EDICTO SUCESORIO ===JUZGADO DE PRIMERA INSTANCIA EN LO CIVIL 06 de marzo de 2020. --------------------------------------" u="1"/>
        <s v="EDICTO SUCESORIO EL JUZGADO DE PRIMERA INSTANCIA EN LO CIVIL N° 12: DRA. ADELA FERNANDA SALAVERON- Secretaria.----------" u="1"/>
        <s v="EDICTO SUCESORIO JUZGADO DE PRIMERA INSTANCIA EN LO CIVIL Y OR DE JUJUY,  25 DE SEPTIEMBRE DEL 2020.--------------------" u="1"/>
        <s v="SANTOS NICASIO TINTILAY .... (aviso armado)" u="1"/>
        <s v="DUEÑO ALQUILA DEPARTAMENTO AMOBLADO EN PLENO CENTRO 1 DORMITORIO. CEL 3885127399" u="1"/>
        <s v="NECESITO EMPLEADA  P/CASA PARTICULAR JORNADA COMPLETA, SUELDE ZORRILLA DE SAN MARTIN 1784 Bº ALTO PADILLA, DE 11 A 17HS." u="1"/>
        <s v="1) SE BUSCA PERSONAL ADMINISTRATIVO CONTABLE       REQUISITOIA COMPROBABLE ENVIAR CV A     jumi4dministrativos@gmail.com" u="1"/>
        <s v="BRUJA PACTADA “DEYSY”   Especialista en realizar magia hindúl cementerio   PACTO CON EL DIABLO  CONSULTAS AL 3884089665." u="1"/>
        <s v="PAEZ S.R.L." u="1"/>
        <s v="SUTIAGA" u="1"/>
        <s v="SERVICIO PENITENCIARIO" u="1"/>
        <s v="IMPRENTA ALBERDI - ESP IMPRENTA" u="1"/>
        <s v="NCESTITO FARMACEUTICO PARA MONTERRICO" u="1"/>
        <s v="BUFALO /////AVISO ARMADO EN CARPETA DE LA FECHA////// Tel.388 408-9240" u="1"/>
        <s v="+ MIGUEL ANGEL GIUBERGIA (FOTO) ....  VICTOR GALARZA.." u="1"/>
        <s v="Perdón Mamita SANTA ANITA por la demora. Gracias por cuidar a mi familia. Te pido por todos los enfermos" u="1"/>
        <s v="+ PEREZ, Hemeterio (q.e.p.d.) Se durmió en la paz del Señor  sus bisnietos y su hija política te recordamos por siempre." u="1"/>
        <s v="UTA UNION TRANV. AUTOMOTR" u="1"/>
        <s v="FERRETERIA  INDUSTRIAL NORTE ...." u="1"/>
        <s v="CONSEJO DE BIOQUIMICOS" u="1"/>
        <s v="EFECTIVO EN EL ACTO  CON TODAS LAS TARJETAS (aviso nuevo color amarillo)" u="1"/>
        <s v="Perdón Mamita SANTA ANITA por la demora. Gracias por cuidar a mi familia. Te pido por todos los enfermos." u="1"/>
        <s v="+ CARMEN ROSA LAENG JEUG VDA. DE MURATORE “NENA” Falleció eledimos eleven, desde sus hogares, una oración en su memoria." u="1"/>
        <s v="SIGMA GNC" u="1"/>
        <s v="NOR TRADING   CELEBRACION DE LA VIRGEN DE RIO BLANCO Y PAYPAYA" u="1"/>
        <s v="ARRIENDO 10 HA. Descansada En Los Lapachos Monterrico.  Cel. 388 154419433154419433" u="1"/>
        <s v="ISJ FASE I -GOBIERNO...." u="1"/>
        <s v="BIENES SRL" u="1"/>
        <s v="VENDO LOCAL COMERCIAL" u="1"/>
        <s v="DUEÑO VENDE CASA en Los Perales, terreno de 1200 m2, 4 habitaciones, dependencias. Cel 388-4087131 No Mensajes8 4087131" u="1"/>
        <s v="BINGO LOBO..." u="1"/>
        <s v="+ SAAVEDRA, JORGE    q.e.p.d. Falleció el día 29 de julio deMicaela, José Luis y Jorgito, su bisnieto Thiago y Emiliano." u="1"/>
        <s v="EDICTO EN EL EXPTE. Nº D -031744/19, caratulado: “SUCESORIO 2020 ---- ANTE MÍ: DRA. MORIANA ABRAHAMM.- Pro-Secr8  031744" u="1"/>
        <s v="PAGO FACIL - especial y web" u="1"/>
        <s v="Dr. Federico Perovic Cirugía General - Ecografía Abdominal Cuto Medico del Norte, Otero N° 460 Lunes a Viernes 10.30 hs." u="1"/>
        <s v="EDICTO  -------------------EN EL EXPTE. N° D-031640/19, caraDE 2020.  ANTE MÍ: DRA. NATALIA ANDREA  SOLETTA — S8  031640" u="1"/>
        <s v="GOBIERNO ...." u="1"/>
        <s v="TECNOHIDRAULICA" u="1"/>
        <s v="FERRETERIA CARVAJAL DIA DEL TRABAJADOR" u="1"/>
        <s v="HERNÁN  SERRANO Falleció el 15 de Septiembre de 2020 Q.E.P.Do descanso de su alma. ¡Que brille para él la luz perpetua!!" u="1"/>
        <s v="“EL HORNERO” ALQUILO CAMIONES VOLQUETES 18m3 y 6m6 “EL HORNEÑOS QUÍMICOS “EL HORNERO” CONTENEDORES Tel.156855018 4250352" u="1"/>
        <s v="UNJU - DIA DEL BIOLOGO" u="1"/>
        <s v="GALLETITAS DE ARROZ  - LUAS" u="1"/>
        <s v="+  DOCTOR JUAREZ DANIEL ALEJANDRO (Q.E.P.D.) Falleció el díay amigos, y porque brille para él la Luz que no tiene final." u="1"/>
        <s v="VETERINARIA GENESIS  AVISO A ARMAR" u="1"/>
        <s v="VETERINARIA PUSSETTO AVISO A ARMAR" u="1"/>
        <s v="DR. SCARO CESAR  Visus Centro Oftalmologico, Dr. José Ignaciy ruegan elevar oraciones por el eterno descanso de su alma." u="1"/>
        <s v="EDICTO SUCESORIO JUZGADO DE PRIMERA INSTANCIA EN LO CIVIL Y  Secretaria Nº 12 Dra. ADELA FERNANDA SALAVERON- Se8  137825" u="1"/>
        <s v="Fundación ProJuy Agropecuario" u="1"/>
        <s v="AGUILERA, Sebastián  (q.e.p.d.) Se durmió en la paz del Señoaunque estés allá en el cielo, donde podrás descansar en paz" u="1"/>
        <s v="CAMARA MINERA - DIA DE LA INDUSTRIA" u="1"/>
        <s v="+ MARTA EUFEMIA FUNES DE FARFÁN (Q.E.P.D.) Se durmió en la Pacho, Martina y Bautista elevamos una oracion en su memoria." u="1"/>
        <s v="GOBIERNO  TELEFONOS VIOLENCIA DE GENERO ..." u="1"/>
        <s v="+ALMAZAN JOSE LUIS   AVISO ARMADO EN CARPETA DE LA FECHA" u="1"/>
        <s v="AGOSTINI DES. INMOBILIAR." u="1"/>
        <s v="nissan posventa" u="1"/>
        <s v="SAN EXPEDITO   GRACIAS POR LOS FAVORES RECIBIDOS   S. V. O." u="1"/>
        <s v="         + ENRIQUE “KIKE” ALEMAN Las Dras. Graciela Gaspar, esposo, amigo,  empleado ejemplar y sobre todo gran persona." u="1"/>
        <s v="CONC. FABIAN RODRIGUEZ  ANIV. FALLEC. PERÓN" u="1"/>
        <s v="+ NIEVES TOLAY  (Q.E.P.D.)  Se durmió en los brazos del Señoo de su alma y que brille para elle la luz que no tiene fin." u="1"/>
        <s v="EFECTIVO EN EL ACTO CON TODAS LAS TARJETAS (aviso nuevo color amarillo)" u="1"/>
        <s v="ASOCIACIÓN CIVIL, SOCIAL, CULTURAL Y DEPORTIVA “TRAPITO” Se e dos socios para la firma del acta.-  LA COMISION 520162017" u="1"/>
        <s v="Atención Carniceros, Rotiseros Restaurant Catering, vendo ca1ra calidad muy buen precio entrega a domicilio. 388 4074565" u="1"/>
        <s v="Cavirama SRL" u="1"/>
        <s v="GONZALEZ AMADO ARGENTINO “Gringo”    (q.e.p.d.) Falleció el vivís día a día , te dibujo en las estrellas noche a noche.”" u="1"/>
        <s v="NUTRICION  LIC. CRISTINA DEL VALLE MARTINEZ  M.P. 029 Martes 12.00 hs  Tarde de17.30 a 21 hs.  OTERO 464 - Consultorio 1" u="1"/>
        <s v="EDICTO SUCESORIO JUZGADO PRIMERA INSTANCIA EN LO CIVIL Y COM días.   San Salvador de Jujuy 29 de Noviembre de 28  131491" u="1"/>
        <s v="imanta 14 años villanueva" u="1"/>
        <s v="Empresa Constructora busca CAPATAZ DE OBRA con amplia experiu currículum vitae al correo: capatazconstructora1@gmail.com" u="1"/>
        <s v="Empresa Constructora Busca Capataz Requisitos: Experiencia ciar mail con Curriculúm a rrhh.empleosconstructora@gmail.com" u="1"/>
        <s v="EMPRESA CONSTRUCTORA NECESITA ING. CIVIL/ ARQUITECTO Exp. mí y remuneración pretendida: area.postulaciones2020@gmail.com" u="1"/>
        <s v="Empresa constructora, radicada en San Salvador de Jujuy seleetendida •enviar al correo: area.postulaciones2020@gmail.com" u="1"/>
        <s v="ALQUILO HABITACION  con baño privado de primera a señorita,  mínimos requisitos, B° Lujan.  Cel.155132810" u="1"/>
        <s v="AVISO ARMADO  ANTONIO CHUNGARA" u="1"/>
        <s v="EDICTO SUCESORIO  = = = JUZGADO DE PRIMERA INSTANCIA EN LO CNCO (5) DIAS. = = =   San Salvador de Jujuy,  Mayo de 2020.-" u="1"/>
        <s v="EDICTO SUCESORIO = = = JUZGADO DE PRIMERA INSTANCIA EN LO CI.C.).-  = = = San Salvador de Jujuy  28 de Febrero de 2020.-" u="1"/>
        <s v="ALQUIMIA BARBER  %15 DE DESCUENTO EN CORTES Y PRODUCTOS" u="1"/>
        <s v="PRODUCTOS ALIMENTICIOS SOFIA" u="1"/>
        <s v="+ MAMANI, Natividad ( q.e.p.d.) fallecio  el 12/08/2020...." u="1"/>
        <s v="UNJU - 25 DE MAYO" u="1"/>
        <s v="ESCUDO SEGUROS INFORMA..." u="1"/>
        <s v="FONDO DE COMERCIO" u="1"/>
        <s v="GNC SIGMA" u="1"/>
        <s v="MIGUEL ANGEL  VENDE EN PERICO  Máquinas AGRICOLAS Tractores- Rastras-Arado  Cel. 388 155899027155899027" u="1"/>
        <s v="-EDICTO SUCESORIO- ------------El Juzgado de Primera Instancan Salvador de Jujuy,  12 de Marzo de 2020.--------8  145570" u="1"/>
        <s v="COL. INGENIEROS ANEXO 1 RESOLUCION  2020 CALENDARIO ELECTORAL 2020..." u="1"/>
        <s v=" Empresa de Servicios local, incorpora a su staff: 1) VENDEDerencia  1) VENDEDORES o 2) ASESORES DE ATENCIÓN AL CLIENTE." u="1"/>
        <s v="MUNICIPALIDAD DE SAN PEDRO - INFORMACIÓN DE PRENSA MES DE MAYO20" u="1"/>
        <s v="DUEÑO ALQUILA DEPARTAMENTOS AMOBLADOS EN PLENO CENTRO, MONOAMBIENTE Y 1 DORMITORIO. CEL 3884616638" u="1"/>
        <s v="+ MARÍA LAURA BARRON CORBALAN &quot;LALY&quot;  25/03/86 - 02/07/20  “ariño y amor, querida compañera y amiga &quot;Laly&quot;.  T.8    8602" u="1"/>
        <s v="EL GLADIADOR" u="1"/>
        <s v="LIC. DIEGO CRUZ QUIROPRAXIA" u="1"/>
        <s v="TRAME SRL  DIA DE LA MINERIA" u="1"/>
        <s v="MADERERAS DIAS  ANIV. CLINICA NTRA. SRA. DE FATIMA" u="1"/>
        <s v="VENDO PLAN DE AHORRO TOYOTA HILUX  c/ 43 cuotas pagadas Cel. 154855658" u="1"/>
        <s v="I.V.U.J.  Gobierno de Jujuy   TORRES  DEL ALTO 248 VIVIENDASonas solas o grupos...... Mas informacion en www.ivuj.gob.ar" u="1"/>
        <s v="CARNICERIA LIZARRAGA  ANIV. CLINICA NTRA. SRA. DE FATIMA." u="1"/>
        <s v="                             CONVOCATORIA A ASAMBLEA ORDINAR18.30 HASTA 20.30 EN MANZANA 11 LOTE 2- SRA. SOLEDA820202021" u="1"/>
        <s v="ECHENIQUE, María Esther q.e.p.d. Falleció el día 23 de septi ruega elevar una oración por el descanso eterno de su alma." u="1"/>
        <s v="GOBIERNO USA BARBIJO   ..." u="1"/>
        <s v="CLINICA NTRA. SRA. DE FATIMA  DIA DEL TRABAJADOR" u="1"/>
        <s v="AGRADECIMIENTO!!  SERGIO ESCUDERO A CLINICA FATIMA..." u="1"/>
        <s v="YALA ALQUILO LOCAL 90m2 sobre ruta N°9 Ideal p/farmacia, carniceria o super.  Tel. 0388-156855015." u="1"/>
        <s v="PSA PURIFICADORES  ////CON IMAGEN EN CARPETA DE LA FECHA ///útil 3 años Instalación sin cargo  Alberto TEL: 3888 6513391" u="1"/>
        <s v="UCASAL - comenza en junio" u="1"/>
        <s v="SENCO" u="1"/>
        <s v="CONSEJO DE AGRIMENSORES DIA DLE INGENIERO...." u="1"/>
        <s v="IMPORTANTE EMPRESA CONSTRUCTORA  JEFE DE OBRA  ///WORD EN CARPETA DE LA FECHA ////" u="1"/>
        <s v="MUNIC. S.S. DE JUJUY - DIA DE SAN SALVADOR" u="1"/>
        <s v="ALQUILO IMPORTANTES PROPIEDADES USO COMERCIAL 1-OFICINAS: 4 o. IMPORTANTE DESCUENTO EN LOS 6 PRIMEROS MESES 3518    7201" u="1"/>
        <s v="La bulonera" u="1"/>
        <s v="Q CORTE - PROMO JUNIO" u="1"/>
        <s v="CAMAR JUJEÑA DE TRANSPORTE" u="1"/>
        <s v="CENTRO EMP. DE COMERCIO" u="1"/>
        <s v="FUNDACION HOSPITAL DE NIÑOS" u="1"/>
        <s v="ELECTROMECANICA SANCHEZ   DIA DE LA MINERIA" u="1"/>
        <s v="OSPIDA -ESP GRAFICO" u="1"/>
        <s v="EDICTO  EL JUZGADO DE Primera Instancia en lo Civil y Comerce Mayo de 2.020.- Dra. María Silvia Molina - Prosec8  155868" u="1"/>
        <s v="JOSE LINO SOTO  (Q.E.P.D.)  Se durmio en los brazos del Seño gran familia que supo construir GRACIAS, GRACIAS, GRACIAS!!" u="1"/>
        <s v="UPCN ANIVERSARIO PERON...." u="1"/>
        <s v="VENTA TELEFONICA..." u="1"/>
        <s v="EMPRESA SOLICITA EMPLEADO PARA COMPRAS Y LOGISTICA" u="1"/>
        <s v="FARMACIA SAN ESTEBAN  ANIV. SAN CAYETANO" u="1"/>
        <s v="HECTOR HUGO PEREA (QUICO)     (q.e.p.d.) Falleció el 24 de jlas que teníamos los dos. Te amo PAPÁ”. Tu hijo Martin Perea" u="1"/>
        <s v="VINERIA S.JUAN" u="1"/>
        <s v="FUTURO SERV. SOC. - DIA DEL TRABAJADOR" u="1"/>
        <s v="E D I C T O SUCESORIO   - - - EL JUZGADO DE PRIMERA INSTANCI- - - - Prosecretaria Técnica de Juzgado Dra. LUCIA8  156560" u="1"/>
        <s v="MUNIC. S.S. DE JUJUY - DIA DE LA POLICIA" u="1"/>
        <s v="MUNICIPALIDAD DE PALPALÁ  DIA DEL TRABAJADOR" u="1"/>
        <s v="UNJU - ANIVERSARIO ESCUELA DE MINAS" u="1"/>
        <s v="+ RIVAS, Marta Graciela (q.e.p.d.)  Falleció el día 19 de agpedimos con mucho amor. Elevamos una oración en tu recuerdo." u="1"/>
        <s v="SE NECESITA personal para Sandwicheria: con experiencia en p jugos, licuados. Presentarse en Dorrego N°240 de 9 a 12 hs." u="1"/>
        <s v="MARINARO   CELEBRACION A LA VIRGEN DE RIO BLANCO Y PAYPAYA" u="1"/>
        <s v="+ MARTINEZ, Justina (q.e.p.d.) Se durmió en la Paz del Señormemoria. Favor q sus hijos y nietos agradecerán eternamente." u="1"/>
        <s v="SERGIO CARATTONI Y FLIA." u="1"/>
        <s v="OPTICA EL GALLO - dia del trabajador -" u="1"/>
        <s v="AUTOCIEL 3" u="1"/>
        <s v="GOBIERNO DIA DE LA BANDERA." u="1"/>
        <s v="GRACIAS SAN EXPEDITO Por los Favores recibidos.  Leoncia A." u="1"/>
        <s v="SUSANA  MARINO ..." u="1"/>
        <s v="CHUNG KING ///AVISO ARMADO EN CARPETA DE LA FECHA ////" u="1"/>
        <s v=" PROYECCIÓN RAÚL BUSTAMANTE CRISTO!! nos protege en Jujuy poobreros estatales.” ¡FELÍZ DÍA DEL PADRE! SEGUIMOS ORANDO..." u="1"/>
        <s v="Ángela Farfán Tía Eudocia Querida!!! Se durmió en los brazos descansas en la Paz del Señor. Cristina Alcobedo y familia." u="1"/>
        <s v="GRACIAS SAN EXPEDITO POR LOS FAVORES RECIBIDOS M.J." u="1"/>
        <s v="Instituto del Norte" u="1"/>
        <s v="CARGAR A WERCHOW MOD 1X3 BYN  + JUAN ACHO" u="1"/>
        <s v="VALLE DE LOS OLIVOS “SERVICIOS FUNEBRES”  CELEBRACION A LA VIRGEN DE RIO BLANCO Y PAYPAYA" u="1"/>
        <s v="JUJUY MATERIALES" u="1"/>
        <s v="+ COLINA, Héctor Norberto (q.e.p.d.) Falleció el día 24 de a una oración por su eterno descanso. Te recordamos con amor." u="1"/>
        <s v="CARGAR WERCHOW   + COLQUE RODOLFO" u="1"/>
        <s v="DISTRIBUIDORA E.C. RIVAROLA  CELEBRACION A LA VIRGEN DE RIO BLANCO Y PAYPAYA" u="1"/>
        <s v="ALQUILO DPTO. a persona sola 2 AMBIENTES, Independencia 254, PB, Dpto 7, sin expensas .Cel. 3884290116 / 3884879937" u="1"/>
        <s v="COMPRO  Estructura de Tinglado  10.x 30.- 12x30 o 15x30 de 5 mts. de altura  Cel. 388 5738526" u="1"/>
        <s v="CAMARA DE EMPRESA DE SALUD DE JUJUY  - SALUD JUJUY    EL  ADIOS A UN GRANDE" u="1"/>
        <s v="ICADE PROPUESTA EDUCATIVA 2020" u="1"/>
        <s v="HORACIO CABALLERO - pagina especial" u="1"/>
        <s v="EXPTE C 047996 /168  047996" u="1"/>
        <s v="CARGAR CUENTA DE WERCHOW MOD 1X3  + CATOLICA CRUZ" u="1"/>
        <s v="EMPRESA DEL MEDIO SOLICITA" u="1"/>
        <s v="SOLICITADA PAMI" u="1"/>
        <s v="GUERRERO INMOBILIARIA" u="1"/>
        <s v="COMISION JOVENES PROF." u="1"/>
        <s v="VENDO FRACCION de 5.500 m2, sobre colectora ruta 9.(entre Cerro Las Rosas y Constitución)Cel 0388-155181765" u="1"/>
        <s v="COLEGIO DE ODONTOLOGOS-ESP ING" u="1"/>
        <s v="CONCEJAL P.J. DR. HUGO SOSA  ANIV. B°  BELGRANO" u="1"/>
        <s v="GRACIAS SAN EXPEDITO  POR LOS FAVORES RECIBIDOS. M.C.F." u="1"/>
        <s v="Cetrogar." u="1"/>
        <s v="Estamos buscando operador de gruas y manipuladores telescópi Experiencia comprobable.  . Enviar CV a rrhh_jumi@yahoo.com" u="1"/>
        <s v="Estamos buscando operador de Grúas y Manipuladores Telescópicia comprobable.     Deberan enviar CV a rrhh_jumi@yahoo.com" u="1"/>
        <s v="Estamos en la busqueda de:   -Personal encargado del area deon experiencia comprobable.  Enviar CV a rrhh_jumi@yahoo.com" u="1"/>
        <s v="EDICTO SUCESORIO:  JUZGADO DE PRIMERA INSTANCIA EN LO CIVIL an Salvador de Jujuy, 14 de agosto de 2020.-.-.-.-.8  162132" u="1"/>
        <s v="AUTOCIEL 2" u="1"/>
        <s v="+ BOGGIO, Alicia Nelly (q.e.p.d.) Falleció el día 8 de octubina, Benjamín, Sofía y Agustín te recordamos con mucho amor." u="1"/>
        <s v="COMPRO TRAMOS DE TORRES  y Baterías de Gel 100 amp. usadas.  Cel. 388-42956258 4295625" u="1"/>
        <s v="SER.HOROSCOPO ...." u="1"/>
        <s v="SMATA JUJUY ESP PERON" u="1"/>
        <s v="  E    D    I    C    T    O    S      - - - - - - - - - - “- - - - - SAN SALVADOR DE JUJUY,  2  de Marzo  de 28  151304" u="1"/>
        <s v="LOS TILIANES - PUCARA - DIA DE LA MINERIA" u="1"/>
        <s v="1° AVISO TARJ. SOL  - PEDI TU ADELANTO" u="1"/>
        <s v="CINE ALFA..." u="1"/>
        <s v="BINGO HOSPITAL ..." u="1"/>
        <s v="MISTURA" u="1"/>
        <s v="TURBOS SALUZZO" u="1"/>
        <s v="E      D     I     C     T     O       S     U     C     E  O  DEL 2020- FDO. Dra. MARIA SILVINA MOLINA  PRO SE8  156692" u="1"/>
        <s v="VENDO HAS. $ 35.000 C/U CDAD. DE ABRA PAMPA apta para activincluye planos ni escrituración- obligatorio.  388-155096851." u="1"/>
        <s v="EDICTOS - - - JUZGADO DE PRIMERA INSTANCIA EN LO CIVIL Y COM  de Junio de 2.020.- DR. SERGIO ANDRES ALVAREZ- Se8  069247" u="1"/>
        <s v="EMPRESA DEL PERSONAL ADMINISTRATIVO" u="1"/>
        <s v="PROPIETARO ALQUILA SALON 300 m2, luz trifásica, 1er piso, 2 atar en Restaurant Ruta 9, Sr. Eleodoro Cruz. Sin c8 4230043" u="1"/>
        <s v="Lobito repuestos" u="1"/>
        <s v="A.T.E. CENTRO DE JUBILADOS Y PENMIONADOS  DIA DEL TRABAJADOR" u="1"/>
        <s v="VERTIENTES DE YALA" u="1"/>
        <s v="CANAL 2 PERICO.:::::" u="1"/>
        <s v="+ BURGOS, José (q.e.p.d.) Falleció el día 8 de septiembre deos Papá. Te Amamos Pá. Tu hija Azu y tu hijo político Flaco." u="1"/>
        <s v="EDICTO SUCESORIO  ===JUZGADO DE PRIMERA INSTANCIA EN LO CIVICO DIAS.-  = = = SAN SALVADOR DE JUJUY 18 DE AGOSTO8  135969" u="1"/>
        <s v="SUSPENSION A LA “CONVOCATORIA A ASAMBLEA  ORDINARIA DEL COLESLAMIENTO SOCIAL OBLIGATORIO y las condiciones sean8   10620" u="1"/>
        <s v="ATSA ADHESION DEL TRABAJO ..." u="1"/>
        <s v="AMOS-BRUJOS- SEÑORES DE LOS AMANTES CRISTIAN Y LUNA DEL MILAESERVAS  3884656251- JUJUY- CENTRO 3872178586  SALTA CAPITAL" u="1"/>
        <s v="EDICTO SUCESORIO   JUZGADO DE PRIMERA INSTANCIA EN LO CIVIL 0.  Secretario: Dra. Sandra M. Torres-Secretaria Ha8  156852" u="1"/>
        <s v="ELSA GUERRERO   MOD 2X4 ARMADO EN CARPETA DE LA FECHA" u="1"/>
        <s v="SAN EXPEDITO   GRACIAS POR LOS FAVORES RECIBIDOS   M T CH" u="1"/>
        <s v="Centro Empleados de Comercio" u="1"/>
        <s v="PRESTAMOS EN EL ACTO -personales y comercio  -(tarjeta de crédito y efectivo)  Cel. 3884842181." u="1"/>
        <s v="CHARATA´S PAG. ESP." u="1"/>
        <s v="URGENTE VENDO  FIAT UNO Mod 2013, nafta.  Cel 388-5753132 / 48763238 5753132" u="1"/>
        <s v="BANCO MACRO PEDIDO: 4500078548 HES: 1000175121" u="1"/>
        <s v="GRACIAS SAN EXPEDITO POR LOS FAVORES RECIBIDOS. PERDÓN PON LA DEMORA   J.C.P." u="1"/>
        <s v="+ TORRES Vda. de Cruz, Dora (q.e.p.d.) Falleció el 19 de Julistiana resignación sabiendo que algún día estaremos juntos." u="1"/>
        <s v="LO DE SILVIA TRATORIA ///AVISO ARMADO EN CARPETA DE LA FECHA////" u="1"/>
        <s v="MARTIN VALDIVIEZO (CHAMAN)                                  Cabeza, Diego, Rulo, Toro, Fabiana, Negro, Tío Ochoa y demás" u="1"/>
        <s v="GOBIERNO TELEMEDICINA....." u="1"/>
        <s v="INMOBILIARIA GUERRERO - ESP. ESCRIBANOS" u="1"/>
        <s v="CARLOS CAÑAS   /// AVISO ARMADO EN CARPETA DE LA FECHA /////" u="1"/>
        <s v="4 DE SEPTIEMBRE  “DIA DEL INMIGRANTE” LA ASOCIACION SICILIAN                                                  PRESIDENTE" u="1"/>
        <s v="el tribuno saluda a villanueva" u="1"/>
        <s v="Winde ujuy MEDICINA SALUD ....LIC Yudith Colina" u="1"/>
        <s v="CARGAR CUENTA DE WERCHOW  + ACOSTA CANDELARIO" u="1"/>
        <s v="VENDO MOTOMEL  SKUA 250, 5.600 km. mod.2014 (rodado 2015)  $ 75.000.  388-68210848    2015" u="1"/>
        <s v="EJESA CORTE....." u="1"/>
        <s v="ARRIENDO  FINCA  para TABACO  con instalaciones 16 HA. Zona El Carmen Cel. 1154591595" u="1"/>
        <s v="+ SCARO, César Adrián - Falleció el 10/09/2020  Alberto Ramótos, elevando al Altísimo una oración en su querida memoria." u="1"/>
        <s v="+ Maria Aurelia Castro" u="1"/>
        <s v="MUNICIPALIDAD DE SAN PEDRO - INFORMACIÓN DE PRENSA MES DE JULIO20" u="1"/>
        <s v=" A PANADERIA  MOSTRADOR Vidriada con luz. Tratar:  Calle 23 de Agosto 295 Perico. Cel. y Wapp. 388 154082595154082595" u="1"/>
        <s v="obras  agua potable- mensual mayo 2020" u="1"/>
        <s v="IMPORTANTE EMPRESA DEL MEDIO BUSCA &quot;ENCARGADO DE COMPRAS&quot;. Rn referencias comprobables a: uniteanuestroequipo@gmail.com." u="1"/>
        <s v="IMPORTANTE EMPRESA NECESITA  Ing Industrial  para  responsab CV con remuneración pretendida a empleoenjujuy19@gmail.com." u="1"/>
        <s v="DISTRIBUIDORA VICTORIA" u="1"/>
        <s v="ALQUILO HABITACION  con baño privado de primera a señorita sola,  mínimos requisitos, B° Lujan.  Cel.155132810" u="1"/>
        <s v="+BAUTISTA, Darío José (q.e.p.d.) Falleció el día 27 de septinvitan a elevar oraciones por el eterno descanso de su alma." u="1"/>
        <s v="Alberto Cesar Aparicio &quot;NENE&quot; Cuando era niño recuerdo que te has dado.   ¡ Feliz día mi viejo ! Te Amo Gustavo Aparicio" u="1"/>
        <s v="GRAL. JUAN DOMINGO PERON...   GRAL. JUAN DOMINGO PERON  EL G                                       Angela M.R, de Ponce." u="1"/>
        <s v="UN DIA PERFECTO..." u="1"/>
        <s v="JUJUY PARA JUJEÑOS - SUPLEMENTO 8 PÁGINAS" u="1"/>
        <s v="EDICTO SUCESORIO:   = = = JUZGADO DE PRIMERA INSTANCIA EN LOel 2020.- = = = DRA. GABRIELA E. MONTIEL- FIRMA HAB8  156862" u="1"/>
        <s v="OPTICA SAN CAYETANO   CELEBRACION  A LA VIRGEN DE RIO BLANCO Y PAYPAYA" u="1"/>
        <s v="MUNICIPALIDAD DE PALPALÁ  SUP. ESP. 23 DE AGOSTO EXODO JUJEÑO" u="1"/>
        <s v="CONCEJAL P.J. DR. HUGO SOSA  ANIV. FALLECIMIENTO EVA DUARTE DE PERÓN" u="1"/>
        <s v="A.T.E. CENTRO DE JUBILADOS Y PENCIONADOS DE PALPALÁ.   CELEBRACION A LA VIRGEN DE RIO BLANCO Y PAYPAYA" u="1"/>
        <s v="E  D  I  C  T  O:  - - - DR. DIEGO ARMANDO PUCA, JUEZ DEL JUcia TRES VECES EN CINCO DIAS.-  - - - SAN SALVADOR 8  143007" u="1"/>
        <s v="EJESA CORTE:::::" u="1"/>
        <s v="CANAL  2 PERICO::::::" u="1"/>
        <s v="CLINICA DE FATIMA  SUP. ESP. 23 DE AGOSTO EXODO JUJEÑO" u="1"/>
        <s v="INFOMERCIAL - DIA DEL MEDIO AMBIENTE PUBLICADO EL 5/06/20" u="1"/>
        <s v="VENDO TAXI AMARILLO. Cel 388-5814339. Solo llamadas.8 5814339" u="1"/>
        <s v="+ CARDOZO, Juan Carlos (q.e.p.d.) Se durmió en la paz del Seruegan elevar una oración por el eterno descanso de su alma." u="1"/>
        <s v="Municipalidad de Libertador" u="1"/>
        <s v="MINERA EXAR - DIA del MEDIO AMBIENTE" u="1"/>
        <s v="Cámara en lo Civil y Comercial Sala Primera  ---------------zon, Secretaria. -San Salvador de Jujuy 27 de Mayo 8  148991" u="1"/>
        <s v="CARGAR CUENTA DE WERCHOW  MOD 1X3 BYN   SERRANO NICANOR" u="1"/>
        <s v="LA COMPAÑIA" u="1"/>
        <s v=" COOP. DE TRABAJO UNIÓN SAN ROQUE LTDA. CONVOCATORIA El Consístas con 15 días de anticipación. Consejo de Admin8  056049" u="1"/>
        <s v="LIC. ADRIANA PATRICIA ORELLANA  PSICOLOGA M.P. 126 PSICOTERAICIAS) BELGRANO 860  SEXTO PISO  SOLICITAR TURNOS 3885013996" u="1"/>
        <s v="  + ZAIRA MARINA DELGADO (q.e.p.d.) Falleció el 20 de mayo d Que en paz descanses y goces ya de la luz que no tiene fin." u="1"/>
        <s v="+ GALIAN, Elsa Beatriz de Silisque (q.e.p.d.) Falleció el díMariano Moreno para rogar por el eterno descanso de su alma." u="1"/>
        <s v="+ GALIAN, Elsa Beatriz de Silisque (q.e.p.d.) Falleció el dír una oración al Altísimo por el eterno descanso de su alma." u="1"/>
        <s v="+ GASPAR, Juan Domingo “Manincho” (q.e.p.d.) Fallecio el diamigos a orar una plegaria por el eterno descanso de su alma." u="1"/>
        <s v="+ JUAREZ, Daniel Alejandro (q.e.p.d.) Partió a la Casa del S elevando una oración para él y el consuelo para su familia." u="1"/>
        <s v="SITRAVIP ESP PERIODISTAS" u="1"/>
        <s v="VENDO NEGOCIO GASTRONÓMICO por no poder atender. Zona Centro, excelente clientela. Cel 388-49736128 4973612" u="1"/>
        <s v="MARTILLERO VENDE  DUPLEX LOS PERALES LISTO P/ ESCRITURAR 0388-154963270" u="1"/>
        <s v="DUEÑO ALQUILA LOCALES COMERCIALES EN GALERIA CENTRICA &quot;PATIO BERTRES&quot;, EN DIAGONAL A ANNUAR SHOPPING. CEL 3885127399" u="1"/>
        <s v="+ ANA MARIA IBAÑEZ Falleció el 2 de junio de 2019 Un día comera, tus nietas Rocío y Florencia y tu hija política Raquel." u="1"/>
        <s v="Busco a “TANA” Gratificaré su devolución. Desapareció en Bo.na Conce La extraño mucho, ayúdenla a volver con su8    1107" u="1"/>
        <s v="Full color pinturería" u="1"/>
        <s v="+ DOMINGO MARCELINO CRUZ  Falleció el 5 de junio de 2015  Faor, su familia invita a orar oración por su eterno descanso." u="1"/>
        <s v="MAXICONSUMO OFERTAS ..." u="1"/>
        <s v="+ Manuel Cruz  (q.e.p.d.)  Falleció el 11 de mayo del 2020  Mariano Moreno para rogar por el eterno descanso de su alma." u="1"/>
        <s v="+ MARCOS CUSSI  (Q.E.P.D)  Se durmió en los brazos del Señorruegan elevar una oración por el eterno descanso de su alma." u="1"/>
        <s v="+ MARIA ROSARIO AYARDE q.e.p.d. Falleció el día 11 de junio o a horas 8.30 para rogar por el eterno descanso de su alma." u="1"/>
        <s v="UNJU - DIA DEL PERIODISTA" u="1"/>
        <s v="CORRIENTE SINDICAL SAUL UBALDINI" u="1"/>
        <s v="VENDO LEÑA.  La Bolsa $ 300  Párroco Marshke 686.  Horario comercial.  Cel. 388-41242798 4124279" u="1"/>
        <s v="BINGO LOBO CLUB GIMNASIA ...." u="1"/>
        <s v="NAPAY SUNQU  ADHESION MINERIA..." u="1"/>
        <s v="PROYECCIÓN RAUL BUSTAMANTE Por la FE vivirás, estamos orandos en Jujuy!! Dios bendiga a Jujuy y la República Argentina ." u="1"/>
        <s v="+ RUFINO ROJO, Mateo  (Q.E.P.D.)  Falleció el domingo 27 de terno de su alma y la cristiana resignación para la familia." u="1"/>
        <s v="COMERCIALIZADORA DEL NORTE" u="1"/>
        <s v="Para empresa Jujeña nos encontramos en la búsqueda de una EJa capitalhumanojuj@gmail.com con tu remuneración pretendida." u="1"/>
        <s v="FARMACIA LUZ Y FUERZA" u="1"/>
        <s v="EDICTO SUCESORIO ===El Juzgado de 1ra. Instancia en lo CivilBRE DEL 2019.- FDO. Dra. MARIA SILVIA MOLINA-PROSECRETARIA.-" u="1"/>
        <s v="EDICTO SUCESORIO El Juzgado de Primera Instancia en lo Civiliego Armando -Juez- ,Proc. Agustina Navarro-Pro Secretaria.-" u="1"/>
        <s v="BINGO HOSPITAL ...." u="1"/>
        <s v="+ZUMBAY, Roberto Maximiliano AVISO ARMADO" u="1"/>
        <s v="AVISO SUPLEMENTO DIA DEL TRABAJADOR PASTELERIA ARTESANAL  DULCE TENTACIONES VERONICA VALCHAR" u="1"/>
        <s v="DYCAR JUNIO" u="1"/>
        <s v="EDICTO  El Juzgado de 1ra. Instancia en lo Civil y Comercial Juez Secretaria N° 1, Dra. Amelia del V. Farfán- S8  164186" u="1"/>
        <s v="ROCA VENDE CASAS" u="1"/>
        <s v="GERENTE DE SUCURSAL JUJUY ASUNTO GSJ20" u="1"/>
        <s v="+ REYNAGA, Verónica (q.e.p.d.) Falleció el día 10 de septieme para siempre el amor que diste a los que rodearon tu vida." u="1"/>
        <s v="EDICTO S - - - JUZGADO DE PRIMERA INSTANCIA EN LO CIVIL Y COe 2.020, a cargo del DR. SERGIO ANDRES ALVAREZ - se8  145359" u="1"/>
        <s v="Marcelo Alejandro Pereyra  (Q.E.P.D.)  Falleció el martes 4 edimos elevar una oración para pedir por su eterno descanso." u="1"/>
        <s v="EDICTO AUSENCIA CON PRESUNCION DE FALLECIMIENTO Juzgado de Purante seis meses. San Salvador de Jujuy,18 de Mayo8  123324" u="1"/>
        <s v="+ CHOROLQUE DOMINGO   q.e.p.d. Falleció el día 23 de junio dobrinos Silvina, Claudia, Manuel, Soledad, Vilma y Gabriela." u="1"/>
        <s v="HYUNDAI H1" u="1"/>
        <s v="LOS NARANJOS" u="1"/>
        <s v="UNJU - ing Agronomo" u="1"/>
        <s v="E D I C T O  - - - DR. JUAN PABLO CALDERON  JUEZ DE PRIMERA NCO DIAS. - - - San Salvador de Jujuy, 13 de Marzo 8  130795" u="1"/>
        <s v="EDICTO SUCESORIO  El JUZGADO DE PRIMERA INSTANCIA EN LO CIVI DI PIETRO  Secretario de Primera Instancia.-------8  164322" u="1"/>
        <s v="A.D.E.P." u="1"/>
        <s v="EDICTOS  Juzgado de Primera Instancia en lo Civil y Comerciao de Juzgado. - - - San Pedro de Jujuy, 14 de Mayo de 2.020." u="1"/>
        <s v="PINAR ESP ING" u="1"/>
        <s v="UNJU - DIA DE LA BANDERA" u="1"/>
        <s v="E D I C T O S:  - - - JUZGADO DE PRIMERA NSTANCIA EN LO CIVI  -- - SAN SALVADOR DE JUJUY, 29 de Julio de 2019.-8  007248" u="1"/>
        <s v="DYCAR AGOSTO" u="1"/>
        <s v="BINGO HOSPITAL" u="1"/>
        <s v="SE VENDE Taxi y se alquila Licencia.  Cel. 388-58143398 5814339" u="1"/>
        <s v="INFORMACIÓN DE PRENSA MES DE AGOSTO 2020" u="1"/>
        <s v="BUSCO OFICIAL  CARPINTERO para puertas y ventanas de madera Pago diario o semanal. Cel. 3884782523." u="1"/>
        <s v="VENTA TELEFONICA...." u="1"/>
        <s v="+ CARMEN ROSA LOPEZ DE MURAY (q.e.p.d) Desde que te fuiste, lor. Siempre estarás en nuestros corazones. Descansa en paz." u="1"/>
        <s v="GOBIERNO 17 DE AGOSTO ANIVERS: LG SAN MARTIN..." u="1"/>
        <s v="TRAME - DIA DEL CAMINO" u="1"/>
        <s v="COMPRO HECTAREAS" u="1"/>
        <s v="SUBTE - delivery" u="1"/>
        <s v="/// con logo de BELLOMO SRL///  NECESITO OPERARIO PARA motoniveladora. Presentar CV en Belgrano N° 1383 de 8 a 8   01383" u="1"/>
        <s v="SIND. DE OBRAS SANITARIAS..." u="1"/>
        <s v="EDICTO  - - - DRA. LIS VALDECANTOS BERNAL - JUEZ DE PRIMERA A TORRES.  - - - SAN SALVADOR DE JUJUY, 13 de julio de 2020." u="1"/>
        <s v="EDICTO JUZGADO DE PRIMERA INSTANCIA CIVIL Y COMERCIAL N°2, Ss en cinco días. San Salvador de Jujuy. 04 de junio de 2020." u="1"/>
        <s v="= = = = = = = = = EDICTO SUCESORIO .= = = = = = = = =  = = =iembre de 2019.- = = = Dr. Juan José Bravo  Firma H8   96146" u="1"/>
        <s v="GOBIERNO CREDITOS $ 840.000.000..." u="1"/>
        <s v="NGA Construcciones - dia del trabajador" u="1"/>
        <s v="CANAL 2 PERICO ...." u="1"/>
        <s v="VW POLO, Mod 2016, 53.000 km,  papeles al dia , Impecable.  Cel 388-47927538 4792753" u="1"/>
        <s v="E D I C T O   S U C E S O R I O   - - - EL JUZGADO DE PRIMER        - - - - SAN SALVADOR DE JUJUY, 03 de Junio 8  158978" u="1"/>
        <s v="CARGAR CUENTA DE WERCHOW  MOD 1X3 BYN  + TOMASA RAMOS" u="1"/>
        <s v="EDICTO SUCESORIO El Juzgado de 1ra. Instancia en lo Civil y IO de 2020.- FDO. DRA. NATACHA BULIUBASICH - PROSEC8  160184" u="1"/>
        <s v="+ GUZMAN, Rogelia (q.e.p.d.) Por nuestra querida “POCHITA  -z del Señor y de la Virgen María. BESOS AL CIELO. SU FAMILIA" u="1"/>
        <s v="VENDO FINCAS  15 HAS. Palpalá (Frente R.N.66) 9.000 HAS. P.  3 HAS y 1/2 c/ Serv. de paso Electricidad Cel.388 154082595" u="1"/>
        <s v="LILIANA FELLNER" u="1"/>
        <s v="LA SALA  -  BANKAT ...." u="1"/>
        <s v="MELLI AUTOMOTORES usados" u="1"/>
        <s v="MUNIC. S.S. DE JUJUY - DIA DEL MAESTRO" u="1"/>
        <s v="aviso armado velez" u="1"/>
        <s v="EL OMBU SRL" u="1"/>
        <s v="Agostini BOSQUE DE EL CEIBAL" u="1"/>
        <s v="ISJ GOBIERNO CONVOCAMOS PROFESIONALES DE LA SALUD...." u="1"/>
        <s v="+ NICACIO DIAZ    Q.E.P.D Falleció el día 30 de abril de 201ieto, hija política, y hermanos te recordaremos por siempre." u="1"/>
        <s v="GRACIAS SAN EXPEDITO POR LOS FAVORES RECIBIDOS - NICOLE RIVERO" u="1"/>
        <s v="WERCHOW  ARIEL JURADO" u="1"/>
        <s v="FARMACIA SAN CAYETANO  ANIV. SAN CAYETANO" u="1"/>
        <s v="FARMACIA SAN VALENTIN  ANIV. SAN CAYETANO" u="1"/>
        <s v="ALQUILO CASA EN LOS NOGALES (Yala) por dias por mes, por temnte equipada.Tratar 0388-155870519- 0388-154676512 (no mjes)" u="1"/>
        <s v="SANTOS “TUCO” PEÑARRIETA (q.e.p.d.) Falleció el 13 de febreruna oración en su memoria por el eterno descanso de su alma." u="1"/>
        <s v="GMG LUBRICENTRO - DIA DEL CAMINO" u="1"/>
        <s v="MUNICIPALIDAD DE SAN PEDRO - INFORMACIÓN DE PRENSA MES DE AGOSTO20" u="1"/>
        <s v="                         GUILLERMO ADOLFO  DURAND                                                    Martillero  Público" u="1"/>
        <s v="------------------------------------------------E D I C T O- Maria Silvia Molina. Prosecretaria----------------8  143452" u="1"/>
        <s v="Hotel Artaza" u="1"/>
        <s v="=EDICTO SUCESORIO  ===Juzgado de Primera  Instancia en lo Cilvador de Jujuy, 21 de Septiembre de 2020.---------8  162811" u="1"/>
        <s v="GOBIERNO GUEMES ..." u="1"/>
        <s v="CENTRO EMP. DE FARMACIA" u="1"/>
        <s v="PÁRRAGA, Maria Salomé (Q.E.P.D.) Se durmió en la paz del señros pensamientos, nos haces mucha falta.  Tus hijas y nietos" u="1"/>
        <s v="Dr. Alejandro Daniel Copa  Dra. Vanesa Alejandra Bravo Aboga 1er Piso Of 4 Cel. 3886853895  (Consultas online- whatsapp)" u="1"/>
        <s v="DUEÑO VENDE - TERRENO 8 x 30, ubicado en Bº 23 de Agosto - Pgociable de contado. Cel. 0387-5106552/4736864.- 037 5106552" u="1"/>
        <s v="+ GERTRUDIS JURADO (q.e.p.d.) Falleció el 15 de Agosto de 20 nietos y bisnietos ruegan elevar una oración en su memoria." u="1"/>
        <s v="ORTIZ NESTOR   WERCHOW" u="1"/>
        <s v="FM JUJUY ..." u="1"/>
        <s v="+ FELICIANO ARIAS  ( Q.E.P.D.)   AVISO ARMADO" u="1"/>
        <s v="GAUCHITO GIL Agradecimiento por los favores recibidos  G.E.M." u="1"/>
        <s v="PARTIDO DE LA CONCERTACIÓN FORJA DISTRITO JUJUY  CONVOCATORIrventora del Partido de la Concertación FORJA distrito Jujuy" u="1"/>
        <s v="CONVERSATORIO EMPRENDEDORES  ////AVISO ARMADO EN CARPETA DE LA FECHA////" u="1"/>
        <s v="BARCENA PROP VENTAS..." u="1"/>
        <s v="EDICTO  EL  JUZGADO DE PRIMERA INSTAMCIA EN LO CIVIL Y COMER 2020. ---Secretaria Nº 14 Dra. Carolina Frías- Sec8  101449" u="1"/>
        <s v="FASTA  ANIV. SAN CAYETANO" u="1"/>
        <s v="Sindicato de luz y fuerza  ESP VIRGEN RIO BLANCO" u="1"/>
        <s v="CAMARA DEL TABACO ..." u="1"/>
        <s v="Peluq. LILIANA ROMITTI.." u="1"/>
        <s v="COLEGIO DE ODONTOLOGOS" u="1"/>
        <s v="+RIZZOTTI, Reneé Alberto (q.e.p.d.)  AVISO ARMADO EN CARPETA DE LA FECHA" u="1"/>
        <s v="MASCARAS FACIALES ........" u="1"/>
        <s v="VENDO EDIFICIO 3 PLANTAS 3 dptos. 100 m2 c/u, incluye un gal dptos. a estrenar escritura en el acto. 154467312 8 4255261" u="1"/>
        <s v="PUSSETTO..." u="1"/>
        <s v="Se solicita gruero para grua de 45 a 80 toneladas con experión habilitante al dia. Enviar C.V. a rrhhgruas2020@gmail.com" u="1"/>
        <s v="GOBIERNO  ASISTENCIA PARA ADULTOS MAYORES..." u="1"/>
        <s v="pag. 3 - GOBIERNO DIQUE LOS ALISOS  TURISMO ..." u="1"/>
        <s v="CANAL 2 PERICO" u="1"/>
        <s v="MONTERRICO  VENDO  Promoción lanzamiento  LOTEO VIRGEN DE URKUPIÑA Cel. 388 4082595" u="1"/>
        <s v="EDICTO SUCESORIO El Juzgado de 1ra. Instancia en lo Civil y CIEMBRE DEL 2019 Fdo. Dra. MARIA CECILIA FARFAN, SE8  149379" u="1"/>
        <s v="CHACRAS DE GALLINATO" u="1"/>
        <s v="DR. RENÉ RUIZ" u="1"/>
        <s v="MUNICIPALIDAD DE SAN PEDRO - INFORMACIÓN DE PRENSA MES DE JUNIO20" u="1"/>
        <s v="Neumatone" u="1"/>
        <s v="EDICTO SUCESORIO  - - - JUZGADO DE PRIMERA INSTANCIA EN LO Co de 2020  - - - Secretaria: DRA. MARIA LAURA LOPEZ8  147423" u="1"/>
        <s v="GUIBERGUIS Napoleón “Napo” Q.E.P.D. Fallecio el 12 de Junio a Cristina, su hija Brenda Eliana lo recordamos por siempre." u="1"/>
        <s v="LA DISTRIBUIDORA SRL" u="1"/>
        <s v="CAMIONETA FORD RANGER" u="1"/>
        <s v="CORRALON EL PROGRESO I Y II  ANIV. SAN CAYETANO" u="1"/>
        <s v="MADERERA DENIS" u="1"/>
        <s v="DRA CARINA PAREDES" u="1"/>
        <s v="CONCEJAL FABIAN RODRIGUEZ  ANIV. B°  BELGRANO" u="1"/>
        <s v="torres" u="1"/>
        <s v="MUNICIPALIDAD VIRGEN RIO BLANCO" u="1"/>
        <s v="+ CINTIA MICAELA DE LA BARRA  Falleció el 27 de abril de 202ziel, Mía y demás familiares te recordamos con mucho cariño." u="1"/>
        <s v="JORGE CABANA FUSZ 08-07-2020 Q.E.P.D. La Unión de TrabajadorECRETARIA GENERAL COMISION DIRECTIVA  UTEDYC SECCIO8  072020" u="1"/>
        <s v="MARMOLERIA SYMAR-DIA DEL ARQUITECTO" u="1"/>
        <s v="+ DIAZ CELIA Q.E.P.D. Falleció el día 30 de abril 2019 Mamitticos, nietos y bisnietos, te recordamos con inmenso cariño." u="1"/>
        <s v="EDICTO DE CITACION ----------------LA DIRECCION DE HABITAT E---------------------------------------------------8 0617189" u="1"/>
        <s v="BOTON LAMINA VIRGEN" u="1"/>
        <s v="(LOGO EUROPIE)  “LA QUIACA” SISTEMA EUROPEO DE PLANTILLAS  CSTIAN SURRIABLE CALLE ARABE SIRIA N°146 Cel. 0388-155139022." u="1"/>
        <s v="VENDO LOTE  detrás de Sargento Cabral  10x30 t/servicios. Cel 388-66521618 6652161" u="1"/>
        <s v="EDICTO  --------------EN EL EXPTE. N° D-09928/19, caratuladoDRA. NATALIA ANDREA SOLETTA  SECRETARIA------------8   09928" u="1"/>
        <s v="EDICTO SUCESORIO El Juzgado de Primera Instancia en lo Civilptiembre de 2020. Firma habilitada. Dr. Carlos Fabi8  160376" u="1"/>
        <s v="CARGAR CUENTA DE WERCHOW  MOD 1X3 BYN   ROMAN CONDE" u="1"/>
        <s v="VENDO ECOSPORT MOD/2014 1.6 Titanium 45.000 km. .3885873247" u="1"/>
        <s v="EDICTO  EL TRIBUNAL DE FAMILIA SALA I, VOCALIA 2, en el EXPTías. Ø-   -   - SAN SALVADOR DE JUJUY, 11 de Enero 8   10206" u="1"/>
        <s v="EDICTO SUCESORIO  ----- El Juzgado de Primera Instancia en lOSECRETARIA.---------------------------------------8   10206" u="1"/>
        <s v="ISALCO FIN DE TEMPORADA" u="1"/>
        <s v="+ ACOSTA, Eleodoro (q.e.p.d.) Falleció el día 30 de septiemb. Ruegan elevar oraciones por el eterno descanso de su alma." u="1"/>
        <s v="DPV  DIA DEL CAMINO,,," u="1"/>
        <s v="(pag deportes) - DERGAM" u="1"/>
        <s v="VIRGEN DE LUJAN  GRACIAS POR LOS FAVORES RECIBIDOS  J.G." u="1"/>
        <s v="BINGO LOBO" u="1"/>
        <s v="Duty Center" u="1"/>
        <s v="GOBIERNO POLICIA...." u="1"/>
        <s v="ANGEL LUBRICANTES . ..." u="1"/>
        <s v="LOS NARANJOS  AVISOS ARMADOS" u="1"/>
        <s v="E  D  I  C  T  O:  - - - DR. DIEGO ARMANDO PUCA, JUEZ DEL JUO DIAS.-  - - - SAN SALVADOR DE JUJUY, 03 DE JUNIO 8  143011" u="1"/>
        <s v="PAPELERA LIBERTAD  ANIV. CLINICA NTRA. SRA. DE FATIMA" u="1"/>
        <s v="Parrillada y restaurante Las Yungas" u="1"/>
        <s v="EDICTO SUCESORIO .-.-.-.- JUZGADO DE PRIMERA INSTANCIA EN LO---------------------------------------------------8  164628" u="1"/>
        <s v="LA ALAMEDA   - EL CEIBAL..." u="1"/>
        <s v="ASOC. DE ENFERMERIA" u="1"/>
        <s v="COOP. TELEFONICA PALPALÁ  ANIVERSARIO" u="1"/>
        <s v="GRACIAS SAN JORGE POR LOS FAVORES RECIBIDOS N.M." u="1"/>
        <s v="-------------------------------------------- E D I C T O S -ria N° 4 Dra. NATALIA BULIUBASICH------------------8  142380" u="1"/>
        <s v="JUMI ADHESION DIA DE LA MINERIA ..." u="1"/>
        <s v="+ CESAR BASPINEIRO  (Q.E.P.D.)  Se durmió en los brazos del cte. mes a horas 21.00. Favor que se agradecerá eternamente." u="1"/>
        <s v="PERICO + JOSÉ OSCAR CHAPUR        (Q.E.P.D.)     13/03/65  2                                            ¡Te amo hermano!" u="1"/>
        <s v="CARNICERÍA Y POLLERÍA MONICA  Necesita Carnicero con experieb Alto Comedero.  Incorporación inmediata.  Cel. 388 4148667" u="1"/>
        <s v="DESVINCULACION El Cañadón SRL informa de la desvinculación lia, quien a partir de la fecha ya no pertenece a la empresa." u="1"/>
        <s v="EDICTO - - - - Dr. HORACIO JOSE MACEDO MORESI  Vocal Pte. Deel boletín Oficial. San Pedro de Jujuy, 10 de junio8  048708" u="1"/>
        <s v="HIPERPLACA" u="1"/>
        <s v="VENDO  TERRENO URGENTE" u="1"/>
        <s v="PELUQUIA Q CORTE Presentando este cupón 20% de Descuento en Corte y en Color Valido mes de septiembre" u="1"/>
        <s v="GOBIERNO CIRCULACION PAR E IMPAR...." u="1"/>
        <s v="centro de empleados de comercio ESP PERON" u="1"/>
        <s v="SAN CAYETANO  ///IMAGEN ///  GRACIAS POR LOS FAVORES RECIBIDOS Y POR TU BONDAD INFINITA   O.F.G." u="1"/>
        <s v="ALQUILO HAB. PLENO centro c/ baño priv y coc. Lavalle 135. Cel.3884964977 / 5874729. Horario Comercial8 5874729" u="1"/>
        <s v="HAFID ESP TAXI" u="1"/>
        <s v="Canal 6 Teleaudio" u="1"/>
        <s v="TRAME - aniversario LW8" u="1"/>
        <s v="GOMEZ ROCO..." u="1"/>
        <s v="MUNDO MAGICO  ANIV. B° BELGRANO" u="1"/>
        <s v="+ BALDERRAGO, Felipa (q.e.p.d.) Falleció el día 16 de julio o abrazarte. Te recuerdan tus hijos; tus nietos y bisnietos." u="1"/>
        <s v="+ CARDOZO, Oscar (q.e.p.d.) Falleció el día 25 de abril de 2odo el corazón tu esposa; tus hijos; tus nietos y bisnietos." u="1"/>
        <s v="MICHEL GRUPO ASEGURADOR  ANIV. SAN CAYETANO" u="1"/>
        <s v="POLICONSULTORIOS S.O.L. INCORPORA Profesionales de Salud de ntes. Av. Alte. Brown N° 46. Cel 388-4031161 Tel 388 4031161" u="1"/>
        <s v="Jose Marhe Jure" u="1"/>
        <s v="SERVICIOS HOROSCOPO ..." u="1"/>
        <s v="HUGO CONDE - LA MURGUITA" u="1"/>
        <s v="MUNIC PALPALA - FERIA MAYORISTA - DOMINGO DE GRANDES OFERTAS" u="1"/>
        <s v="GRACIAS SAN EXPEDITO  PERDON POR LA DEMORA M.A.B." u="1"/>
        <s v="M.A.V. GRACIAS SAN EXPEDITO POR LAS GRACIAS CONCEDIDAS." u="1"/>
        <s v="DIA DEL PERIODISTA" u="1"/>
        <s v="El mundo del plomero - esp zafra" u="1"/>
        <s v="+ENRIQUE MARTIN AYALA           (q.e.p.d.) Falleció el 13-09. Ruegan elevar oraciones por el eterno descanso de3  092020" u="1"/>
        <s v="GOBIERNO TURISMO" u="1"/>
        <s v="-------------------------------------------------EDICTO ----           - - - SAN SALVADOR DE JUJUY, 10 DE JUNIO8  136119" u="1"/>
        <s v="+ TEJERINA, Antonia (q.e.p.d.) Falleció el día 1 de septiembián y tus nietas Carla y Celaste y demás nietos y b8   10206" u="1"/>
        <s v="GOBIERNO BELGRANO ...." u="1"/>
        <s v="SINDICATO DE PANANDEROS" u="1"/>
        <s v="DUEÑO VENDE  Dpto. de 98 m2, 3 dorm. 1 en suite,  con parrilrres del Cabildo  Sarmiento y Alvear.  388-4789274 8 4789274" u="1"/>
        <s v="EDICTO S  - - - JUZGADO DE PRIMERA INSTANCIA EN LO CIVL Y CO - - - - - - - San Pedro de  Jujuy,   12 de Abril d8   24591" u="1"/>
        <s v="BIO SALUD  SUPLEMENTO ANIVERSARIO CLINICA NUESTRA SEÑORA DE FATIMA" u="1"/>
        <s v="GOBIERNO ..." u="1"/>
        <s v="COMPRO / ALQUILO TERRENO 1500 m2 en SS de Jujuy preferentemel o galpón de 1000 m2 con playa de 500mt. Cel: 387 8 4134117" u="1"/>
        <s v="farmacia general belgrano - ADHESION 25 DE MAYO" u="1"/>
        <s v="RUBEN RIVAROLA 25 DE MAYO" u="1"/>
        <s v="Colegio Medico DIA DEL ODONTOLOGO" u="1"/>
        <s v="DROGUERIA KUSICH  CLINICA NTRA. SRA. DE FATIMA / ANIVERSARIO" u="1"/>
        <s v="+ Carlos Alberto López 21/09/1956  09/05/2017 No estás en cuadre; hermanos; esposa; hijos; nietos y demás seres queridos" u="1"/>
        <s v="          SANTOS “TUCO” PEÑARRIETA            (q.e.p.d.) Falsuperación, rectitud y fuerza que seguiremos hasta el final." u="1"/>
        <s v="EDICTO  JUZGADO DE PRIMERA INSTANCIA EN LO CIVIL Y COMERCIALcretaria de camara.  San Pedro de Jujuy, 5 de junio8   31089" u="1"/>
        <s v="+ ANTENOR CARDOZO Falleció el 2 de junio de 2008  Papito al etos.Te amamos&quot;.Gabi , Teo ,Ignacio te recuerdan con cariño." u="1"/>
        <s v="GRACIAS SAN EXPEDITO POR LOS FAVORES RECIBIDOS J.CH." u="1"/>
        <s v="DUEÑO ALQUILA DPTOS 1 DORM" u="1"/>
        <s v="CARGAR CUENTA DE WERCHOW MOD 1X3 BYN  + ACOSTA ROQUE" u="1"/>
        <s v="EDICTO  JUZGADO DE PRIMERA INSTANCIA EN LO CIVIL Y COMERCIALtaria.- San Pedro de Jujuy, 11 de setiembre de 20198   30225" u="1"/>
        <s v="ELECTRICIDAD JUJUY ..." u="1"/>
        <s v="AG AGRO GALLEGO  ESP VIRGEN RIO BLANCO" u="1"/>
        <s v="ASOCIACION, CIVIL, SOCIAL, CULTURAL Y DEPORTIVA &quot;FUERTE ESPE.  3-Elección de 2 socios para la firma de Acta. La8    7201" u="1"/>
        <s v="E D I C T O   S U C E S O R I O  === JUZGADO DE PRIMERA INST                === FIRMA HABILITADA: DRA. GABRIELA8   10206" u="1"/>
        <s v="ISJ  RECORDA QUE DURANTE LA FASE I ..." u="1"/>
        <s v="BUSCO EMPLEADA CAMA ADENTRO.   De 30 a 45 años.   Referencia no llamar si no cumple los requisitos.  Cel. 388- 155091957" u="1"/>
        <s v="DIARIO LOCAL EDICTO SUCESORIO JUZGADO DE PRIMERA INSTANCIA E------------------------------------------------------------" u="1"/>
        <s v="FARMACIA SAN CAYETANO  ANIV. B° 9 DE JULIO" u="1"/>
        <s v="EMPRESA DEL RUBRO INMOBILIARIO SOLICITA ADMINISTRATIVA. ·BUEFOTO ACTUALIZADA EN LAMADRID 178 WHATSAPP PDF AL 388 5867279" u="1"/>
        <s v="SOLICITADA SANATORIOS" u="1"/>
        <s v="  GRAL. JUAN DOMINGO PERON  EL Gral Perón ejercía su tercera                                       Angela M.R, de Ponce." u="1"/>
        <s v="CONVOCATORIA ASMBLEA GENERAL ORDINARIA La Comisión Reorganizn la Comisión Reorganizadora. 4- Renovación de Auto8   21139" u="1"/>
        <s v="FARMACIA INTERNACIONAL" u="1"/>
        <s v="GLORIOSO SAN EXPEDITO GRACIAS POR LOS FAVORES RECIBIDOS Y POR TU BONDAD INFINITA.  A.R.C." u="1"/>
        <s v="EDICTO  EN EL EXPTE. Nº D-022545/2020, caratulado: “SUCESORIDRA. MORIANA ABRAHAM M. PRO - SECRETARIA T. J------8  022545" u="1"/>
        <s v="VENDO PLAN TOYOTA Hilux Adjudicado, 34 ctas al dia, $510.000. Escucho Ofertas. Cel 3886862907 (wpp). 388-4876378 4876376" u="1"/>
        <s v="GOBIERNO  FESTIVAL DE CINE" u="1"/>
        <s v="TRAME S.R.L.  SUP. ESP. 23 DE AGOSTO EXODO JUJEÑO" u="1"/>
        <s v="ENRIQUE “QUIQUE” ALEMAN" u="1"/>
        <s v="PARTICULAR VENDE TERRENO en Av Balbin al 600. Cel 3877403735" u="1"/>
        <s v="VENDO TERRENO 15x40, DIQUE La Cienaga, El Carmen. Cel 388-60235038 6023503" u="1"/>
        <s v="PAOLA ....." u="1"/>
        <s v="+ CAYO CLEMENTINA  CARGAR A WERCHOW" u="1"/>
        <s v="RUTA 9 /bonif plan 3x1" u="1"/>
        <s v="Municipalidad Libertador General San MArtín" u="1"/>
        <s v="ALQUILO PLENO CENTRO HABITACION con baño privado. Lavalle 135. Tel. 388-4235071 / 155874729.8 4235071" u="1"/>
        <s v="+ Dr. ANTUNEZ, Daniel Cruz (q.e.p.d.) Falleció el día 17 de  difícil momento, elevando oraciones por su eterno descanso." u="1"/>
        <s v="+ Dr. ANTUNEZ, Daniel Cruz (q.e.p.d.) Falleció el día 17 de difícil momento, elevando oraciones para su eterno descanso." u="1"/>
        <s v="ALQUILO DPTO Bª GORRITI REP. DE LIBANO 259 5 AMIENTES 1er. Piso 2 baños Cocina - comedor Living ,etc. 0388-156128771" u="1"/>
        <s v="PORKMAN - EMPLEADOS DE COMERCIO" u="1"/>
        <s v=" EDICTO SUCESORIO JUZGADO DE PRIMERA INSTANCIA EN LO CIVIL Yagosto de 2020. Dra. María Laura Lopez Pfister . Se8  119685" u="1"/>
        <s v="CIRCULO MUTUAL DE EDUCADORES JUJEÑOS....  /////WORD EN CARPETA DE LA FECHA ////  CON LOGO" u="1"/>
        <s v="FELIPE FIDEL AMANTE (Q.E.P.D) Se durmió en la paz del Señor l cumplirse el 1er mes de su partida al encuentro del Señor." u="1"/>
        <s v="SOLE NAVARRO. GRACIAS SAN EXPEDITO POR LOS FAVORES CONCEDIDOS, Y RECIBE EN TU GLORIA A DON EUSEBIO NAVARRO." u="1"/>
        <s v="+ HORTENSIA GARECA (q.e.p.d.) Falleció el día 2 de octubre ds en su memoria. Que brille para ti la luz que no tiene fin." u="1"/>
        <s v="Escuela Tecnica Herminio Arrieta Instituto De Enseñanza Gral Instituto Ing Herminio Arrieta" u="1"/>
        <s v="ECHENIQUE, María Esther q.e.p.d. Falleció el día 23 de septisu memoria, acompañando a la familia en este triste momento." u="1"/>
        <s v="En cumplimiento de lo dispuesto mediante Resolución Nº 031-SFoschi, Gerencia de Gestión de Riesgos, Sales de Ju8  110126" u="1"/>
        <s v="OSPE  ...." u="1"/>
        <s v="+ ANTONIO OBDULIO LLANES     (Q.E.P.D.) 17-01-1949 / 09-06-2ecordamos, tus hijos, nietos, hijos politicos y tu 7  011949" u="1"/>
        <s v="DUEÑO ALQUILA DEPARTAMENTOS A ESTRENAR. 1 MONOAMBIENTE Y 1 D POSIBILIDAD DE COCHERA. BARRIO BAJO LA VIÑA. CEL 3885127399" u="1"/>
        <s v="DUEÑO ALQUILA DEPARTAMENTOS A ESTRENAR. MONOAMBIENTES Y 1 DO POSIBILIDAD DE COCHERA. BARRIO BAJO LA VIÑA. CEL 3885127399" u="1"/>
        <s v="DUEÑO ALQUILA DEPARTAMENTOS MONOAMBIENTE, 1 Y 2 DORMITORIOS.ALLE JUANA MANUELA GORRITI, CERCA DEL CENTRO. CEL 3885127399" u="1"/>
        <s v="LCB POLARIZADOS" u="1"/>
        <s v="NECESITO SOMMELIER" u="1"/>
        <s v="+ JOSE EDUARDO BURGOS     (q.e.p.d.) Se durmió en la paz delanso de su alma. Que brille para él la luz que no tiene fin." u="1"/>
        <s v="RICARDO  VEGA  KIKA          -          JULITO              stros hijos, hermanos, nietos, bisnietos y demás familiares." u="1"/>
        <s v="PROMO CUARENTENA  CONTADO 20 %" u="1"/>
        <s v="Ferreteria  El Yunque" u="1"/>
        <s v="TROPEA... (publica aqui)" u="1"/>
        <s v="                                                        EDICctos respectivos. San Salvador de Jujuy, 16 de juni8   47506" u="1"/>
        <s v="ALQUILO PLENO CENTRO HABITACION con baño privado, amoblada y sin muebles. Lavalle 135. Tel. 388-4235071 / 155878 4235071" u="1"/>
        <s v="EDICTO El Dr. DIEGO ARMANDO PUCA  Juez de Primera Instancia e Quiebra Pequeña solicitada por Rodrigo Fernando A8  164634" u="1"/>
        <s v="FIAMBRERIA IRENE" u="1"/>
        <s v=" +  PAULINO VEDIA IRUPA       (q.e.p.d.) Se durmió en la pazades Papá!!!. Parte de tu esposa, hijas, nietos y bisnietos." u="1"/>
        <s v="EDICTO SUCESORIO   ===JUZGADO DE PRIMERA INSTANCIA EN LO CIV  9 de Junio de 2020.------------------------------8  126372" u="1"/>
        <s v="+ ALICIA NELLY BOGGIO (q.e.p.d.) Falleció el 8 de octubre de hijo Santiago y demás familiares la recordaran por siempre." u="1"/>
        <s v="RUBEN ARMANDO RIVAROLA" u="1"/>
        <s v="RUBEN EDUARDO RIVAROLA" u="1"/>
        <s v="MUNICIPALIDAD DE PALPALA:.." u="1"/>
        <s v="JUJUY MATERIALES- ESPECIAL FATIMA" u="1"/>
        <s v="+ COLQUI, Julia Antonia (q.e.p.d.) Falleció el día 31 de marrina Gladis y sus hijos Gabriela, Mariana y Federico Siarez." u="1"/>
        <s v="Colegio de Ingenieros DIA DEL INGENIERO AGRÒNOMO" u="1"/>
        <s v="BULONERA SALUZZO" u="1"/>
        <s v="ARANDA EMPANADERIA" u="1"/>
        <s v="FOR EVER PRODUCCIONES" u="1"/>
        <s v="DUEÑO VENDE VENDO FONDO DE COMERCIO BUENA RENTABILIDAD 0388-154963270" u="1"/>
        <s v="EDICTO SUCESORIO  JUZGADO DE PRIMERA INSTANCIA EN LO CIVIL Yma Habilitada  San Salvador de Jujuy, 03 de FEBRERO8  128624" u="1"/>
        <s v="KE LIMPIO" u="1"/>
        <s v="VB Negocios Inmoviliarios" u="1"/>
        <s v=" ESTUDIO JURIDICO LOPEZ SALGADO &amp; ASOC.  Dr. Ing. Guillermo  Penal   Coronel Puch 432- Tel. Fijo 4236414 Cel.388 4236414" u="1"/>
        <s v="+ TOLABA DE AVILA, NIEVES     q.e.p.d. Se durmió en los brazo de su alma y que brille para ella la luz que no tiene fin." u="1"/>
        <s v="El Secretario General del CENTRO DE EMPLEADOS DE COMERCIO DEamiliares. Rogamos elevar oraciones para su eterno descanso." u="1"/>
        <s v="“Adhesion” Contreras SA" u="1"/>
        <s v="EDICTO EL JUZGADO DE PRIMERA INSTANCIA EN LO CIVIL Y COMERCImbre de 2.019.- Prosec. Técnica de Juzgado Dra. LUC8  069805" u="1"/>
        <s v="PACHECO Cristina  Falleció el 16 de Mayo de 2019 Hoy recordaogamos elevar una oración por el eterno descanso de su alma." u="1"/>
        <s v="Tu mamá, tus hermanos, tu cuñado y tus sobrinos.  E D I C T 20, a cargo de la DRA. MARIA CECILIA HANSEN - prose8  161502" u="1"/>
        <s v="UTHGRA  solicitada" u="1"/>
        <s v="GRACIAS GAUCHITO GIL POR LOS FAVORES RECIBDOS.  P.R.C." u="1"/>
        <s v="EDICTO SUCESORIO ----.- JUZGADO  DE PRIMERA INSTANCIA EN LO tario: Dra. Sandra M. Torres Secretaria Habilitada.8  160496" u="1"/>
        <s v="Relojeria y Regaleria Genaro" u="1"/>
        <s v="UNIVERSIDAD NACIONAL DE JUJUY ... ESPECIAL" u="1"/>
        <s v="VENTA TELEFONICA" u="1"/>
        <s v="UTHGRA - tapa suplemento" u="1"/>
        <s v="+ GENOVEVA DEL CARMEN NAVARRO   ///AVISO ARMADO ////" u="1"/>
        <s v="GOBIERNO  AGUA POTABLE..." u="1"/>
        <s v="COMPRO AUTO CON DEUDA innibidos, enbargado, pago mas, voy al interior. 3885963084" u="1"/>
        <s v="XTREME NEUMÁTICOS" u="1"/>
        <s v="DOVIS DIESEL - ESP VIRGEN RIO BLANCO" u="1"/>
        <s v="LAS DEUDAS SE PAGAN PJ....." u="1"/>
        <s v="ALMUERZO TELAM PRESIDENCIA DE LA NACION:...." u="1"/>
        <s v="+ APONTE, Víctor Humberto (q.e.p.d.) Falleció el día 20 de so nos guías y nos cuidas”. Elvira, Esteban, Martín y Víctor." u="1"/>
        <s v="+ MATILDE IBÁÑEZ        q.e.p.d. 08-08-1940 / 04-08-2020  “Ho y se feliz que yo aquí voy a extrañarte”. Tu herm8  081940" u="1"/>
        <s v="INSTITUTO LA MERCED" u="1"/>
        <s v="SERVICIOS HOROSCOPO ...." u="1"/>
        <s v="GOBIERNO DIA DEL ESTUDIANTE - PRIMAVERA..." u="1"/>
        <s v="IMPORTANTE EMPRESA BUSCA Mujer (no excluyente), edad hasta 3rpintería en placa. Enviar datos por Whatsapp al 388 5066663" u="1"/>
        <s v="NGA PREMOLDEADOS" u="1"/>
        <s v="GRACIAS SANTISIMA TRINIDAD POR LOS FAVORES RECIBIDOS M.J." u="1"/>
        <s v="Los Nietos de CArlos Sanchez" u="1"/>
        <s v="+ FERNANDEZ ANTONIO (Gallego)  “VIEJO QUERIDO , hoy hace 32 amigos a elevar oraciones por el eterno descanso de su alma." u="1"/>
        <s v="UNION INDUSTRIAL.comunicado" u="1"/>
        <s v="TUA ROSELLA-DIA DEL PELUQUERO" u="1"/>
        <s v="VALLE DE LOS OLIVOS “SERVICIOS FUNEBRES”  ANIV. SAN CAYETANO" u="1"/>
        <s v="+ SILVIA NORA CALVI DE GALARZA  ( Q.E.P.D)   Se durmio en los brazos del Señor el dia 26 de Julio del 2017." u="1"/>
        <s v="GRACIAS SAN EXPEDITO POR LOS FAVORES RECIBIDOS. N.V.B." u="1"/>
        <s v="TRANSPORTE FUTURO S:A participa con profundo dolor el fallecimiento de la sra. Dionisia Anastasia Mamani........." u="1"/>
        <s v="E D I C T OS JUZGADO DE PRIMERA INSTANCIA EN LO CIVIL Y COMEde Marzo de 2020.-DRA. MARIA CECILIA HANSEN, Prosec8  146705" u="1"/>
        <s v="EDICTO  EN EL EXPTE. Nº D-028737/19 caratulado: “SUCESORIO ATE MÍ: DRA. MORIANA ABRAHAM M. - PRO SECRETARIA S.T8  028737" u="1"/>
        <s v="FE DE ERRATA POR UN ERROR INVOLUNTARIO  la publicacion  DEL L NOMBRE DE LA SRA. MAIZARES SARA ELISA.  Pedimos Disculpas." u="1"/>
        <s v="AVISO ARMADO  FREDY CORONADO" u="1"/>
        <s v="CAÑAS ALQUILA  - PROPIEDAD 2 plantas calle Alvear - Dos ofic Cnel. Arias. Lavalle 261- Of. 5. Tel. 0388-42271328 4227132" u="1"/>
        <s v="CAÑAS VENDE  URGENTE   -Exclusivo Chalet Cdad. de Nieva, salsq. Balcarce. Lavalle 261- Of. 5. Tel. 0388-42271328 4227132" u="1"/>
        <s v="AUTOFARO JUJUY- ANIV. POLICIA DE LA PROVINCIA" u="1"/>
        <s v="RESOLUCIÓN N° 203/2020-SCA  DEL EXPEDIENTE N°1101-72-E-2020 .ar”, conjuntamente con las pruebas que estimen per8    2020" u="1"/>
        <s v="+ LEGUIZAMON de Iriarte, Marta Cecilia (q.e.p.d.) Falleció eitan a elevar una oración por el eterno descanso de su alma." u="1"/>
        <s v="+ MARIO ORLANDO COPA         (q.e.p.d.) Falleció el 27 de mas. Que en paz descanses elevamos nuestras lágrimas al cielo." u="1"/>
        <s v="SERVICIOS HOROSCOPO.." u="1"/>
        <s v="LATITUD SUR" u="1"/>
        <s v="MUNICIPALIDAD DE SAN PEDRO PATRONALES" u="1"/>
        <s v="la camara de empresasa de Salud y Salud Jujuy SRL ...." u="1"/>
        <s v="+ MENENDEZ, MÁXIMO RAUL   q.e.p.d. Falleció el día 20  de juruegan elevar una oración por el eterno descanso de su alma." u="1"/>
        <s v="BOSQUE DE EL CEIBAL" u="1"/>
        <s v="VENDEDOR IMPORTANTE EMPRESA DEL MEDIO SELECCIONARA VENDEDOR - Preferentemente experiencia en materiales de construcción." u="1"/>
        <s v="canal 2 perico....." u="1"/>
        <s v="Rueda Susana Seguros" u="1"/>
        <s v="EL MOLLAR - LA ALMONA" u="1"/>
        <s v="LÒPEZ INMOBILIARIA  ESTAMOS EN TODA LA PROVINCIA  COMPRAS- VACIONES      SUBASTAS AV. SAN MARTIN 26  TEL. 0388 8 4915055" u="1"/>
        <s v="Busco estudiante de 4to y 5to año de ingenieria industrial, para control de stock  Enviar CV al fcarlos1092@gmail.com" u="1"/>
        <s v="Santiago Flores" u="1"/>
        <s v="SERVICIOS HOROSCOPO..." u="1"/>
        <s v="SERVICOS  HOROSCOPO..." u="1"/>
        <s v="TROPEA - VIRGEN DE RIO BLANCO" u="1"/>
        <s v="MUNICIPALIDAD DE MONTERRICO - SAN ISIDRO LABRADOR" u="1"/>
        <s v="JULIO PANERO" u="1"/>
        <s v=" MAMANI, MARIA SALOME" u="1"/>
        <s v="LICENCIADA VANESA PROTEGE A LAS MUJERES MALTRATADAS" u="1"/>
        <s v="NORTE GNC" u="1"/>
        <s v="Carpintería de aluminio y pvc.  Busco oficial carpintero e iiencia en aluminio pvc y vidrio.  Comunicarse al 388 4420645" u="1"/>
        <s v="NORTRADING SRL  DIA DEL EMP. METALURGICO" u="1"/>
        <s v="GNC INSASUSTI" u="1"/>
        <s v="E D I C T O:  JUZGADO DE PRIMERA INSTANCIA EN LO CIVIL Y COMen CINCO DIAS.- SAN SALVADOR DE JUJUY, 12 de JUNIO 8   96152" u="1"/>
        <s v="DERGAM - ESP. MINERIA" u="1"/>
        <s v="jujuy fm  PROGRAMACION .." u="1"/>
        <s v=" EDICTO = = = Juzgado de Primera Instancia Nº2-Secretaria 4,DE MAYO DE 2019.-  = = =DRA. ELISA MARCER  FIRMA HA8  106328" u="1"/>
        <s v="Muni Palpala FERIA MAYORISTA" u="1"/>
        <s v="+ VELIS, MARTA FLORENTINA (q.e.p.d.) Falleció el día 25 de mar una oración para rogar por el eterno descanso de su alma." u="1"/>
        <s v="+ VERONICA REYNAGA  (Q.E.P.D.)  Se durmió en los brazos del na plegaria al Altísimo a por el eterno descanso de su alma." u="1"/>
        <s v="PERICO-PERICO VENDO-CASAS  * Bº J. M. De Rosas Duplex 4D. 2BB. Tratar: Calle 23 de Agosto 295 Perico  Cel. 388-154082595" u="1"/>
        <s v="NECESITO PERSONAL DOMESTICO MASCULINO, para limpieza y manteCon DNI. Tratar -155267471 o en Pémberton 120 - Los Perales." u="1"/>
        <s v="RIO BLANCO .- BOULEVARD" u="1"/>
        <s v="¡ATENCION JUJUY! VENDO 2 TERRENOS  de 25x44mts y 25x54mts Detras de Kolor Tel. 3885040665" u="1"/>
        <s v=" HORMIGON ARMADO, NECESITO Presupuesto de mano de obra para uido vigas. Cel 388-154717333 CLARO / 388-156865888 PERSONAL" u="1"/>
        <s v="SERV: HOROSCOPO......." u="1"/>
        <s v="CENTRO AUTOMOTOR" u="1"/>
        <s v=" + CLAUDINA FERNANDEZ  (q.e.p.d.) Falleció el 5 de septiembry ruegan elevar oraciones por el eterno descanso de su alma." u="1"/>
        <s v="PARRILLADA EL PARADOR 9" u="1"/>
        <s v="DUEÑO VENDE CHEVROLET ONIX LTZ MOD/2013 - 109.500 KM. full - Impecable. $ 540.000. si wtpp. Cel.3885013327" u="1"/>
        <s v="DUEÑO VENDE CHEVROLET ONIX LTZ MOD/2013 - 109.800 KM. full - Impecable. $ 550.000. si wtpp. Cel.3885013327" u="1"/>
        <s v="ESTUDIO GROSSO JUAREZ" u="1"/>
        <s v="VENDO CASA A escriturar en Alto Comedero detras ed la Municipalidad. Recibo auto o camioneta. 388-59730848 5973084" u="1"/>
        <s v="EDICTO SUCESORIO Juzgado de Primera Instancia en lo Civil y cinco (5) días.  San Salvador de Jujuy, 28 de Mayo 8  149919" u="1"/>
        <s v="AMERICA FM" u="1"/>
        <s v="Produgas gnc nafta" u="1"/>
        <s v="DISTRIBUIDORA E.C. RIVAROLA  ANIV. SAN CAYETANO" u="1"/>
        <s v="EL MOJON EMPANADAS (TAPA SUPLE)" u="1"/>
        <s v="EDICTO  EN EL EXPTE. N° C-153209/2019, caratulado: &quot;SUCESORI.) ES COPIA: SAN SALVADOR DE JUJUY, 27 DE DICIEMBRE8  153209" u="1"/>
        <s v="                                            EDICTO SUCESORIOecretaria.- ---SAN SALVADOR DE JUJUY, 13 de Marzo d8  150764" u="1"/>
        <s v="MARTESA TOURS SRL" u="1"/>
        <s v="DISTRIBUIDORA E. C. RIVAROLA.   DIA DEL TRABAJADOR" u="1"/>
        <s v=" + FIDELA GALIAN  q.e.p.d.  Se durmió en la paz del señor elmás familiares y amigos a elevar una plegaria en su memoria." u="1"/>
        <s v="+ ANDRES COLQUEHUANCA Q.E.P.D. Se durmió en los brazos de See recuerdan con mucho dolor. Descansa en Paz querido Andrés." u="1"/>
        <s v="VIAD - ESP MINERIA" u="1"/>
        <s v="MUNI JUJUY - MERCADO MUNICIPAL" u="1"/>
        <s v="+ JUARES, María Soledad (q.e.p.d.) Falleció el día 25 de JunDaiana; tu madre Berta; tus hermanos Gabriela y Aldo Juares." u="1"/>
        <s v="EDICTO SUCESORIO   - - - - - - - - JUZGADO DE PRIMERA INSTAN - -  - -Prosecretaria Dra. Agustina Navarro.- - - 8  160572" u="1"/>
        <s v="GRACIAS SAN JUDAS TADEO POR LOS FAVORES RECIBIDOS M.J." u="1"/>
        <s v="EDICTO CITATORIO  EL DR. J. ARIAS CAU. JUEZ DE LA SALA I DE O-PROSECRETARIA. SAN SALVADOR DE JUJUY, 18 de Mayo 8  057036" u="1"/>
        <s v="GRACIAS VIRGEN DE CHAGUAYA POR LOS FAVORES RECIBIDOS,  POR T PURGATORIO  Y POR LA SALUD DE D.F.D. Y TODA LA FAMILIA C.G." u="1"/>
        <s v="LAVADERO LOS AMIGOS ADHESION EL MOJON..." u="1"/>
        <s v="FIAMBRERIA SAN SANTIAGO  CELEBRACION A LA VIRGEN DE RIO BLANCO Y PAYPAYA" u="1"/>
        <s v="  + ARIAS, BENITO  (Q.E.P.D) Falleció el día 2 de Agosto de ación para rogar por su eterno descanso en el Reino de Dios." u="1"/>
        <s v="PRESTAMOS EN EFECTIVO  CON TODAS LAS TARJETAS DE CREDITO  3 AN MARTIN 647 - LOCAL 1. S.S. DE JUJUY.  Cel. 388- 155965454" u="1"/>
        <s v="+ PEDRO JAIME LOAIZA     (q.e.p.d.)) PAPA: Recordarte en estdía estaremos juntos otra vez. TE AMAMOS TUS HIJOS y NIETOS." u="1"/>
        <s v="+ TOLABA, Juan Pablo (q.e.p.d.) Falleció el día 27 de agosto Gisela y Julio Tolaba y tus hermanas Sonia y Miriam Tolaba." u="1"/>
        <s v="EDICTOS  - - - Juzgado de Primera Instancia en lo Civil y CoN, Secretaria.  San Pedro de Jujuy, 03 de Diciembre8  001654" u="1"/>
        <s v=" DUEÑO ALQUILA DPTO. 2 dorm, 1 er piso con escalera, Mosconi 553. Cel. 0388 -154087359 fijo 4260286, sin Comisi8 4260286" u="1"/>
        <s v="IMPORTANTE INMOB. SELECCIONARA" u="1"/>
        <s v="TENES  PARA INVERTIR ???     $$$$$ Compra hermoso negocio deortantes ganancias. Consultas: gutierrezjosearturo@gmail.com" u="1"/>
        <s v="ATE CENTRO DE JUBILADOS Y PENSIONADOS  DIA DEL JUBILADO" u="1"/>
        <s v="EDICTO ==== El Juzgado de Primera Instancia en lo Civil y Co== Dra. MARIA LAURA LOPEZ PFISTER - SECRETARIA.- - 8  159001" u="1"/>
        <s v="DUEÑO VENDE  Terreno 10x25  en Bella Vista B° Norte.  Cel. 388-42041578 4204157" u="1"/>
        <s v="+ FERNANDEZ, Seferina Leonarda (q.e.p.d.) Falleció el día 27l final de mi vida. Mamita desde el cielo dame tu bendición." u="1"/>
        <s v="MUNIC. S.S. DE JUJUY - PUBLI" u="1"/>
        <s v="FARMACIA SAN CAYETANO  ANIV. CLINICA NTRA. SRA. DE FATIMA." u="1"/>
        <s v="PANIFICADORA GRANADA" u="1"/>
        <s v="VENDO  1 LOTE en El Carril Perico San Antonio sobre ruta 2  Agua y Luz  Tel. Fijo 03888-4211438  421143" u="1"/>
        <s v="(ARMADO) Familia Mancini (Sergio, Hugo, Federico, Gustavo, Pdolor, rogando al Altísimo les de la resignación y consuelo." u="1"/>
        <s v="E  D  I  C  T  O  S - - - La Dra. ALEJANDRA M. L. CABALLERO, - - - - - - - - SAN SALVADOR DE JUJUY, 10 de junio de 2020." u="1"/>
        <s v="GOBIERNO TURISMO ..." u="1"/>
        <s v="FM SOL - PROGRAMACION RIVADAVIA" u="1"/>
        <s v="COLEGIO DE INGENIEROS - DIA DEL CAMINO" u="1"/>
        <s v="+ DIP. NAC. (M.C.) MIGUEL ÁNGEL GIUBERGIA  ( Q.E.P.D.)  Se dl Ángel Giubergia y ruegan elevar una oración en su memoria." u="1"/>
        <s v="AG AGRO GALLEGO - ADHESION 25 DE MAYO" u="1"/>
        <s v="SURAN CROSS HIGHLINE/2013 iMPECABLE. Recibo menor valor. 154103543 - 155207169" u="1"/>
        <s v="ingeniero russo....." u="1"/>
        <s v="+CARLOS ALEJANDRO SCHMERBACH          Q.E.P.D. Fallecio el 9tros, elevaremos una oracion en tu memoria. Descansa en paz." u="1"/>
        <s v="DIA DEL ESCRIBANO COL. DE ESCRIBANOS..." u="1"/>
        <s v="FE DE ERRATA - MINERIA SUSTENTABLE" u="1"/>
        <s v="+SANTILLAN MIGUEL ANGEL   ///AVISO ARMADO ////" u="1"/>
        <s v="VENDO BOLSAS POROTERAS por mayor y menor Perico Cel. 388 57308638 5730863" u="1"/>
        <s v="ALQUIMIA BARBER" u="1"/>
        <s v="SE BUSCA OPTICO/A" u="1"/>
        <s v="ALQUILO DEPARTAMENTO DE CATEGORIA de 2 dorm, sin cochera en edro del Portal 1138,  B°. Cdad de Nieva. Cel 0388-155181765" u="1"/>
        <s v="Gracias Virgen de Urkupiña por los favores recibidos. Norma Cuevas" u="1"/>
        <s v="ASOCIACION CHILENA" u="1"/>
        <s v="GOBIERNO  ADULTOS MAYORES" u="1"/>
        <s v="UNJU - ANIVERSARIO FAC. INGENIERIAS" u="1"/>
        <s v="---------------------EDICTO---------------------------------NTE MÍ: DRA. NATALIA ANDREA SOLETTA  SECRETARIA.---8  031418" u="1"/>
        <s v="EDICTO SUCESORIO  ---El JUZGADO DE PRIMERA INSTANCIA EN LO Cncia.----------------------------------------------8  162594" u="1"/>
        <s v="ELIAS DEPORTES - DIA DEL EMPLEADO DE COMERCIO" u="1"/>
        <s v="+ HUGO CID CONDE  Falleció el 24 de agosto de 2020 Al cumpliel cariño de la gente hacia tu persona y tu hombría de bien!" u="1"/>
        <s v="JORGE SAAVEDRA  Al cumplirse el 1er mes de tu partida a la compañaron y solidarizaron con nosotros ante nuestra pérdida." u="1"/>
        <s v="CANAL 2 PERICO  PROGRAMACION...." u="1"/>
        <s v="DINERO  PRESTAMOS - EMPEÑOS AUTOS Y MOTOS  Cel. 388-5844130 ijo 388- 4232023 ALVEAR 720 De 9 a 13.30 y 17.30 a 8 5844130" u="1"/>
        <s v="EDICTO   Expte. N° C-144699/19, caratulado: PRESCRIPCIÓN ADQbilitado — Ante mí: Dr. Ignacio José Guesalaga - Se8  144699" u="1"/>
        <s v="BUSQUEDA DE PERSONAL SAN PEDRO" u="1"/>
        <s v="ARANDA EMPANADERIA - ESPECIAL DIA DEL TRABAJDOR" u="1"/>
        <s v="INGENIO RIO GRANDE ..." u="1"/>
        <s v="MUNICIPALIDAD DE PALPALÁ  ANIV. SAN CAYETANO" u="1"/>
        <s v="CH MAC SRL" u="1"/>
        <s v="+ NIEVES ROSALIA ALABAR    Q.E.P.D. Falleció el día 22 de agr su fallecimiento y piden elevar una oracion en su memoria." u="1"/>
        <s v="SINDICATO DE OBREROS PANADEROS - PERIODISTAS" u="1"/>
        <s v="BENITEZ HORACIO   WERCHOW" u="1"/>
        <s v="        E D I C T O:  = = = DR. PUCA DIEGO ARMANDO, JUEZ DE S MESES.-  = = = SAN SALVADOR DE JUJUy,16 DE MARZO 8  154830" u="1"/>
        <s v="CARPINTERO Para trabajo en Muebles con Placas  Edad hasta 30dar datos con referencias comprobables a whatsapp 3885066663" u="1"/>
        <s v="COLEGIO DE MARTILLERO" u="1"/>
        <s v="C.P.N CLAUDIA GARCIA M.P. 1433  MONOTRIBUTO - ING. BRUTOS - GOS - CERTIFICACIONES - JUBILACIONES.  CEL. 0388 - 155887979" u="1"/>
        <s v="RIO BLANCO - STO. DOMINGO ..." u="1"/>
        <s v="MUNIC. S.S. DE JUJUY - GRAN MANZANA" u="1"/>
        <s v="DYCAR FEBRERO O KM..." u="1"/>
        <s v="CANAL 2 PROGRAMACION .." u="1"/>
        <s v="CANAL 4 PROGRAMACION .." u="1"/>
        <s v="CANAL 7 PROGRAMACION .." u="1"/>
        <s v="CARGAR CUENTA WERCHO  MOD 1X3 BYN  +COLQUI PAULA ELVIRA" u="1"/>
        <s v="                                                            e.” Adhesión del Centro de Jubilados del Tabaco S.U.E.T.R.A." u="1"/>
        <s v="San Expedito   Gracias por los faovres recibidos  José y Diego" u="1"/>
        <s v="EDICTO - - - -  - -DR. JUAN PABLO CALDERON, JUEZ DE PRIMERA  agosto   de 2020. Dra. AMELIA DEL VALLE FARFAN - S8  145731" u="1"/>
        <s v="EDICTO SUCESORIO  -------JUZGADO DE PRIMERA INSTANCIA EN LO e 2020.- -------Juez de 1° Instancia N° 6 Secretari8  147755" u="1"/>
        <s v="FARMACIA YRIGOYEN" u="1"/>
        <s v="NEUMATONE - EMPLEADO DE COMERCIO" u="1"/>
        <s v="BCRA LIC. CARTERA de CREDITOS TARIFA OFICIAL....." u="1"/>
        <s v="EL MUNDO DEL PLOMERO" u="1"/>
        <s v="BIT CONSULTORA INTEGRAL" u="1"/>
        <s v="EJESA CORTE...." u="1"/>
        <s v="+ VILLARREAL, Roger Misael q.e.p.d. Falleció el día 4 de agoanos políticos, sobrinos. Rogamos una oracion en su memoria." u="1"/>
        <s v="= = = = = = = = = = = EDICTO SUCESORIO  = = = =  =    =  = =ANDA SALAVERON. SAN SALVADOR DE JUJUY, 30 DE ABRIL 8  156133" u="1"/>
        <s v="+ CRISTINA PAOLA ARAMAYO  (Q.E.P.D.)  Se durmió en los brazoanos y sobrinos la viven recordando siempre con una oración." u="1"/>
        <s v="GARELY SACI" u="1"/>
        <s v="CONCEJAL DR. HUGO SOSA  ANIV. B° 9 DE JULIO" u="1"/>
        <s v="SERVICIOS HOROSCOPO...." u="1"/>
        <s v="ISJ ESTIMADO AFILIADO...." u="1"/>
        <s v="+ JAVIER GRAMAJO  ///AVISO ARMADO EN CARPETA DE LA FECHA ////" u="1"/>
        <s v="PELUQUERIA CLUB MONACO." u="1"/>
        <s v="DIOS... PRIMERO  En Jeremias dice en la Biblia, les traeré s, Dios da la vida en abundancia. Proyección  RAÚL BUSTAMANTE" u="1"/>
        <s v="EDICTO SUCESORIO  ---- El Juzgado De Primera Instancia en lo2020.  ----Dra. Valeria Alejandra Bartoletti - Pros8  155125" u="1"/>
        <s v="Importante empresa del medio  busca encargado de sucursal  1ime .  7- Enviar CV con foto actualizada a rrhh@colsasrl.com" u="1"/>
        <s v="Importante empresa del medio  busca encargado de sucursal  1ntes.  8- Enviar CV con foto actualizada a rrhh@colsasrl.com" u="1"/>
        <s v="Importante empresa del medio  busca encargado de sucursal  1yente&quot; 7- Enviar CV con foto actualizada a rrhh@colsasrl.com" u="1"/>
        <s v="+ NIEVES TOLAY  (Q.E.P.D.)  Se durmió en los brazos del Señoaypaya de la ciudad de Palpalá el día 14 del cte. mes y año." u="1"/>
        <s v="+ PABLO QUISPE  (Q.E.P.D.)  Se durmió en los brazos del Señoegan elevar una oración por el eterno descanso de su alma..." u="1"/>
        <s v="ARTEAGA MUÑOZ FIDEL (aviso armado)" u="1"/>
        <s v=" ----------------------------EDICTO-------------------------TE MÍ: DRA. NATALIA ANDREA SOLETTA.- SECRETARIA.---8  032579" u="1"/>
        <s v="PANIFICADORA ALAMEDA" u="1"/>
        <s v="APOYO A COMPAÑERO HAQUIM" u="1"/>
        <s v="UCASAL - POSGRADO comenza en junio" u="1"/>
        <s v="GRACIAS  DIVINO NIÑO   Gracias por la protección de la familia en esta pandemia. Familia Gimenez" u="1"/>
        <s v="SABADO PIZZAS" u="1"/>
        <s v="DUEÑO ALQUILA  Pleno Centro Casa 3 dormitorios, con 1 baño yr: Independencia N° 258  Tel. 0388- 4231292 / 0388-8    0388" u="1"/>
        <s v="CARGAR CUENTA DE WERCHOW MOD 1X3 BYN  + MONICA RIOS" u="1"/>
        <s v="El mundo del plomero  ESP AQUITECT." u="1"/>
        <s v="BUSCO OFICIAL  CARPINTERO para puertas y ventanas de madera Cel. 3884782523." u="1"/>
        <s v="IMP. EMPRESA DEL MEDIO" u="1"/>
        <s v="+ IGNACIO SERAPIO ALVARADO (Q.E.P.D.) Se durmió en la Paz deria y elevar una plegaria por el eterno descanso de su alma." u="1"/>
        <s v="EDICTO  ==========El JUZGADO DE PRIMERA INSTANCIA EN LO CIVIel 2020. ========= Dra. GABRIELA MONTIEL  FIRMA HABILITADA.-" u="1"/>
        <s v="El Consejo Directivo del Colegio de Profesionales del Servic           Atte. CD-CPSSJ San Salvador de Jujuy, 28/08/2020." u="1"/>
        <s v="AG AGRO GALLEGO" u="1"/>
        <s v="PARRILADA EL PARADOR 9 /////AVISO ARMADO////" u="1"/>
        <s v="+ DE LA LASTRA, Teresita del Valle (q.e.p.d.) Hoy el cielo eija política Marta; tus nietos Thiago, Agustina y Valentino." u="1"/>
        <s v="CONVOCATORIA ASAMBLEA GENERAL ORDINARIA  LA ASOCIACION COOPE Milani- Presidente. Sra. Ana Victoria Arnedo - Sec8 7418794" u="1"/>
        <s v="TOLABA, Juan Pablo 27/08/2020 Será muy triste y doloroso no a Señora del Rosario a horas 18.  Por siempre te amaremos!!!" u="1"/>
        <s v="GOBIERNO 9 DE JULIO  DIA DE LA INDEPENDENCIA ..." u="1"/>
        <s v="ELECTROMAT - EMPLEADO DE COMERCIO" u="1"/>
        <s v="INFORME DE PRENSA MUNICIPALIDAD MONTERRICO - abril" u="1"/>
        <s v="CLINICA FATIMA" u="1"/>
        <s v="URGENTE CAMIONETA ISUZU 2.8 D/C. 4x4,2005 Tratar San Martín 108 Perico Tel. 4916-806 Cel. 388 1550095998 4916806" u="1"/>
        <s v="E D I C T O    S   U   C   E   S   O  R   I  O ===== El JuzgERO DEL 2020.-FDO. Dra. MARIA SILVIA MOLINA  PROSEC896079272" u="1"/>
        <s v="Expte. N° C-109774/2018 caratulado: “COBRO DE PESOS POR SERVe se ha dictado la siguiente Providencia: DECRETO D8  109774" u="1"/>
        <s v="EXPTE C.055802 /158  055802" u="1"/>
        <s v="LA GRAN URIONDO  ////AVISO ARMADO////" u="1"/>
        <s v="+ COLQUI, Julia Antonia (q.e.p.d.) Falleció el día 31 de marla amare!!!! Tu hija Verónica que te ama mas allá del sol!!!" u="1"/>
        <s v="//////CON FOTO DE RAMON LUQUE///// SINDICATO DE OBREROS DE Lretario Gral. De la Federación del Papel, Cartón y Químicos." u="1"/>
        <s v="FM SOL - DIA DEL MAESTRO" u="1"/>
        <s v="BOTON SUP. DIA DEL TRABAJADOR" u="1"/>
        <s v="ELENA ARROYO  (q.e.p.d.)  Falleció el día 17 de mayo de 2020ro a la distancia lo recibimos y lo atesoramos para siempre." u="1"/>
        <s v="EL MOJON EMPANADAS" u="1"/>
        <s v="MUNICIPALIDAD DE SAN PEDRO - INFORMACIÓN DE PRENSA MES DE SEPT20" u="1"/>
        <s v="+ DELFIN MAMANI     Q.E.P.D.   Falleció el 23 de setiembre dio de su fallecimiento su esposa, hijos, nietos y bisnietos." u="1"/>
        <s v="+GARCIA, Alcira (q.e.p.d.) Falleció el día 8 de septiembre dvidos. Te amo Viejita. Tu esposo; hijos, nietos y bisnietos." u="1"/>
        <s v="GOBIERNO PACHAMAMA...." u="1"/>
        <s v="OPTICA EL GALLO - exodo jujeño -" u="1"/>
        <s v="SINDICATO DE PANANDEROS INFORMA...." u="1"/>
        <s v="LUCHIN MATERIALES  ANIV. 25 DE MAYO" u="1"/>
        <s v="FARMACIA SAN CAYETANO   CELEBRACION  A LA VIRGEN DE RIO BLANCO Y PAYPAYA" u="1"/>
        <s v="ESCUELA DE FUTBOL COCO ORTIZ  SUPLEMENTO PADRE GOTTIG  ///AVISO ARMADO /////" u="1"/>
        <s v="NICO FIAMBRES" u="1"/>
        <s v="A trece años del centenario  Los Retirados del Servicio Penio de 2020 por el Prefecto ® Mauricio Vilte (Jujuy-Argentina)" u="1"/>
        <s v="Dra. Claudia M. Bianco OTORRINOLARINGOLOGA ADULTOS Independencia N° 1008 Turnos solo por teléfono 0388-48331078   01008" u="1"/>
        <s v="COLEGIO DE INGENIEROS - DIA DEL ODONTOLOGO" u="1"/>
        <s v="BANCO MACRO PEDIDO: 4500078548 HES: 1000187554" u="1"/>
        <s v=" + MARCELO PICHON CORDOBA              (q.e.p.d.) Falleció edo.                              TUS PRIMOS VASQUEZ- CORDOBA" u="1"/>
        <s v="+ PROF. HERMAN C. TOLABA   Q.E.P.D. Falleció el día 29 de sea para toda la eternidad Que brille la luz que no tiene fin." u="1"/>
        <s v="+ LEONARDUZZI, Luis “Gringo” (q.e.p.d.) Falleció el día 17 ds, Guri Matorras, Mechas Castro, Marta Argul y demás amigos." u="1"/>
        <s v="E D I C T O  S U C E S O R I O  = = = JUZGADO DE PRIMERA INSJUEZ HABILITADA-. SECRETARIA: DRA. ADELA FERNANDA S8  149859" u="1"/>
        <s v="VINERIA S.JUAN - DELIVERY" u="1"/>
        <s v="COMPRO TOYOTA HILUX DOBLE CABINA A particular. Sin Intermediarios PAGO DE CONTADO  Cel. 3885240278(Whatsapp)" u="1"/>
        <s v="BLOTTING" u="1"/>
        <s v="LIMSA ANIVERSARIO FATIMA" u="1"/>
        <s v="UN MATE UN CAFE - FM JUJUY" u="1"/>
        <s v="+ NESTOR ANUAR VERA     q.e.p.d. Falleció el día 9 de julio siempre tu esposa, hijos, hijo político, nietos y bisnietos." u="1"/>
        <s v="CONSEJO CS ECONOMICAS - PERIODISTAS" u="1"/>
        <s v="CONVOCATORIA A ASAMBLEA" u="1"/>
        <s v="Dfd repuestos" u="1"/>
        <s v="CONSEJO FARMACEUTICO...." u="1"/>
        <s v=" EVENTO SALIDARIO AVISO ARMADO" u="1"/>
        <s v="Norte Servicios Sociales" u="1"/>
        <s v=" + QUINTANA vda. de Luna Espeche, Noemí del Valle “Mimi” (q.s gusta hacer este frio papel pera va CON TODO NUESTRO AMOR." u="1"/>
        <s v="ARRIENDO 8 HAS Apto para tabaco / Hortalizas. con Riego sinInstal. cercania de perico Cel. 3884215747 / 43058738 4305873" u="1"/>
        <s v="BOTON VIRGEN" u="1"/>
        <s v="UNJU - DIA DEL INGENIERO" u="1"/>
        <s v="PELUQUERIA Que corte!  Estamos de Cumpleaños...venÍ a celebrPrimer Año!!! en este mes 20% de Descuento en Cortes y Color" u="1"/>
        <s v="                               ANA LAURA PASTORE            itud de turnos: Cel. 388-5073068 .  Argañaraz Nº 298 5073068" u="1"/>
        <s v="ALQUILO DEPARTAMENTO DE CATEGORIA de 2 dorm,   en calle Ituzaingo 428 B°. Cdad de Nieva.  Cel 0388-155181765" u="1"/>
        <s v="Constructora Busca Electricista, Plomero, Instalador de Durl llamadas. O enviar CV a: rrhh.empleosconstructora@8    0388" u="1"/>
        <s v="CANAL “2 PERICO" u="1"/>
        <s v="CUPONES" u="1"/>
        <s v="EDICTO   ---“CAMARA CIVIL Y COMERCIAL- SALA SEGUNDA, VOCALÍA días.-  --- SAN SALVADOR DE JUJUY, 11 de Mayo  de 8  017306" u="1"/>
        <s v="COLEGIO DE BIOQUIMICOS esp. ing" u="1"/>
        <s v="AMPERPAG ADHESION .peluquerios..." u="1"/>
        <s v="DROGUERIA FENIX-ANIVERSARIO CLINICA FATIMA" u="1"/>
        <s v="DUEÑA ALQUILA  1 consultorio, 16 Mts 2; planta baja;  Av Fascio 778.-  Cel 388-4173942.-8 4173942" u="1"/>
        <s v="ELECTROSTAR" u="1"/>
        <s v="MUNICIPALIDAD DE PALPALÁ  25 DE MAYO" u="1"/>
        <s v="GOMEZ ROCO" u="1"/>
        <s v="COL. DE ING.  RESOLUCION Nº 03/2020...." u="1"/>
        <s v="MEC DENTAL - WALTER CRUZ M.N.284172 -Protesis en Acrilico y ible. -Agregado de diente y reparaciones.  Cel 388-8  284172" u="1"/>
        <s v="Ospida ESP PERON" u="1"/>
        <s v="BANDY 2- SUP. LA NOCHE" u="1"/>
        <s v="SINDICATO DE PASTELEOS Y AFINES" u="1"/>
        <s v="RESIDENCIAS MEDICAS NUESTRA SERA DE FATIMA" u="1"/>
        <s v="GRACIAS SAN EXPEDITO POR LOS FAVORES RECIBIDOS T.M." u="1"/>
        <s v="+ RODRÍGUEZ, Vilma (q.e.p.d.) Falleció el día 10 de julio deuín; tus bisnietos Narda, Martina, Felipe, Raúl y  bautista." u="1"/>
        <s v="FUNDACION SUMAC JUJUY MUNACUY y GESTORIA DEL AUTOMOTOR Se Trº 269. CEL: 388 4706636.  CURSOS MANDATARIO AUTOMOTOR ONLINE" u="1"/>
        <s v="+ Barriga Pérez Cecilia (q.e.p.d.) Falleció el día 17 de julbel, Irene, Ana María; hijos políticos, nietos y familiares." u="1"/>
        <s v="ALQUILO LOCAL COMERCIAL 4X8, calle Salta entre Balcarce y Necochea llamar 154794298." u="1"/>
        <s v="PORKMAN" u="1"/>
        <s v="CONSORCIO DE RIEGO" u="1"/>
        <s v="AUTOJUJUY...." u="1"/>
        <s v="PARQUE DEL SOLAR" u="1"/>
        <s v="BARRERA SANITARIA...." u="1"/>
        <s v="+ beatriz de los angeles aviso armado" u="1"/>
        <s v="CONCEJO DELIBERANTE - DIA DEL ESTUDIANTE" u="1"/>
        <s v="PEREYRA Marcelo Alejandro Fallecio el 4 de agosto de 2020" u="1"/>
        <s v="PACO M. SANCHEZ (Rubén Daniel) Yo soy la resurrección y la v                                              Presi8    2526" u="1"/>
        <s v="TAWANTINSUYO - JUJUY PARA LOS JUJEÑOS (por publicación borrosa 26 de mayo" u="1"/>
        <s v="COLEGIO DE ENFERMEROS PAG ESP CENTRAL 1" u="1"/>
        <s v="LENARDUZZI AUTOMOTORES" u="1"/>
        <s v="EXPTE C-109.760/18 COBRO DE PESOS POR SERVICIOS TARJETAS DE CREDITO LIMPIZA URBANA LIMSA C/MERILES FRANCO ALFREDO..." u="1"/>
        <s v="Libreria San Martín" u="1"/>
        <s v="TORNERIA SAVIO  ANIV. CLINICA NTRA. SRA. DE FATIMA" u="1"/>
        <s v="RUBEN RIVAROLA - DIA DE LA VIRGEN" u="1"/>
        <s v="GOBIERNO EXODO JUJEÑO...." u="1"/>
        <s v="“Nuestra Señora Virgen de Río Blanco Y Paypaya  Bendice a tuiudad Perico. Rivadavia Nº 201 San Pedrito - S. S. de Jujuy." u="1"/>
        <s v="4 DE  SETIEMBRE  DIA DLE INMIGRANTE   Dr. Carlos Aparici" u="1"/>
        <s v="YUHMAK MODELOS" u="1"/>
        <s v="ISJ GOBIERNO ..." u="1"/>
        <s v="CONVOCATORIA DEL CONSEJO DE ADMINISTRACION A ASAMBLEA GENERA              San Salvador de Jujuy,      de Julio 8   40272" u="1"/>
        <s v="DOVIS DIESEL" u="1"/>
        <s v="PANIFICADORA ALAMEDA PAGINA ESPECIAL" u="1"/>
        <s v="+ CAVADINI, Eduardo Víctor (q.e.p.d.) Falleció el día 30 de a, la militancia y la amistad contigo. Que descanses en paz." u="1"/>
        <s v="------------------------------------EDICTO------------------ar.- Prosecretaria. San Pedro De Jujuy, 04 De Mayo 8 9633623" u="1"/>
        <s v="SOLICITAMOS  Ing. Agrónomo, Ing. Zootecnista  o Técnico en P Jujuy, Capital.  Enviar CV. A agropecuariosrl2011@gmail.com" u="1"/>
        <s v="SERVICIOS FARMACIAS" u="1"/>
        <s v="+ JOSE ALBERTO RUIZ &quot;CACHAMAY&quot; Falleció el día 3 de agosto dÑEROS DE FUTBOL DE VETERANOS DE JUJUY-RESIDENTES DE TILCARA." u="1"/>
        <s v="----------------------------------------------EDICTO--------iérrez. ----San Salvador de Jujuy, 30 de noviembre 8  138299" u="1"/>
        <s v="Construcciones y Metalurgica Ledesma" u="1"/>
        <s v="SAN EXPEDITO GRACIAS POR LOS FAVORES RECIBIDOS.  J.C.E." u="1"/>
        <s v="SERVICIO PENITENCIARIO JUJUY" u="1"/>
        <s v="ELECTROMECANICA SANCHEZ   CELEBRACION A LA VIRGEN DE RIO BLANCO Y PAYPAYA" u="1"/>
        <s v="           --------------------------    E   D   I   C   T  ---------------------------------------------------8  157790" u="1"/>
        <s v="WIDE EVOKE - WIDE UNIQUE... LIC.JUDIT COLINA..." u="1"/>
        <s v="CONVOCATORIA ASAMBLEA GENERAL ORDINARIA La Agrupacion Tradic la misma hora con el mismo Orden del Dia en el mismo lugar." u="1"/>
        <s v="AGUA POTABLE DIA DEL TRABAJADOR SANITARISTAS" u="1"/>
        <s v="CANAL 2 PEPRICO  PROGRAMACION" u="1"/>
        <s v="+ OVANDO JULIO ARTURO (CHINGOLO)   Q.E.P.D. Falleció el 1 deelevan juntos una oración para rogar por su eterno descanso." u="1"/>
        <s v="I.V.U.J.  Gobierno de Jujuy" u="1"/>
        <s v="+PABLO FACUNDO TINTE (q.e.p.d.) Falleció el día 6 de septiemigos participan con profundo dolor y pesar su fallecimiento." u="1"/>
        <s v=" PAG. 29 - 56º aniversario de la mutualidad de circ. de suboficiales ..." u="1"/>
        <s v="EDICTO SUCESORIO  - - - El JUZGADO DE PRIMERA INSTANCIA EN La Nº 5: Dra. GABRIELA MONTIEL  FIRMA HABILITADA de 8  128876" u="1"/>
        <s v="FM SOL INDEPENDENCIA" u="1"/>
        <s v="Megamarket - pagina especial diario + web" u="1"/>
        <s v=" SAN EXPEDITO TE PIDO POR LA SALUD DE ALFREDO.A.V." u="1"/>
        <s v="+ CARMEN MENDEZ (q.e.p.d.) Falleció el día 8 de septiembre dastón, Julio. R. Jerez, Clara Giraldo. Que en paz descanses." u="1"/>
        <s v="VENDO  10 Has en la Almona.  Escritura Inmediata.  Cel. 388-154199168" u="1"/>
        <s v="GLORIOSO SAN EXPEDITO   ///IMAGEN ///  GRACIAS POR LOS FAVORES RECIBIDOS Y POR TU BONDAD INFINITA   O.F.G." u="1"/>
        <s v="               NOTIFICACION POR EDICTO  ===Tribunal de Familda.- ===SAN SALVADOR DE JUJUY,  04    de  Mayo    de  2020.-" u="1"/>
        <s v="CARGAR CUENTA DE WERCHOW  MOD 1X3 BYN  + DIAZ CECILIA" u="1"/>
        <s v=" MARTILLERA LAURA BLANCO   Vendo  excelentes depósitos  en Complejo  Empresarial  Ruta 1 TRATAR: 3884979930" u="1"/>
        <s v="VENDO ECOSPORT (NARANJA) ,2015 Free style, equipada Único Duibre deuda. Escucho Ofertas. Cel 3886862907 (wpp)/ 154876376" u="1"/>
        <s v="VENDO ECOSPORT (NARANJA) sin detalles,2015 Free style, equipibre deuda. Escucho Ofertas. Cel 3886862907 (wpp)/ 154876376" u="1"/>
        <s v="-------------------------------------------------EDICTO SUCERIA BARTOLETTI.-  SAN SALVADOR DE JUJUY 12  DE JUNI802960065" u="1"/>
        <s v="LEONA ALQUILA" u="1"/>
        <s v="EDICTO   SUCESORIO   - - - JUZGADO DE PRIMERA INSTANCIA en l020.- - - - SECRETARIA DRA. ELISA MARCET  FIRMA HAB8  153061" u="1"/>
        <s v="EDICTO SUCESORIO  ==== JUZGADO DE PRIMERA INSTANCIA EN LO CI(5) DIAS.   ==== San Salvador de Jujuy, 16 de MARZO8  155085" u="1"/>
        <s v="VENDO FIAT 147 DIESEL" u="1"/>
        <s v="A.T.E. CENTRO DE JUBILADOS Y PENSIONADOS PALPALÁ.  ANIV. B° BELGRANO" u="1"/>
        <s v="COLEGIO DE KINESIOLOGOS" u="1"/>
        <s v="EDICTO SUCESORIO - - - JUZGADO DE PRIMERA INSTANCIA EN LO CIe MAYO de 2020 - - - Secretaria: Dra. VALERIA A. BA8  154509" u="1"/>
        <s v="GOBIERNO CUANDO PENSAR EN COVID....." u="1"/>
        <s v="ISJ GOBIERNO ESTIMADO AFILIADO ...." u="1"/>
        <s v=" C O N V O C A T O R I A  Cooperativa Telefónica de Perico Ldel cierre del llamado el día 29 de Mayo de 2020 a hs 12:00." u="1"/>
        <s v="ROCA VENDE LOCALES" u="1"/>
        <s v="FOCUS 2005 DIESEL , papeles al día.  Cel. (Personal) 388-58617528 5861752" u="1"/>
        <s v="FELIX CRUZ (aviso armado)" u="1"/>
        <s v="Adriana Domingues  Odontologa" u="1"/>
        <s v="PEÑA DONATO" u="1"/>
        <s v="TEJERINA, Luis (q.e.p.d) Falleció el 15 de Agosto de 2018  “ el eterno descanso de su alma. Tu hermana Balbina Tejerina." u="1"/>
        <s v="+ CISNEROS, Alfredo   Q.E.P.D. Falleció el día 5 de mayo de miliares elevan oraciones por el eterno descanso de su alma." u="1"/>
        <s v="CONCEJAL P.J. FABIAN RODRIGUEZ  ANIV. FALLECIMIENTO DEL GRAL. JOSE DE SAN MARTIN" u="1"/>
        <s v="UOM - DIA DEL METALURGICO" u="1"/>
        <s v="pag. 2 - GOBIERNO  EL FUERTE  TURISMO ..." u="1"/>
        <s v="CAMARA DE EMPRESAS DE SALUD  CONVOCATORIA ASAMBLEA GENERAL ORDINARIA ....." u="1"/>
        <s v="CARGAR CUENTA WERCHO  MOD 1X3 BYN  + SANTOS OMAR" u="1"/>
        <s v="+ ALARCON, Roberto Delfor (q.e.p.d.) Falleció el día 9 de jue su fallecimiento rogamos elevar una oración en su memoria." u="1"/>
        <s v="DUEÑO ALQUILA DPTO" u="1"/>
        <s v="+ HIPOLITO MENDOZA  (Q.E.P.D.)  Se durmió en los brazos del  al Altísimo una plegaria por el eterno descanso de su alma." u="1"/>
        <s v="+AMBROCIO PUCA Falleció el 25 de agosto de 2016       Y pasocio; tus tataranietos Juan  Ignacio, Alan Emanuel y Nahiara." u="1"/>
        <s v="CRILLON" u="1"/>
        <s v="FE DE ERRATA - APPACE" u="1"/>
        <s v="INFORME DE PRENSA MUNICIPALIDAD MONTERRICO - mayo" u="1"/>
        <s v="HOTEL BRISAS MATRIMONIO $ 1.000 . Alte Brown 1157. Tel. 0388-43169138 4316913" u="1"/>
        <s v="COLEGIO DE INGENIEROS - ABOGADOS" u="1"/>
        <s v="Segovia e hijos" u="1"/>
        <s v="VIDEOTEL SRL  ANIV. CLINICA NTRA. SRA. DE FATIMA" u="1"/>
        <s v="+ Rocío Candela Corrales Agüero + Laura Angélica Corrales Agas la luz que no tiene fin. Las recordamos con mucho cariño." u="1"/>
        <s v="ATSA ADHESION" u="1"/>
        <s v="GOBIERNO  TURISMO ..." u="1"/>
        <s v="VETERINARIA IBERA --- DIA DEL ANIMAL  ////AVISO ARMADO EN CARPETA D ELA FECHA ////" u="1"/>
        <s v="COLEGIO DE INGENIEROS - ESCRIBANOS" u="1"/>
        <s v="EDICTO  INSCRIPCIÓN DE MARTILLERO  AUGUSTO FACUNDO NAN D.N.Is en diez (10) días en el Boletín Oficial y un Diar8   25028" u="1"/>
        <s v="EDICTO INSCRIPCION DE MARTILLERO FERNANDO JOSE SANCHEZ D.N.I en diez (10) días en el Boletín Oficial y un Diari8   25028" u="1"/>
        <s v="SEÑOR DE QUILLACAS" u="1"/>
        <s v="CAMARA DEL TABACO . PREPARACION DE SUELO..." u="1"/>
        <s v="EDICTO - - - -  - -DR. JUAN PABLO CALDERON, JUEZ DE PRIMERA n  Secretaria.” San Salvador de Jujuy, 25 de octubre de 2019" u="1"/>
        <s v="SER: FARMACIAS..." u="1"/>
        <s v="METALURGICA  NAVARRO  DIA DEL TRABAJADOR METALURGICO" u="1"/>
        <s v="EDICTO  ====Dra. NORMA BEATRIZ ISSA, Pte. de trámite, en vocRETARIA.-  ====San Salvador de Jujuy, 21  de Mayo d8  116189" u="1"/>
        <s v="EDICTO SUCESORIO JUZGADO DE PRIMERA INSTANCIA EN LO CIVIL Y  12 Dr. MAURO R. DI PIETRO - Secretario de Primera 8  152415" u="1"/>
        <s v="+ NIEVE, Juan Antonio (q.e.p.d.) Falleció el día 23 de agostegan y elevan una oración por el eterno descanso de su alma." u="1"/>
        <s v="CURSOS COCINA VEGETARIANA- PANIFICACIÓN INTEGRAL con salida ga Madariaga Nutricionista, Dietista, MP 081 Cel 388 5877043" u="1"/>
        <s v="EDICTO SUCESORIO -- - - - EL JUZGADO DE PRIMERA INSTANCIA ENFirma habilitada: Dra. MARÍA LAURA LÓPEZ PFISTER-Se8  155439" u="1"/>
        <s v="DR. CORRADO CESAR ADOLFO  MP 2055 Obesidad - Clínica Medica s Necochea Nº 75    Tel 388-4229461  Cel 388-4562998 4229461" u="1"/>
        <s v="ORACION A SAN EXPEDITO Rezar 9 Ave Marías durante 9 días, peblicar este aviso y se cumplirá aunque sea imposible.   V.C." u="1"/>
        <s v="Panaderia  y cafeteria Le Baghette" u="1"/>
        <s v="E  D  I  C  T  O:  - - - DRA. LIS M. VALDECANTOS BERNAL, JUECO DIAS.-  - - - SAN SALVADOR DE JUJUY, 13 DE MAYO 8  119019" u="1"/>
        <s v="AGATA VETERINARIA- DIA DEL VETERINARIO  MODIFICAR HORARIO  *ENTA EL CLOR DEL AVISO ///EJEMPLO EN CARPETA DE LA FECHA ///" u="1"/>
        <s v="CAMARA MINERA - DIA Del periodista" u="1"/>
        <s v="PANIFICADORA LA FAVORITA AVISO ARMADO" u="1"/>
        <s v="CARGAR CUENTA DE WERCHOW MOD 1X3 BYN  + ANTICH DE GIMENEZ" u="1"/>
        <s v="EDICTO INSCRIPCION DE MARTILLERO ANGEL  FACUNDO  QUIROGA  D. en diez (10) días en el Boletín Oficial y un Diari8   10620" u="1"/>
        <s v="COLEGIO DE ARQUITECTOS" u="1"/>
        <s v="Agostini NUEVO ALISOS" u="1"/>
        <s v="COMUNICADO ABOGADOS" u="1"/>
        <s v="CARGAR CUENTA DE WERCHOW MOD 1X3 BYN  + ROMERO GLORIA" u="1"/>
        <s v="Gracias SanExpedito  por Jonas A.C." u="1"/>
        <s v="EJSA VIERNES 10 Y LUNES 13 DE JULIO SOLO ATENDEREMOS ..." u="1"/>
        <s v="ROBERTO DOMANDL (Q.E.P.D.) Falleció el 13/09/20  La familia ñor les conceda paz y consuelo en este momento tan dificil.”" u="1"/>
        <s v="PORKMAN - EXODO JUJEÑO" u="1"/>
        <s v="EMPRESA NECESITA" u="1"/>
        <s v="LUCHIN MATERIALES  ANIV. SAN CAYETANO" u="1"/>
        <s v="MAS PRODUCCION , MAS TRABAJO, MENOS AMGUSTIA DE LA DEUDA..." u="1"/>
        <s v="LAS PIRCAS" u="1"/>
        <s v="ELECTROMAT - DIA DEL CAMINO" u="1"/>
        <s v="CANAL 4 PROGRAMACION ..." u="1"/>
        <s v="CANAL4  PROGRAMACION ..." u="1"/>
        <s v="SUPER VEA" u="1"/>
        <s v="+ AYALA, Enrique Martin (q.e.p.d.) Falleció el día 13 de sepgos piden elevar oraciones para que su alma descanse en paz." u="1"/>
        <s v="EMPLEADA LOS PERALES  todo el día, sepa cocinar. Sueldo en biores escritas.  Entrevista  Senador Pérez 619  de 9 a 12 hs" u="1"/>
        <s v="VINERIA SAN JUAN" u="1"/>
        <s v="RODOLFO BURGOS   WERCHOW" u="1"/>
        <s v="CONVOCATORIA RADIO VISION...." u="1"/>
        <s v="                                                            nuel Prado  y Cristina te recordaremos con amor eternamente." u="1"/>
        <s v="AÑOS LUZ" u="1"/>
        <s v="MUNI JUJUY - DIA  DE LA PRIMAVERA" u="1"/>
        <s v="VENDO CHEVROLET S10, Mod 2000, diesel, con bomba, recibo menor valor Cel. 3885973084" u="1"/>
        <s v="IMPORTANTE EMPRESA CONSTRUCTORA   CHOFER PARA VOLQUETE   ///WORD EN CARPETA DE LA FECHA ////" u="1"/>
        <s v="WV VENTO 2.0 TCI Mod. 2012, manual,  151.000 km reales  excelente estado.  Cel. 388-41486678 4148667" u="1"/>
        <s v="WV VENTO 2.0 TSI Mod. 2012, manual,  151.000 km reales  excelente estado.  Cel. 388-41486678 4148667" u="1"/>
        <s v="GANADOR EL TRIBUNO TV" u="1"/>
        <s v="GRACIAS SAN EXPEDITO POR LOS FAVORES RECIBIDOS.  N.B.V." u="1"/>
        <s v=" ASOCIACIÓN SICILIANA DE JUJUY La Asociación Siciliana de Ju                         Angela M. R. de Ponce  - Presidente" u="1"/>
        <s v="HUGO CONDE - SLDO RUBEN" u="1"/>
        <s v="+ SAINS de Acuña, Ortencia (q.e.p.d.) Falleció el día 13 de ñor Jesús, que brille para Ortencia la luz que no tiene fin!" u="1"/>
        <s v="RUBEN A. RIVAROLA" u="1"/>
        <s v="DUEÑA VENDE 10 HAS o mas en La Almona. Cel 388-154199168" u="1"/>
        <s v="CENTRO EMP. DE COMERCIO - VIRGEN DE RIO BLANCO" u="1"/>
        <s v="ALQUILO MONOAMBIENTE  a 15 mint centro. B° Residencial Tel. 3884251126" u="1"/>
        <s v="+Ing. GUZMÁN, Arturo  (q.e.p.d.)  Falleció el día 8 de junios acompañan en la oración por el eterno descanso de su alma." u="1"/>
        <s v="JOSÉ PEDRO RUEDA q.e.p.d. 26/11/39  20/08/2019 Papito Lindo:a luz de Dios para recibir el abrazo eterno del Padre. Amén." u="1"/>
        <s v="CARNICERIA SAN EXPEDITO OFERTAS DIA DEL PADRE !!!" u="1"/>
        <s v="PICK-UP AMAROK D/C. V6. 3.0L. TDI. 4x4 AT 2017 Tratar: San Martin 108 Perico Tel. 4916-806 Cel. 3881550095998 4916806" u="1"/>
        <s v="GRACIAS SAN JORGE Y SAN EXPEDITO POR LOS FAVORES RECIBIDOS  M.M." u="1"/>
        <s v="+ DR. SCARO CESAR ADRIAN   Q.E.P.D. Falleció el día 10 de seposa. Y rogamos elevar una oración por su eterno descanso. -" u="1"/>
        <s v="IGA - DIA DEL TRABAJADOR" u="1"/>
        <s v="TARJETA NOA - 25 DE MAYO" u="1"/>
        <s v="MUNICIPALIDAD DE PALPALÁ  ANIV.FALLECIMIENTO EVA DUARTE DE PERÓN" u="1"/>
        <s v="- - - - - - - - - - - - - - - - - - - - - - - - - - - EDICTO(5) DIAS.- - - -SAN SALVADOR DE JUJUY, 08 de JUNIO 8  123227" u="1"/>
        <s v="EL CARNAVAL ////AVISO ARMADO EN CARPETA DE LA FECHA////" u="1"/>
        <s v="                                                  EDICTO  EN 2020.- ANTE MI: Dra. LAURA DUASO FERNANDEZ  PROSEC8  158992" u="1"/>
        <s v="VENTA  TELEFONICA....." u="1"/>
        <s v="ALQUILO DPTO 1 dorm, a persona sola en H. Irigoyen 1458. Cel 3887-471959 - 3884290116.7  471959" u="1"/>
        <s v="ALQUILO DPTO 1 dorm, sin expensas, Independencia al 600. Cel 3887-471959 - 3884290116.7  471959" u="1"/>
        <s v="CONEXION SALUD ..." u="1"/>
        <s v="ALQUILO DEPOSITO a estrenar 9x30 mts. B° EL ARENAL CEL. 155289818 - 155000900" u="1"/>
        <s v="Ferreteria El Yunque" u="1"/>
        <s v="////// CON FOTO/////  Proyecto de Emprendimiento Empresarialivel mundial. Solicitar entrevista telefónica al 3875463986." u="1"/>
        <s v=" HORIZONTE DIA  INGENIERO...." u="1"/>
        <s v="PSICOPEDAGOGIA  Lic. DOLORES JUAREZ MENESES * PROBLEMAS DE A FASCIO-Av. Fascio 748 Solicitud de Turnos:(0388) 18    0388" u="1"/>
        <s v="FED. DE OBREROS Y EMPLEADOS DE LA INDUSTRIA DEL PAPEL, CARTOLES 12 /08/2020. MEDIDA 3 COL X 8 MOD.  COLOR UBICACION IAC." u="1"/>
        <s v="Warnes repuestos" u="1"/>
        <s v="CARGAR WERCHOW  + KRUPZKY, JORGE ALBERTO" u="1"/>
        <s v="SATSAID" u="1"/>
        <s v="EDICTOS Ref. Expte. Nº D-011240/15 Caratulado: Sucesorio AB 27 de febrero de 2020. - Dra. Lilian Inés Conde Sec8  011240" u="1"/>
        <s v="RQ VENTA DE CASAS" u="1"/>
        <s v="CAMARA ARG CONSTRUC. DIA DEL CAMINO" u="1"/>
        <s v="E  D  I  C  T  O  S  ----- Dr. JUAN PABLO CALDERON JUEZ del retaria.- SAN SALVADOR DE JUJUY, 28  de Abril de   8  120838" u="1"/>
        <s v="PADRE GOTIC" u="1"/>
        <s v="VENDO CAMION FORD F-14.000 MOD/1998 motor MWM a retirar rect1.000.000 de contado mas pago rectificadora.  WTPP3885814797" u="1"/>
        <s v="BUSQUEDA DE PERSONAL" u="1"/>
        <s v="GOBIERNO INDEP: DE BOLIVIA.." u="1"/>
        <s v="EDICTO JUZGADO DE PRIMERA INSTANCIA EN LO CIVIL Y COMERCIAL 1 de mayo de 2020 Dra. Adela Fernanda Salaveron. Se8  156091" u="1"/>
        <s v="LA AGROTECNICA  PAGINA ESPECIAL" u="1"/>
        <s v="ALQUILO  2 LOCALES COMERCIALES en J.M. Gorriti al 800 (Gorriy Campero 209). Cel 388-5272799 / 388-4101366 de 168 5272799" u="1"/>
        <s v="CLUB SAN JORGE" u="1"/>
        <s v="Los Tilianes Convocatoria a Asamblea Ordinaria" u="1"/>
        <s v="EMPRESA LIDER EN CONSUMO MASIVO BUSCA..." u="1"/>
        <s v="Sindicato de luz y fuerza - adhesion 25 mayo" u="1"/>
        <s v="CONCEJAL FABIAN RODRIGUEZ  ANIV. SAN CAYETANO" u="1"/>
        <s v="LUCHIN  CELEBRACION  A LA VIRGEN DE RIO BLANCO Y PAYPAYA" u="1"/>
        <s v="EDICTOS ---Juzgado de Primera Instancia en lo Civil y Comercde 2020.-------------------------------------------8   33663" u="1"/>
        <s v="SALES DE JUJUY - DIA DEL MEDIO AMBIENTE" u="1"/>
        <s v="+ANTOLINA ZAPANA (q.e.p.d.) Falleció el 10 de Mayo de 2019   y Victorino. MAMITA QUERIDA TE EXTRAÑAREMOS POR SIEMPRE ¡!!" u="1"/>
        <s v="TROPEA..." u="1"/>
        <s v="CAMARA DeL TABACO" u="1"/>
        <s v="PAEZ S.R.L. ESP. VIRGEN DE RIO BLANCO" u="1"/>
        <s v="SOEAIL _ OSPAIL Sindicato del Azucar ingenio Ledesma" u="1"/>
        <s v="UATRE" u="1"/>
        <s v="+   BURGOS JOSE EDUARDO          (q.e.p.d.) Falleció el 8 deAzu, flaco y sus nietos Joaquín y Tadeo nunca  te olvidarán." u="1"/>
        <s v="CONSEJO DE BIOQUIMICOS - AGRADECE" u="1"/>
        <s v="MUNIC. S.S. DE JUJUY - 25 DE MAYO" u="1"/>
        <s v="CONCEJAL FABIAN RODRIGUEZ  ANIV. B° 9 DE JULIO" u="1"/>
        <s v="GOZO Y PAZ   //// AVISO ARMADO EN CARPETA DE LA FECHA////" u="1"/>
        <s v="FARMACIA NUEVA SAGRADA FAMILIA  ANIV. CLINICA NTRA. SRA. DE FATIMA." u="1"/>
        <s v="BIBLIOTECA POPULAR DE SUSQUES Calle Belén esq. Catamarca sinDesignar dos socios para firmar el acta.  Comisión Directiva" u="1"/>
        <s v="BIBLIOTECA POPULAR  BARTOLOME MITRE Convocatoria a Asamblea ncha Giménez Presidente Nota: modalidad de elección: virtual" u="1"/>
        <s v="EXPTE C 066 916 / 168  066916" u="1"/>
        <s v="DENTAL RED" u="1"/>
        <s v="VENTA TELEFONICA....." u="1"/>
        <s v="MARIA MARGARITA ALVAREZ  saluda a fonoaudialogos" u="1"/>
        <s v="QUIMICA SAN MARINO  ANIV. CLINICA NTRA. SRA. DE FATIMA" u="1"/>
        <s v="MINERA AGUILAR - DIA DE LA MINERIA" u="1"/>
        <s v="CLINICA NTRA. SRA. DE FATIMA  ANIVERSARIO" u="1"/>
        <s v="MUNICIPALIDAD DE PALPALÁ  ANIV. CLINICA NTRA. SRA. DE FATIMA" u="1"/>
        <s v="E  D  I  C  T  O:  - - - DRA. LIS M. VALDECANTOS BERNAL, JUENCO DIAS.- - - -SAN SALVADOR DE JUJUY,    de Marzo 8  141675" u="1"/>
        <s v="POLLO COQUETO ////AVISO A MODIFICAR///" u="1"/>
        <s v="CANAL4.." u="1"/>
        <s v="PANADERIA SANTO ANTONIO - patronales del carmen" u="1"/>
        <s v="EDICTO SUCESORIO JUZGADO DE PRIMERA INSTANCIA EN LO CIVIL Y  de marzo de 2020. Dra. Amelia del Valle Farfán. Se8  155445" u="1"/>
        <s v="SITRAVIP  - DIA DEL CAMINO" u="1"/>
        <s v="CONCEJO DELIBERANTE" u="1"/>
        <s v="GOBIERNO SERENATA..." u="1"/>
        <s v="FM SOL - 1° mayo trabajador" u="1"/>
        <s v="AGROVET. DON BARTOLOME-DIA DEL ANIMAL" u="1"/>
        <s v="VENDO  ALCOHOL ETÍLICO  de 96° por mayor y menor  3873625450  Mje. Llamadas y Whatsapp" u="1"/>
        <s v="- - - - - - - - - - - - - - - - - - - - EDICTO - - - - - - -CO DIAS.-  ---SAN SALVADOR DE JUJUY, 26 de FEBRERO 8  078965" u="1"/>
        <s v="- EDICTO SUCESORIO - - - - JUZGADO DE PRIMERA INSTANCIA EN L- - - - SAN SALVADOR DE JUJUY, 10 DE DICIEMBRE DE 28  150639" u="1"/>
        <s v="ELECTROMAT ESP ARQ." u="1"/>
        <s v="PROMOCIO 1979 COLEGIO DEL SALVADOR   SUPLEMENTO PADRE GOTTIG  ///AVISO ARMADO /////" u="1"/>
        <s v="-------------------------------------------E   D   I   C   T - Dra. Lucia Frías. Prosecretaria-----------------8  152828" u="1"/>
        <s v="OPTICA EL GALLO - DIA DEL PADRE" u="1"/>
        <s v="VENDO TERRENOS En B° Los Perales  10x30 y 10x40 Excelente ubción. Cel. 388-4331981        388-5850554        388 4331981" u="1"/>
        <s v="MUNI JUJUY - DIA DE LA JUVENTUD" u="1"/>
        <s v="PROBLEMAS DE SALUD..." u="1"/>
        <s v="CJES DR. CARLOS ALBERTO LUCERO" u="1"/>
        <s v="la casa del riego - ADHESION 25 DE MAYO" u="1"/>
        <s v="PERICO  VENDO 2 TERRENOS juntos 10x25 c/u. Bº Municipal. Recibo camioneta C/D. 4x4  Cel. 388 154084933154084933" u="1"/>
        <s v="CONSEJO DE CIENCIAS ECONOMICAS" u="1"/>
        <s v="CONSEJO PROF DE Cs. Economicas" u="1"/>
        <s v="+ COCA, Marta Noemí     q.e.p.d. Falleció el día 9 de agostoe para siempre el amor que diste a los que rodearon tu vida." u="1"/>
        <s v="+ HÉCTOR CLAUDIO BRU    Falleció el día 10 de junio de 2019 ísimo elevar una oración para el eterno descanso de su alma." u="1"/>
        <s v="+ RITA GABRIELA ALGAÑARAZ  (Q.E.P.D.)  Se durmio en los brazos del Señor el dia 24de Junio del 2020." u="1"/>
        <s v="CONVOCATORIA A ASAMBLEA ORDINARIA DEL COLEGIO DE TECNICOS DE. EUGENIO LOPEZ M.M.O. RAUL E. VEGA Prosecretario P8   01700" u="1"/>
        <s v="+LUCIA MENDEZ DE ARAMAYO (AVISO ARMADO)" u="1"/>
        <s v="CONVOCATORIA ASAMBLEA CLUB SOCIAL, CULTURAL Y DEPORTIVO CHACriodos correspondientes según Estatuto.   Comision 8   06828" u="1"/>
        <s v="PERICO DUEÑO VENDE CASA Bº 20 de Junio Comedor amplio, Liv. 3 Dorm. Ubicación exclusiva. Tel. fijo 388 4911634 8 4915494" u="1"/>
        <s v="VILLANUEVA 14 ANIVERSARIO" u="1"/>
        <s v="VENDO TOYOTA HILUX SRX doble cabina AT, 2017 4x4 primera mano.  Cel. 3885801643" u="1"/>
        <s v=" EJESA CORTE..." u="1"/>
        <s v="NEGRO PEREYRA NATALICIO DE EVA" u="1"/>
        <s v="DRA. MONICA RODRIGUEZ ABOGADA Divorcios  Alimentos  Reg. Comjuicios Pje. Ernesto Claro esq. Martiarena  Cel. 388 4782830" u="1"/>
        <s v="FUNDACION LOGOSOFICA" u="1"/>
        <s v="CORRALON EL MERCADO" u="1"/>
        <s v="VENDO GOL TREND PACK 1" u="1"/>
        <s v="UNJU - ANIVERSARIO HUMANIDADES" u="1"/>
        <s v="+ DOMINGUEZ ROSARIO DEL VALLE  Falleció el día 26 de octubre hijos Jimena y José; Tus nietos Mariano Santiago y Victoria" u="1"/>
        <s v="EMPRESA CONSTRUCTORA NECESITA 1- OFICIAL MECANICO : especialreferencias comprobables. Enviar CV a : empleoenjujuy19@.com" u="1"/>
        <s v="centro de empleados de comercio" u="1"/>
        <s v="INFORMACIÓN DE PRENSA MES DE MAYO 2020" u="1"/>
        <s v="ALQUILO HERMOSO SALON c/jardín en Los Perales El Carnaval 75 esq. El Naranjero Tel. 03884988269" u="1"/>
        <s v="FACAR" u="1"/>
        <s v="Agostini BOULEVARD" u="1"/>
        <s v="Pucará S.A. Convocatoria a Asamblea Ordinaria" u="1"/>
        <s v="  E D I C T O  JUZGADO DE PRIMERA INSTANCIA EN LO CIVIL Y CO- - - - - - - - -  SANSALVADOR DE JUJUY, 29 DE JULIO DE 2020" u="1"/>
        <s v="EDICTO JUDICIAL EXPTE N 306.327/10" u="1"/>
        <s v="                                                PERICO + CLAa Calvo te recordamos y recordaremos siempre con mucho  amor" u="1"/>
        <s v="CLUB GIMNASIA Y ESG" u="1"/>
        <s v="SIND. OBRAS SANITARIAS..." u="1"/>
        <s v="COLEGIO DE FISIOTERAPEUTAS" u="1"/>
        <s v="GRACIAS SAN EXPEDITO Por los Favores Recibidos M.R.M" u="1"/>
        <s v="URGENTE CAMIONETA ISUZU 2.8 D/C. 4x4 2005 Tratar San Martín 108 Tel. 4916806 Cel. 388 1550095998 4916806" u="1"/>
        <s v="                                                            ruegan elevar una oración por el eterno descanso de su alma." u="1"/>
        <s v="                                                            uisiana y Lucas ruegan  a Dios por la paz eterna de su alma." u="1"/>
        <s v="          SANTOS “TUCO” PEÑARRIETA            (q.e.p.d.) Fal Alto Comedero para rogar por el eterno descanso de su alma." u="1"/>
        <s v="       + VILCA SATURNINA            Q. E. P. D.     11/12/19evar oraciones para rogar por el eterno descanso de su alma." u="1"/>
        <s v="VINERIA S.JUAN -" u="1"/>
        <s v="2- JUJUY PARA JUJEÑOS" u="1"/>
        <s v="&quot;Imp. empresa busca Analista de Riesgo Crediticio. Req. n/exlidad horaria full time. Enviar CV a:cvbusquedacv@gmail.com&quot;" u="1"/>
        <s v="En el día del  maestro a mis queridos alumnos  lo primero quto “A Y B”COLEGIO FASTA SAN ALBERTO MAGNO. Señorita Fernanda" u="1"/>
        <s v="Libertador  Dionisia Cazón “Petrona” QEPD Se durmió en la pae nos dejaste....... Tu recuerdo vive en nuestros corazones." u="1"/>
        <s v="SEMANA DE LA LACTANCIA" u="1"/>
        <s v="INMOBILIARIA BARCENA VENDE (LOGO)  ULTIMOS  9 LOTES 10 X 25 SANTO DOMINGO - PERICO FINANCIACION PROPIA" u="1"/>
        <s v="CENTRO DE REHABILITACIÓN “DR. VICENTE ARROYABE” LLAMADO AL Cº 45 - CORONEL ARIAS - DPTO. EL CARMEN - PROVINCIA DE JUJUY." u="1"/>
        <s v="PROYECTO DE GASNOR SEGÚN RESOLUCION ENARGAS I/910/09  1- NOMtir de la entrega inicial.   8- FINANCIAMIENTO: Sin Interés." u="1"/>
        <s v="CUBIERTAS Y LLANTAS ORIGINALES PUEYRREDON" u="1"/>
        <s v="Panaderia Acosta" u="1"/>
        <s v="EMPRESA SOLICITA EMPLEADO PARA RRHH" u="1"/>
        <s v="GOBIERNO LAVATE LAS MANOS ." u="1"/>
        <s v="CLINICA NUESTRA SRA. DE FATIMA...  dia de la enferneria" u="1"/>
        <s v="ALIMENTOS DE ARGENTINA" u="1"/>
        <s v="VENDO TOYOTA HILUX 4x4, doble cabina, Mod 2018, primera mano, buen estado. Cel 388 -5801643 / 388-58016448 5801643" u="1"/>
        <s v="EDICTO En el Expte. N° D-031569/19, caratulado: &quot;SUCESORIO A DE 2019. ANTE MÍ: DRA. NATALIA ANDREA SOLETTA — SE8  031569" u="1"/>
        <s v="SUBTE - VIRGEN RIO BLANCO" u="1"/>
        <s v="ALQUILO LOCAL 14 mtr2 Frente shopping Belgrano 566 ideal Oficina  Cel. 3885138133  3884879937.884879937" u="1"/>
        <s v="CREDIS.   SELECCIONARA: COBRADOR   Con movilidad propia.   Pentrevistas comunicarse al: Cel. 388- 156821109 / 155843026." u="1"/>
        <s v="TRANSPORTE EVELIA ..." u="1"/>
        <s v="INFORMACIÓN DE PRENSA MES DE ABRIL 2020" u="1"/>
        <s v=" EXPTE. C-154867/2020 - - - - - - - - ======================UY,      09    DE    MARZO   DEL 2020. - - - - - - 8  154867" u="1"/>
        <s v="LOPEZ PIERRI FARMACIA..." u="1"/>
        <s v="CTJ COOP. DE TABACALEROS COMUNICADO" u="1"/>
        <s v="JUNTA ELECTORAL “SUSPENSIÓN DEL PROCESO Y ACTO ELECTORAL 202                                                      SOEAIL" u="1"/>
        <s v="MUNICIPALIDAD DE SAN PEDRO - dia del trabajador" u="1"/>
        <s v="Panaderia Le Baghette" u="1"/>
        <s v="AVISO 2 - PAG ESP. DIA DEL ING AGRON." u="1"/>
        <s v="OSPIDA" u="1"/>
        <s v="EL TERROR DE LOS INFIELES CHAMAN FRANCISCO Y  VANESA" u="1"/>
        <s v="GRACIAS SAN EXPEDITO  POR LOS FAVORES RECIBIDOS C.G.R.O." u="1"/>
        <s v="Caruso seguros - dia de la Policia" u="1"/>
        <s v="ALQUILO DEPARTAMENTO  DE CATEGORIA de 2 dorm,C/cochera en calle  Ituzaingo 428,  B°. Cdad de Nieva. Cel 0388-155181765" u="1"/>
        <s v="VENDO VW VENTO Luxuri 2.5 2012 Impecable. Cel. 388 154097483" u="1"/>
        <s v="EDICTOS ---JUZGADO DE PRIMERA INSTANCIA EN LO CIVIL Y COMERC--SAN SALVADOR DE JUJUY, 21 DE JULIO DE 2020-------8   35933" u="1"/>
        <s v="4- JUJUY PARA JUJEÑOS" u="1"/>
        <s v="COVERGENCIA ROBOT DESINFECCION" u="1"/>
        <s v="SUPERMERCADO NORTE - ADHESION SAN CAYETANO" u="1"/>
        <s v="BINGO LOBO ..." u="1"/>
        <s v="MARMOLERIA SYMAR" u="1"/>
        <s v=" JOSE MADDALLENO       Martillero Judicial  M.P. Nº 50  JUDIMayo de 2.020.- Dra. CAROLINA FRIAS - Secretaria.- 8  126736" u="1"/>
        <s v=" PROYECCIÓN RAÚL BUSTAMANTE En JUJUY el virus Covid 19 ya nobuela de 94 años de la provincia de Chubut, venció  el virus" u="1"/>
        <s v="CIN _ UNJU ......" u="1"/>
        <s v="pag. 4- GOBIERNO SAN JUAN DE OROS TURISMO ..." u="1"/>
        <s v="+ DOFFO, Jorge Nelson (q.e.p.d.) Falleció el día 5 de junio José, Víctor e Iris ruegan elevar una oración en su memoria." u="1"/>
        <s v="+ DORA TORRES   (q.e.p.d.) Falleció el 19 de julio de 2010 M hijos, nietos, y familia. Ruegan una oración en su memoria." u="1"/>
        <s v="AVANZAR ////CUPON ARMADO/////" u="1"/>
        <s v=" ----------------------------------------------------EDICTO-ativa.- ES COPIA.  ...San Pedro de Jujuy, 19 de feb8  021266" u="1"/>
        <s v="CONVOCATORIA SANCOR" u="1"/>
        <s v="SANATORIO Y CLINICA LAVALLE" u="1"/>
        <s v="GOBIERNO COVID 19" u="1"/>
        <s v="UOM - dia del trabajador" u="1"/>
        <s v="GRACIAS SAN EXPEDITO POR LOS FAVORES RECIBIDOS  C.A.A." u="1"/>
        <s v="ANIVERSARIO DE CLINICA DLE NIÑO Y RECIEN NACIDO...." u="1"/>
        <s v="NUEVO ALISOS" u="1"/>
        <s v="ASOCIACION JUDICIAL" u="1"/>
        <s v="COOP.NORTE AADHESION PELUQUEROS..." u="1"/>
        <s v="SERVICIOS FARMACIAS...." u="1"/>
        <s v="EMPRESA CONSTRUCTORA Incorpora  Ing. Civil o Arquitecto" u="1"/>
        <s v="LUIS ALBERTO MONASTERIO    (q.e.p.d.) 23/07/1955   - 14/09/2. Ruegan elevar oraciones por el eterno descanso de su alma." u="1"/>
        <s v="MUNI JUJUY - lic01/ I / 2020" u="1"/>
        <s v="EDICTO SAN PEDRO" u="1"/>
        <s v="SEPELIOS SAN JOSE S.R.L.  SERVICIOS SOCIALES" u="1"/>
        <s v="+ SLY, Beatriz de los Ángeles (q.e.p.d.) Falleció el día 30 Ruegan elevar una oración por el eterno descanso de tu alma." u="1"/>
        <s v="+ ALARCON, Roberto (q.e.p.d.) Falleció el día 19 de julio desu Gloria. Eternamente en nuestro corazóntus hijos y nietos." u="1"/>
        <s v="EDICTO SUCESORIO .-.-.-.-JUZGADO DE PRIMERA INSTANCIA EN LO ----Secretario: Dra. Sandra M. Torres-Secretaria Ha8  161017" u="1"/>
        <s v="6- JUJUY PARA JUJEÑOS" u="1"/>
        <s v="CONSEJO PROF. DE CS ECON" u="1"/>
        <s v="MAXICONSUMO OFERTAS..." u="1"/>
        <s v="EDICTO SUCESORIO JUZGADO DE PRIMERA INSTANCIA EN LO CIVIL Y e febrero de 2020. Dra. Amelia del Valle Farfàn. Se8   17864" u="1"/>
        <s v="+ MANUEL FRANCISCO RIVAS  Falleció el dia 24 de julio de 201ier y sus nietos Karina, Valentina, Aldana, Belén y Luzmila." u="1"/>
        <s v="VENDO HILUX SW4, Mod 2013, caja autom, cuero, impecable estado, 70.000 km, unica dueño. Cel 388-49688118 4968811" u="1"/>
        <s v="PROMO CLASIFICADOS" u="1"/>
        <s v="TARJETA NOA - ANIVERSARIO CLINICA" u="1"/>
        <s v="+ JAIME DAMIAN ZAPATA  (Q.E.P.D)  Se durmió en la paz del Seorazones. Descansa en paz hermanito Carlos Zapata y familia." u="1"/>
        <s v="Dpto. de Valle Grande + CRUZ de Urbina, Dionisia (q.e.p.d.) no te olvidan, tus hijos Reina Luz, Gastón y Gustavo Urbina." u="1"/>
        <s v="B° CHIJRA, vendo casa  a 50 mtrs de la Policia  Cel.0388-154078693  Martillero Salazar" u="1"/>
        <s v="CARGAR CUENTA WERCHOW  MOD 1X3 BYN  + RIOS ISABEL" u="1"/>
        <s v=" + JOSÉ SATURNINO BURGOS  (q.e.p.d)  23 de julio de 2020  Amanso.  “SIEMPRE VIVIRÁS  EN NUESTROS CORAZONES”  ¡TE AMAMOS!" u="1"/>
        <s v="+  BAZAN, RENE RAIMUNDO   q.e.p.d. Se durmió en los brazos dres te recordaremos y siempre estarás en nuestros corazones." u="1"/>
        <s v="LEONA VENDE" u="1"/>
        <s v="LIC.PUB. N 04-2020 MINISTERIO DE  DES. SOCIAL" u="1"/>
        <s v="+ CRUZ, Bonifacio (q.e.p.d.)  Falleció el día 16 de mayo de  año que partiste pero estás en los recuerdos. Familia Luna." u="1"/>
        <s v="EDICTOS Ref. Expte. Nº 033669/2020, caratulado: Sucesorio Ab 21 de agosto de 2020.- Dra. Lilian Inés Conde  Sec8  033669" u="1"/>
        <s v="SALES DE JUJUY - DIA DE LA INDUSTRIA" u="1"/>
        <s v="MARIA EVA  DUARTE DE PERON 7  de Mayo 1919- 7 de Mayo 2020                                           MILITANTE PERONISTA" u="1"/>
        <s v="VENDO FIAT PALIO 2016 IMPECABLE 3887471148" u="1"/>
        <s v="EDICTO SUCESORIO --- EL JUZGADO DE PRIMERA INSTANCIA EN LO CCRETARIA N° 12: DRA. ADELA FERNANDA SALAVERON - SEC8  154553" u="1"/>
        <s v="El COLEGIO PROFESIONAL DE PSICOLOGOS DE JUJUY, en el Expte.  Jujuy. Ante mí: Lic. GABRIELA CAROLINA TOCONAS- Secretaria." u="1"/>
        <s v="ADRIAN MERCADO REMATE" u="1"/>
        <s v="+ YOLANDA F. CRUZ   q.e.p.d. Falleció el 12 de junio 2019 “E nietos y hermanas rogamos elevar una oración en tu memoria." u="1"/>
        <s v="BANCO MACRO" u="1"/>
        <s v="LA RIVERA" u="1"/>
        <s v="SOCEIDAD ITALIANA...DIA DEL INMIGRANTE" u="1"/>
        <s v="ANSES - IFE" u="1"/>
        <s v="ESPECIAL EVEX" u="1"/>
        <s v="ESTUDIO JURIDICO LOPEZ SALGADO &amp; ASOC.  Dr.Ing. Guillermo Lóimentos. Coronel Puch 432- Tel. Fijo 4236414 Cel.388 4236414" u="1"/>
        <s v="ESTUDIO JURIDICO LOPEZ SALGADO &amp; ASOC.  Dr.Ing. Guillermo Lómercial  Coronel Puch 432- Tel. Fijo 4236414 Cel.388 4236414" u="1"/>
        <s v="ESTUDIO JURIDICO LOPEZ SALGADO &amp; ASOCIADOS  Dr.Ing. GuillermPenal... Coronel Puch 432- Tel. Fijo 4236414 Cel.388 4236414" u="1"/>
        <s v=" MARTILLERA LAURA BLANCO   POR RAZONES DE VIAJE SE VENDE HECTAREAS EN LA ALMONA Y SAN ANTONIO TRATAR: 3884979930" u="1"/>
        <s v="Ana carolina Dominguez Anuahuati ESCRIBANA" u="1"/>
        <s v="NEUMATONE ..." u="1"/>
        <s v="SErRVICIOS HOROSCOPO..." u="1"/>
        <s v="M&amp;M SEGUROS  ANIV. SAN CAYETANO" u="1"/>
        <s v="AGUA POTABLE Y SANEAMIENTO LIC. PUB. 03-2020" u="1"/>
        <s v="ATENCION INSCRIPCIONES ABIERTAS FUNDACION SUMAC ..." u="1"/>
        <s v="Municipalidad de Libertador Gemneral San Martín" u="1"/>
        <s v="CONCEJAL P.J. DR. HUGO SOSA  CELEBRACION A LA VIRGEN DE RIO BLANCO Y PAYPAYA" u="1"/>
        <s v="BRISAS HOTEL SINGLE 800 doble....1300  Alte. Brown 1157 Tel. 43169138 4316913" u="1"/>
        <s v="EDICTO  INSCRIPCION DE MARTILLERO  EDUARDO ANDRES ORTIZ DNI veces en 10 dias en el Boletin Oficial y en un Diar8  025028" u="1"/>
        <s v="EDICTO INSCRIPCION DE MARTILLERO LUZ MELINA CASTILLO, D.N.I.ces en diez (10) dí4e el Boletín Oficial y un Diari8  025028" u="1"/>
        <s v="EDICTO INSCRIPCIÓN DE MARTILLERO  CECILIA ANDREA LÓPEZ D.N.I local  SAN SALVADOR DE JUJUY, 19  de SEPTIEMBRE  d8  025028" u="1"/>
        <s v="EDICTO. INSCRIPCION DE MARTILLERO.  EDUARDO MATIAS FERNANDEZ) veces en diez (10) días en el Boletín y un Diario8  025028" u="1"/>
        <s v="EDICTO. INSCRIPCION DE MARTILLERO.  SANDRA SALOME VAZQUEZ D.) veces en diez (10) días en el Boletín y un Diario8  025028" u="1"/>
        <s v="EDICTO. INSCRIPCION DE MARTILLERO. CARINA EMILCE GEREZ D.N.I) veces en diez (10) días en el Boletín y un Diario8  025028" u="1"/>
        <s v="EDICTOINSCRIPCION DE MARTILLERO GONZALO DAVID CARDOZO D.N.I: en diez (10) dias en el Boletin Oficial y un Diari8  025028" u="1"/>
        <s v="GOBIERNO VALORES BELGRANIANOS..." u="1"/>
        <s v="HAFID" u="1"/>
        <s v="SALES DE JUJUY - DIA DE LA MINERIA" u="1"/>
        <s v="POLLO COQUETO  /// AVISO ARMADO EN CARPETA DE LA FECHA////" u="1"/>
        <s v="MUNI MONTERRICO" u="1"/>
        <s v="E  D  I  C  T  O:  = = = DR. JUAN PABLO CALDERON, Juez de Pr días.-  = = = San Salvador de Jujuy, 16 de Junio d8 0136863" u="1"/>
        <s v="EDICTOS  --- Juzgado de Primera Instancia en lo Civil y Comebrero de 2.020-------------------------------------8  031563" u="1"/>
        <s v="TELECOM - MI NEGOCIO PERSONAL" u="1"/>
        <s v="CLINICA NTRA. SRA. DE FATIMA  ANIV. SAN CAYETANO" u="1"/>
        <s v="GUIA DELIVERY" u="1"/>
        <s v="VENDO CHEVROLET C 10  mod 69 restaurada a nueva  excelente e0 mil. Escucho ofertas a lado de la camioneta Cel 3884148667" u="1"/>
        <s v="SE BUSCA COMMUNITY MANAGER/DISEÑADOR GRAFICO MANDAR CV POR MAIL A rrhh.personal.2018.2019@gmail.com" u="1"/>
        <s v="VETERINARIA AGATA-DIA DEL ANIMAL" u="1"/>
        <s v="FRIGORIFICO MEALLA" u="1"/>
        <s v="-- - - - - - - - - - - - - - - - - - - - - - - - - - EDICTO ) DIAS.- - - -San Salvador de Jujuy,  06  de MARZO 8  123226" u="1"/>
        <s v="SUSANA RUEDA  productor de seguros" u="1"/>
        <s v="COLEGIO DE MARTILLERO ADHSION..." u="1"/>
        <s v="Alberto Aparicio Papa sé que siempre podemos contar contigo Andrea, Carolina, Gimena, tus nietos Nacho, Leo, Juli y Fran" u="1"/>
        <s v="ASOCIAC. DE SANMARINENSES" u="1"/>
        <s v="BANCO MACRO PEDIDO: 4500078548 HES: 1000155691" u="1"/>
        <s v="MARINARO  ANIV. SAN CAYETANO" u="1"/>
        <s v="GOBIERNO COVID...." u="1"/>
        <s v="LIC:PUB: 05-2020 Ministerio de DEsarrollo social gobierno de jujuy..." u="1"/>
        <s v="PANADERÍA PRONTO" u="1"/>
        <s v="MUJERES EN SORORIDAD" u="1"/>
        <s v="CORRALON EL MERCADO - ESP ING" u="1"/>
        <s v="JUJUY MATERIALES - DIA DE LA INDUSTRIA" u="1"/>
        <s v="+ BIANCO, LUCIO GUIDO 16/07/18  26/07/20 “Nuestro corazón neerdan con cariño su esposa, hijos, hijos políticos 8   10620" u="1"/>
        <s v="INMOBILIARIA BARCENA VENDE (LOGO)  LOTEO PILAR - ALTO COMEDEA.CLOACAS-CORDON CUNETA ENTREGA MINIMA Y AMPLIA FINANCIACION" u="1"/>
        <s v="///LOTEO VIRGEN DE URKUPIÑA/// SAN VICENTE MONTERRICO ///TERl. 388-4082595 Monterrico 23 de agosto. Tel. 465 388 4235119" u="1"/>
        <s v="CANAL 7 PROGRAMACION ...." u="1"/>
        <s v="+ LAMAS, Gisela Elizabeth (q.e.p.d.)  Se durmió en al Paz desamientos, en el corazón de cada uno de nosotros. TU FAMILIA" u="1"/>
        <s v="+ ALEJO MODESTO (q.e.p.d.) Hoy se cumple un aniversario de t                                         TU HIJO GUIDO ALEJO" u="1"/>
        <s v="VENDO Importante Propiedad a estrenar B° Los Perales. 3 dorm.- 3 baños  cochera- todos los serv.  Tel. 3885177508" u="1"/>
        <s v="+ DOMINGO CHOROLQUE Falleció el día 23 de junio de 2019 “Queus hijos Verónica, Nelson, Germán, Natalia, Ariel y Daniela." u="1"/>
        <s v="MYN INYECCION aviso 2" u="1"/>
        <s v="CANAL  2 perico PROGRAMACION ..." u="1"/>
        <s v="CANAL 2 perico  PROGRAMACION ..." u="1"/>
        <s v="FARMACIA GUEMES UNO  ANIV. B° BELGRANO" u="1"/>
        <s v="DIA DE LA SANIDAD LOS LAPACHOS" u="1"/>
        <s v="TELECOM CONECTIVIDAD" u="1"/>
        <s v="Nos encontramos en la búsqueda de ANALISTA EN OPERACIONES: ceresados enviar CV con foto area.postulaciones2020@gmail.com" u="1"/>
        <s v="Nos encontramos en la búsqueda de ANALISTA EN OPERACIONES: cesados enviar CV con foto , area.postulaciones2020@gmail.com" u="1"/>
        <s v=" GRACIAS SAN EXPEDITO POR LAS GRACIAS CONCEDIDAS.    M.A.V." u="1"/>
        <s v="ejesa corte ..." u="1"/>
        <s v="+ FLORINDA MERILES  ////AVISO ARMADO EN CARPETA DE LA FECCHA ////" u="1"/>
        <s v="Corralón de materiales para la construcción busca VENDEDOR iar su curriculum vitae al correo: vendedorcorralon@gmail.com" u="1"/>
        <s v="jenefes 25 DE MAYO" u="1"/>
        <s v="+ STORNI DE KINDGARD, Olga María (q.e.p.d.) Falleció el día ... Sus restos fueron trasladados a la localidad de Tilcara." u="1"/>
        <s v="MUNICIPALIDAD DE PALPALÁ  ANIV. B° 9 DE JULIO / DIA DE LA INDEPENDENCIA" u="1"/>
        <s v="UCSE - EXPERTO UNIVERSITARIO" u="1"/>
        <s v="BINGO LOBO...." u="1"/>
        <s v="+ AGUILAR, ROBERTO Fallecio el 1 de agosto de 2020  ///aviso armado en carpeta de la fecha/////" u="1"/>
        <s v="+ IANINA LIHUE BALCEDA   (q.e.p.d.) 08/05/1992       03/06/2ermanos y sobrinos Balceda, elevan una oración en tu nombre." u="1"/>
        <s v="INFORMACIÓN DE PRENSA MES DE JULIO 2020" u="1"/>
        <s v="VALERZA 14 años villanueva" u="1"/>
        <s v="EDICTO SUCESORIO  - - - JUZGADO DE PRIMERA INSTANCIA EN LO C - - - - - - - - - - - - - - - - - - - - - - - - - 8  154813" u="1"/>
        <s v="VETERINARIA BELGRANO SUR-DIA DEL VETERINARIO MODIFICAR HORARS  LUNES A VIERNES DE 9 A 13 Y DE 17 A 20 SABADOS DE 18 A 20" u="1"/>
        <s v="SUBTE - GASTRONOMICOS" u="1"/>
        <s v="CARNICERIA LIZARRAGA  DIA DEL TRABAJADOR" u="1"/>
        <s v="RENEÉ ALBERTO RIZZOTTI 26/09/1934 Hoy cumplirías 86 años, coPAPA ALLA EN EL INFINITO, POR SIEMPRE EN NUESTROS CORAZONES." u="1"/>
        <s v="LA CASA DEL RIEGO" u="1"/>
        <s v="EDICTO SUCESORIO  - - -EL JUZGADO DE PRIMERA INSTANCIA EN LO20.- - - - Firma Habilitada: Dra. MARÍA DE LOS ANGE8  160139" u="1"/>
        <s v="EXPTE C 030687 /148  030687" u="1"/>
        <s v="REMATE                                     HUGO R. GUTIERREZde Junio de 2.020.- Dra. Maria Cecilia Hansen  Pros8  247819" u="1"/>
        <s v="MUNICIPALIDAD DE PERICO - INFORMACIÓN DE PRENSA MES DE AGOSTO20" u="1"/>
        <s v="ORACION A SAN EXPEDITO  GRACIAS POR ESTAR A MI LADO... Conti.  Gracias por los favores recibidos!!   “AURELIA RODRIGUEZ”" u="1"/>
        <s v="ORACION A SAN EXPEDITO  GRACIAS POR ESTAR A MI LADO.... Cont.  Gracias por los favores recibidos!!   “AURELIA RODRIGUEZ”" u="1"/>
        <s v="CLINICA FATIMA DIA DEL INSTRUMENTISTA" u="1"/>
        <s v="TALLER DE REVISION TECNICA VEHICULAR RTO PERICO" u="1"/>
        <s v="DIARIO EL TRIBUNO - AGENCIA PALPALÁ  ANIV. B° BELGRANO" u="1"/>
        <s v="VENDO LOTE  B° Alto Comedero lado Unión Bus  10x25.  Cel 388-66521618 6652161" u="1"/>
        <s v="+ GALLEGO MAMANÍ (Q.E.P.D.) Falleció el día 27 de agosto de amiliares participan con profundo dolor de tu fallecimiento." u="1"/>
        <s v="CTJ COOP. DE TABACALEROS" u="1"/>
        <s v="EDICTO SUCESORIO  JUZGADO DE PRIMERA INSTANCIA EN LO CIVIL YS en CINCO DÍAS.- = = = SAN SALVADOR DE JUJUY,De  d8  163139" u="1"/>
        <s v="BOMBERITO  ADHESION EL MOJON..." u="1"/>
        <s v="SEPELIOS SAN JOSE SRL  SERVICIOS SOCIALES" u="1"/>
      </sharedItems>
    </cacheField>
    <cacheField name="Comentario" numFmtId="0">
      <sharedItems containsBlank="1"/>
    </cacheField>
    <cacheField name="Tipo de aviso" numFmtId="0">
      <sharedItems/>
    </cacheField>
    <cacheField name="Forma de Pago" numFmtId="0">
      <sharedItems count="4">
        <s v="Reposicion"/>
        <s v="Contado"/>
        <s v="Cuenta Corriente"/>
        <s v="Promocionales"/>
      </sharedItems>
    </cacheField>
    <cacheField name="Precio" numFmtId="164">
      <sharedItems containsSemiMixedTypes="0" containsString="0" containsNumber="1" minValue="0" maxValue="80384.62"/>
    </cacheField>
    <cacheField name="Color" numFmtId="0">
      <sharedItems count="2">
        <s v="B&amp;N"/>
        <s v="Color"/>
      </sharedItems>
    </cacheField>
    <cacheField name="Ubic.Pretendida" numFmtId="0">
      <sharedItems containsBlank="1" count="74">
        <s v="JVEN08"/>
        <s v="JVEN06"/>
        <s v="JVEN04"/>
        <s v="JVEN02"/>
        <s v="JVEN01"/>
        <s v="JPINTF"/>
        <s v="JPEDID"/>
        <s v="JOTRSE"/>
        <s v="JOFREC"/>
        <s v="JMATCO"/>
        <s v="JMAQCO"/>
        <s v="JEMPCO"/>
        <s v="JDINER"/>
        <s v="JCOM01"/>
        <s v="JASAMB"/>
        <s v="JALO01"/>
        <s v="JAGRUP"/>
        <s v="SUDC"/>
        <s v="SU"/>
        <s v="SER"/>
        <s v="PES"/>
        <s v="PAG3"/>
        <s v="PAC"/>
        <s v="IAC"/>
        <s v="JGPSICO"/>
        <s v="JGPODOL"/>
        <s v="JGOTRPRO"/>
        <s v="JGKINES"/>
        <s v="JGESTET"/>
        <s v="JGCONT"/>
        <s v="JGABOGA"/>
        <s v="OBIMOD"/>
        <m u="1"/>
        <s v="CTAPA" u="1"/>
        <s v="JARRIE" u="1"/>
        <s v="PAG19" u="1"/>
        <s v="JGECOGR" u="1"/>
        <s v="JREPYA" u="1"/>
        <s v="PAG9" u="1"/>
        <s v="JVEN03" u="1"/>
        <s v="JPDOME" u="1"/>
        <s v="PDC" u="1"/>
        <s v="JEDICT" u="1"/>
        <s v="IDC" u="1"/>
        <s v="LOC" u="1"/>
        <s v="OreDer" u="1"/>
        <s v="JVEN05" u="1"/>
        <s v="TAPA" u="1"/>
        <s v="JGARQUI" u="1"/>
        <s v="JVEN07" u="1"/>
        <s v="JALO04" u="1"/>
        <s v="JALO05" u="1"/>
        <s v="OREIZQ" u="1"/>
        <s v="JALMI" u="1"/>
        <s v="JINSPR" u="1"/>
        <s v="JEXTRA" u="1"/>
        <s v="JCOM02" u="1"/>
        <s v="JVETER" u="1"/>
        <s v="JAGRIC" u="1"/>
        <s v="JGODONT" u="1"/>
        <s v="JGCLIM" u="1"/>
        <s v="JMOTOS" u="1"/>
        <s v="JTALLG" u="1"/>
        <s v="JCOM05" u="1"/>
        <s v="JCOM06" u="1"/>
        <s v="JGNUTRI" u="1"/>
        <s v="JFIEST" u="1"/>
        <s v="JCOM07" u="1"/>
        <s v="JCOM08" u="1"/>
        <s v="JOPORT" u="1"/>
        <s v="OBI" u="1"/>
        <s v="JGPSICPE" u="1"/>
        <s v="JREMAT" u="1"/>
        <s v="JMAQMU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43" count="42">
        <n v="0"/>
        <n v="33"/>
        <n v="26"/>
        <n v="28"/>
        <n v="39"/>
        <n v="38"/>
        <n v="23"/>
        <n v="5"/>
        <n v="4"/>
        <n v="15"/>
        <n v="35"/>
        <n v="27"/>
        <n v="40"/>
        <n v="3"/>
        <n v="2"/>
        <n v="34" u="1"/>
        <n v="13" u="1"/>
        <n v="36" u="1"/>
        <n v="14" u="1"/>
        <n v="6" u="1"/>
        <n v="16" u="1"/>
        <n v="17" u="1"/>
        <n v="18" u="1"/>
        <n v="19" u="1"/>
        <n v="7" u="1"/>
        <n v="20" u="1"/>
        <n v="21" u="1"/>
        <n v="22" u="1"/>
        <n v="37" u="1"/>
        <n v="1" u="1"/>
        <n v="8" u="1"/>
        <n v="24" u="1"/>
        <n v="25" u="1"/>
        <n v="9" u="1"/>
        <n v="43" u="1"/>
        <n v="10" u="1"/>
        <n v="29" u="1"/>
        <n v="11" u="1"/>
        <n v="30" u="1"/>
        <n v="31" u="1"/>
        <n v="12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89">
        <s v="1x02"/>
        <s v="1x05"/>
        <s v="1x03"/>
        <s v="1x06"/>
        <s v="1x04"/>
        <s v="1x10"/>
        <s v="1x08"/>
        <s v="1x07"/>
        <s v="1x15"/>
        <s v="1x14"/>
        <s v="1x12"/>
        <s v="1x09"/>
        <s v="2x12"/>
        <s v="2x07"/>
        <s v="5x17"/>
        <s v="5x10"/>
        <s v="3x03"/>
        <s v="5x03"/>
        <s v="2x03"/>
        <s v="2x10"/>
        <s v="2x06"/>
        <s v="2x35"/>
        <s v="2x05"/>
        <s v="2x02"/>
        <s v="2x04"/>
        <s v="3x10"/>
        <s v="2x17" u="1"/>
        <s v="3x11" u="1"/>
        <s v="7x18" u="1"/>
        <s v="3x21" u="1"/>
        <s v="7x28" u="1"/>
        <s v="3x31" u="1"/>
        <s v="1x22" u="1"/>
        <s v="2x16" u="1"/>
        <s v="3x20" u="1"/>
        <s v="4x14" u="1"/>
        <s v="1x11" u="1"/>
        <s v="1x21" u="1"/>
        <s v="2x15" u="1"/>
        <s v="4x13" u="1"/>
        <s v="3x29" u="1"/>
        <s v="4x23" u="1"/>
        <s v="2x14" u="1"/>
        <s v="3x08" u="1"/>
        <s v="3x18" u="1"/>
        <s v="5x06" u="1"/>
        <s v="7x25" u="1"/>
        <s v="3x28" u="1"/>
        <s v="4x22" u="1"/>
        <s v="2x13" u="1"/>
        <s v="3x17" u="1"/>
        <s v="4x21" u="1"/>
        <s v="5x15" u="1"/>
        <s v="1x18" u="1"/>
        <s v="3x06" u="1"/>
        <s v="4x31" u="1"/>
        <s v="2x22" u="1"/>
        <s v="3x16" u="1"/>
        <s v="5x35" u="1"/>
        <s v="4x10" u="1"/>
        <s v="3x26" u="1"/>
        <s v="4x20" u="1"/>
        <s v="1x17" u="1"/>
        <s v="2x11" u="1"/>
        <s v="3x05" u="1"/>
        <s v="5x24" u="1"/>
        <s v="2x21" u="1"/>
        <s v="3x15" u="1"/>
        <s v="7x22" u="1"/>
        <s v="4x19" u="1"/>
        <s v="5x13" u="1"/>
        <s v="7x11" u="1"/>
        <s v="2x20" u="1"/>
        <s v="3x14" u="1"/>
        <s v="3x24" u="1"/>
        <s v="5x12" u="1"/>
        <s v="2x09" u="1"/>
        <s v="7x10" u="1"/>
        <s v="3x13" u="1"/>
        <s v="4x17" u="1"/>
        <s v="2x08" u="1"/>
        <s v="5x21" u="1"/>
        <s v="2x18" u="1"/>
        <s v="3x12" u="1"/>
        <s v="4x06" u="1"/>
        <s v="3x22" u="1"/>
        <s v="1x13" u="1"/>
        <s v="4x26" u="1"/>
        <s v="5x20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">
  <r>
    <x v="0"/>
    <x v="0"/>
    <s v="Lopez  Jose Rafael Martin"/>
    <x v="0"/>
    <x v="0"/>
    <m/>
    <s v="Notables - Jujuy 1 Col"/>
    <x v="0"/>
    <n v="0"/>
    <x v="0"/>
    <x v="0"/>
    <m/>
    <x v="0"/>
    <x v="0"/>
    <n v="1"/>
    <n v="2.0000000005"/>
    <x v="0"/>
    <n v="2"/>
    <x v="0"/>
  </r>
  <r>
    <x v="0"/>
    <x v="1"/>
    <s v="Marcos  Jose Alejandro"/>
    <x v="0"/>
    <x v="1"/>
    <m/>
    <s v="Notables - Jujuy 1 Col"/>
    <x v="1"/>
    <n v="95.024000000000001"/>
    <x v="0"/>
    <x v="0"/>
    <m/>
    <x v="0"/>
    <x v="0"/>
    <n v="1"/>
    <n v="5.0000000012500001"/>
    <x v="0"/>
    <n v="5"/>
    <x v="1"/>
  </r>
  <r>
    <x v="0"/>
    <x v="2"/>
    <s v="Condori  Fabio"/>
    <x v="0"/>
    <x v="2"/>
    <s v="&quot;VENDO&quot; en grande"/>
    <s v="Notables - Jujuy 1 Col"/>
    <x v="1"/>
    <n v="38.785714285714285"/>
    <x v="0"/>
    <x v="0"/>
    <m/>
    <x v="0"/>
    <x v="0"/>
    <n v="1"/>
    <n v="2.0000000005"/>
    <x v="0"/>
    <n v="2"/>
    <x v="0"/>
  </r>
  <r>
    <x v="0"/>
    <x v="3"/>
    <s v="Condori  Fabio"/>
    <x v="0"/>
    <x v="3"/>
    <s v="&quot;VENDO&quot; en grande"/>
    <s v="Notables - Jujuy 1 Col"/>
    <x v="1"/>
    <n v="38.785714285714285"/>
    <x v="0"/>
    <x v="0"/>
    <m/>
    <x v="0"/>
    <x v="0"/>
    <n v="1"/>
    <n v="2.0000000005"/>
    <x v="0"/>
    <n v="2"/>
    <x v="0"/>
  </r>
  <r>
    <x v="0"/>
    <x v="4"/>
    <s v="Rodriguez  Javier"/>
    <x v="0"/>
    <x v="4"/>
    <s v="aviso con logo en la parte inferior, en carpeta de la fecha 19-05-2018_x000d__x000a__x000d__x000a_LOGO- Li Chang- 19-05-2018"/>
    <s v="Notables - Jujuy 1 Col"/>
    <x v="1"/>
    <n v="67.87466666666667"/>
    <x v="0"/>
    <x v="0"/>
    <m/>
    <x v="0"/>
    <x v="0"/>
    <n v="1"/>
    <n v="5.0000000012500001"/>
    <x v="0"/>
    <n v="5"/>
    <x v="1"/>
  </r>
  <r>
    <x v="0"/>
    <x v="5"/>
    <s v="LOPEZ DELGADO CLAUDIA TATIANA"/>
    <x v="0"/>
    <x v="5"/>
    <s v="aviso para renovar con color Rojo"/>
    <s v="Notables - Jujuy 1 Col"/>
    <x v="1"/>
    <n v="57.015000000000001"/>
    <x v="0"/>
    <x v="1"/>
    <m/>
    <x v="0"/>
    <x v="0"/>
    <n v="1"/>
    <n v="3.0000000007500001"/>
    <x v="0"/>
    <n v="3"/>
    <x v="2"/>
  </r>
  <r>
    <x v="0"/>
    <x v="6"/>
    <s v="Meza  Ramon Jose"/>
    <x v="0"/>
    <x v="6"/>
    <m/>
    <s v="Notables - Jujuy 1 Col"/>
    <x v="1"/>
    <n v="38.785714285714285"/>
    <x v="0"/>
    <x v="2"/>
    <m/>
    <x v="0"/>
    <x v="0"/>
    <n v="1"/>
    <n v="2.0000000005"/>
    <x v="0"/>
    <n v="2"/>
    <x v="0"/>
  </r>
  <r>
    <x v="0"/>
    <x v="7"/>
    <s v="Adera Adriana"/>
    <x v="0"/>
    <x v="7"/>
    <m/>
    <s v="Notables - Jujuy 1 Col"/>
    <x v="1"/>
    <n v="58.178571428571431"/>
    <x v="0"/>
    <x v="2"/>
    <m/>
    <x v="0"/>
    <x v="0"/>
    <n v="1"/>
    <n v="3.0000000007500001"/>
    <x v="0"/>
    <n v="3"/>
    <x v="2"/>
  </r>
  <r>
    <x v="0"/>
    <x v="8"/>
    <s v="RODRIGUEZ QUIROGA MARTIN"/>
    <x v="1"/>
    <x v="8"/>
    <m/>
    <s v="Notables - Jujuy 1 Col"/>
    <x v="2"/>
    <n v="115.60580645161291"/>
    <x v="0"/>
    <x v="3"/>
    <m/>
    <x v="0"/>
    <x v="0"/>
    <n v="1"/>
    <n v="6.0000000015000001"/>
    <x v="0"/>
    <n v="6"/>
    <x v="3"/>
  </r>
  <r>
    <x v="0"/>
    <x v="9"/>
    <s v="Salomon  Natalia"/>
    <x v="0"/>
    <x v="9"/>
    <m/>
    <s v="Notables - Jujuy 1 Col"/>
    <x v="1"/>
    <n v="77.571428571428569"/>
    <x v="0"/>
    <x v="3"/>
    <m/>
    <x v="0"/>
    <x v="0"/>
    <n v="1"/>
    <n v="4.0000000010000001"/>
    <x v="0"/>
    <n v="4"/>
    <x v="4"/>
  </r>
  <r>
    <x v="0"/>
    <x v="10"/>
    <s v="Barreiro Maria Nazarena"/>
    <x v="2"/>
    <x v="10"/>
    <m/>
    <s v="Notables - Jujuy 1 Col"/>
    <x v="1"/>
    <n v="203.625"/>
    <x v="0"/>
    <x v="3"/>
    <m/>
    <x v="0"/>
    <x v="0"/>
    <n v="1"/>
    <n v="9.999999998972223"/>
    <x v="0"/>
    <n v="10"/>
    <x v="5"/>
  </r>
  <r>
    <x v="0"/>
    <x v="11"/>
    <s v="LOPEZ DELGADO CLAUDIA TATIANA"/>
    <x v="0"/>
    <x v="11"/>
    <m/>
    <s v="Notables - Jujuy 1 Col"/>
    <x v="1"/>
    <n v="40.724666666666664"/>
    <x v="0"/>
    <x v="3"/>
    <m/>
    <x v="0"/>
    <x v="0"/>
    <n v="1"/>
    <n v="3.0000000007500001"/>
    <x v="0"/>
    <n v="3"/>
    <x v="2"/>
  </r>
  <r>
    <x v="0"/>
    <x v="12"/>
    <s v="Adera Adriana"/>
    <x v="0"/>
    <x v="12"/>
    <m/>
    <s v="Notables - Jujuy 1 Col"/>
    <x v="1"/>
    <n v="61.087499999999999"/>
    <x v="0"/>
    <x v="3"/>
    <m/>
    <x v="0"/>
    <x v="0"/>
    <n v="1"/>
    <n v="3.0000000007500001"/>
    <x v="0"/>
    <n v="3"/>
    <x v="2"/>
  </r>
  <r>
    <x v="0"/>
    <x v="13"/>
    <s v="Perez Luis Alberto."/>
    <x v="3"/>
    <x v="13"/>
    <s v="repite aviso de negocio 1438476"/>
    <s v="Notables - Jujuy 1 Col"/>
    <x v="2"/>
    <n v="38.785714285714285"/>
    <x v="0"/>
    <x v="3"/>
    <m/>
    <x v="0"/>
    <x v="0"/>
    <n v="1"/>
    <n v="2.0000000005"/>
    <x v="0"/>
    <n v="2"/>
    <x v="0"/>
  </r>
  <r>
    <x v="0"/>
    <x v="14"/>
    <s v="Reyna  Zulema Lucia"/>
    <x v="0"/>
    <x v="14"/>
    <m/>
    <s v="Notables - Jujuy 1 Col"/>
    <x v="1"/>
    <n v="135.74933333333334"/>
    <x v="0"/>
    <x v="4"/>
    <m/>
    <x v="0"/>
    <x v="0"/>
    <n v="1"/>
    <n v="9.999999998972223"/>
    <x v="0"/>
    <n v="10"/>
    <x v="5"/>
  </r>
  <r>
    <x v="0"/>
    <x v="15"/>
    <s v="Carlos Carrillo."/>
    <x v="0"/>
    <x v="15"/>
    <m/>
    <s v="Notables - Jujuy 1 Col"/>
    <x v="1"/>
    <n v="38.785714285714285"/>
    <x v="0"/>
    <x v="4"/>
    <m/>
    <x v="0"/>
    <x v="0"/>
    <n v="1"/>
    <n v="2.0000000005"/>
    <x v="0"/>
    <n v="2"/>
    <x v="0"/>
  </r>
  <r>
    <x v="0"/>
    <x v="16"/>
    <s v="ECO WAPSI S.R.L."/>
    <x v="4"/>
    <x v="16"/>
    <m/>
    <s v="Notables - Jujuy 1 Col"/>
    <x v="2"/>
    <n v="155.14214285714283"/>
    <x v="0"/>
    <x v="4"/>
    <m/>
    <x v="0"/>
    <x v="0"/>
    <n v="1"/>
    <n v="7.9999999984722239"/>
    <x v="0"/>
    <n v="8"/>
    <x v="6"/>
  </r>
  <r>
    <x v="0"/>
    <x v="17"/>
    <s v="ECO WAPSI S.R.L."/>
    <x v="5"/>
    <x v="17"/>
    <m/>
    <s v="Notables - Jujuy 1 Col"/>
    <x v="2"/>
    <n v="77.570714285714288"/>
    <x v="0"/>
    <x v="4"/>
    <m/>
    <x v="0"/>
    <x v="0"/>
    <n v="1"/>
    <n v="4.0000000010000001"/>
    <x v="0"/>
    <n v="4"/>
    <x v="4"/>
  </r>
  <r>
    <x v="0"/>
    <x v="18"/>
    <s v="Tejerina  Laura"/>
    <x v="0"/>
    <x v="18"/>
    <s v="con color"/>
    <s v="Notables - Jujuy 1 Col"/>
    <x v="1"/>
    <n v="101.8125"/>
    <x v="0"/>
    <x v="4"/>
    <m/>
    <x v="0"/>
    <x v="0"/>
    <n v="1"/>
    <n v="5.0000000012500001"/>
    <x v="0"/>
    <n v="5"/>
    <x v="1"/>
  </r>
  <r>
    <x v="0"/>
    <x v="19"/>
    <s v="LOPEZ DELGADO CLAUDIA TATIANA"/>
    <x v="0"/>
    <x v="19"/>
    <m/>
    <s v="Notables - Jujuy 1 Col"/>
    <x v="1"/>
    <n v="95.024333333333331"/>
    <x v="0"/>
    <x v="4"/>
    <m/>
    <x v="0"/>
    <x v="0"/>
    <n v="1"/>
    <n v="7.0000000017499984"/>
    <x v="0"/>
    <n v="7"/>
    <x v="7"/>
  </r>
  <r>
    <x v="0"/>
    <x v="20"/>
    <s v="MONICA MEZZENA"/>
    <x v="0"/>
    <x v="20"/>
    <s v="con recuadro remarcado x favor"/>
    <s v="Notables - Jujuy 1 Col"/>
    <x v="1"/>
    <n v="57.015000000000001"/>
    <x v="0"/>
    <x v="4"/>
    <m/>
    <x v="0"/>
    <x v="0"/>
    <n v="1"/>
    <n v="3.0000000007500001"/>
    <x v="0"/>
    <n v="3"/>
    <x v="2"/>
  </r>
  <r>
    <x v="0"/>
    <x v="21"/>
    <s v="Carvajal Juan Carlos"/>
    <x v="6"/>
    <x v="21"/>
    <s v="RENUEVA IMAGEN A PARTIR DEL 5/01"/>
    <s v="Notables - Jujuy 1 Col"/>
    <x v="2"/>
    <n v="190.04899999999998"/>
    <x v="0"/>
    <x v="5"/>
    <m/>
    <x v="0"/>
    <x v="0"/>
    <n v="1"/>
    <n v="9.999999998972223"/>
    <x v="0"/>
    <n v="10"/>
    <x v="5"/>
  </r>
  <r>
    <x v="0"/>
    <x v="22"/>
    <s v="Dergam Srl"/>
    <x v="7"/>
    <x v="22"/>
    <m/>
    <s v="Notables - Jujuy 1 Col"/>
    <x v="2"/>
    <n v="296.18"/>
    <x v="0"/>
    <x v="5"/>
    <m/>
    <x v="0"/>
    <x v="0"/>
    <n v="1"/>
    <n v="15.000000000222226"/>
    <x v="0"/>
    <n v="15"/>
    <x v="8"/>
  </r>
  <r>
    <x v="0"/>
    <x v="23"/>
    <s v="El Mundo De Las Herramientas S.R.L."/>
    <x v="8"/>
    <x v="23"/>
    <m/>
    <s v="Notables - Jujuy 1 Col"/>
    <x v="2"/>
    <n v="269.74677419354839"/>
    <x v="0"/>
    <x v="5"/>
    <m/>
    <x v="0"/>
    <x v="0"/>
    <n v="1"/>
    <n v="13.999999999972225"/>
    <x v="0"/>
    <n v="14"/>
    <x v="9"/>
  </r>
  <r>
    <x v="0"/>
    <x v="24"/>
    <s v="Jumi S.R.L."/>
    <x v="9"/>
    <x v="24"/>
    <s v="aviso destacado con recuadro y a color si es posible"/>
    <s v="Notables - Jujuy 1 Col"/>
    <x v="2"/>
    <n v="116.35714285714286"/>
    <x v="0"/>
    <x v="6"/>
    <m/>
    <x v="0"/>
    <x v="0"/>
    <n v="1"/>
    <n v="6.0000000015000001"/>
    <x v="0"/>
    <n v="6"/>
    <x v="3"/>
  </r>
  <r>
    <x v="0"/>
    <x v="25"/>
    <s v="Diesel Jujuy S R L"/>
    <x v="10"/>
    <x v="25"/>
    <m/>
    <s v="Notables - Jujuy 1 Col"/>
    <x v="2"/>
    <n v="228.05900000000003"/>
    <x v="0"/>
    <x v="6"/>
    <m/>
    <x v="0"/>
    <x v="0"/>
    <n v="1"/>
    <n v="11.999999999472221"/>
    <x v="0"/>
    <n v="12"/>
    <x v="10"/>
  </r>
  <r>
    <x v="0"/>
    <x v="26"/>
    <s v="Gorena Carlos"/>
    <x v="0"/>
    <x v="26"/>
    <m/>
    <s v="Notables - Jujuy 1 Col"/>
    <x v="1"/>
    <n v="58.178571428571431"/>
    <x v="0"/>
    <x v="6"/>
    <m/>
    <x v="0"/>
    <x v="0"/>
    <n v="1"/>
    <n v="3.0000000007500001"/>
    <x v="0"/>
    <n v="3"/>
    <x v="2"/>
  </r>
  <r>
    <x v="0"/>
    <x v="27"/>
    <s v="Coop. De Trabajo Textil Lda."/>
    <x v="0"/>
    <x v="27"/>
    <s v="texto modificado a color segun corresponda"/>
    <s v="Notables - Jujuy 1 Col"/>
    <x v="1"/>
    <n v="76.02000000000001"/>
    <x v="0"/>
    <x v="6"/>
    <m/>
    <x v="0"/>
    <x v="0"/>
    <n v="1"/>
    <n v="4.0000000010000001"/>
    <x v="0"/>
    <n v="4"/>
    <x v="4"/>
  </r>
  <r>
    <x v="0"/>
    <x v="28"/>
    <s v="Bustamante  Norma"/>
    <x v="0"/>
    <x v="28"/>
    <m/>
    <s v="Notables - Jujuy 1 Col"/>
    <x v="1"/>
    <n v="38.785714285714285"/>
    <x v="0"/>
    <x v="6"/>
    <m/>
    <x v="0"/>
    <x v="0"/>
    <n v="1"/>
    <n v="2.0000000005"/>
    <x v="0"/>
    <n v="2"/>
    <x v="0"/>
  </r>
  <r>
    <x v="0"/>
    <x v="29"/>
    <s v="A B CONSTRUCCIONES S R L"/>
    <x v="11"/>
    <x v="29"/>
    <m/>
    <s v="Notables - Jujuy 1 Col"/>
    <x v="2"/>
    <n v="135.74857142857144"/>
    <x v="0"/>
    <x v="6"/>
    <m/>
    <x v="0"/>
    <x v="0"/>
    <n v="1"/>
    <n v="7.0000000017499984"/>
    <x v="0"/>
    <n v="7"/>
    <x v="7"/>
  </r>
  <r>
    <x v="0"/>
    <x v="30"/>
    <s v="Moreno Miguel Oscar"/>
    <x v="0"/>
    <x v="30"/>
    <m/>
    <s v="Notables - Jujuy 1 Col"/>
    <x v="1"/>
    <n v="135.74933333333334"/>
    <x v="0"/>
    <x v="7"/>
    <m/>
    <x v="0"/>
    <x v="0"/>
    <n v="1"/>
    <n v="9.999999998972223"/>
    <x v="0"/>
    <n v="10"/>
    <x v="5"/>
  </r>
  <r>
    <x v="0"/>
    <x v="31"/>
    <s v="Jorge  Subelza"/>
    <x v="0"/>
    <x v="31"/>
    <m/>
    <s v="Notables - Jujuy 1 Col"/>
    <x v="1"/>
    <n v="38.785714285714285"/>
    <x v="0"/>
    <x v="8"/>
    <m/>
    <x v="0"/>
    <x v="0"/>
    <n v="1"/>
    <n v="2.0000000005"/>
    <x v="0"/>
    <n v="2"/>
    <x v="0"/>
  </r>
  <r>
    <x v="0"/>
    <x v="32"/>
    <s v="ECOMET S.R.L."/>
    <x v="12"/>
    <x v="32"/>
    <m/>
    <s v="Notables - Jujuy 1 Col"/>
    <x v="1"/>
    <n v="130.83733333333333"/>
    <x v="0"/>
    <x v="9"/>
    <m/>
    <x v="0"/>
    <x v="0"/>
    <n v="1"/>
    <n v="8.9999999987222221"/>
    <x v="0"/>
    <n v="9"/>
    <x v="11"/>
  </r>
  <r>
    <x v="0"/>
    <x v="33"/>
    <s v="Antonio Noguera"/>
    <x v="0"/>
    <x v="33"/>
    <m/>
    <s v="Notables - Jujuy 1 Col"/>
    <x v="1"/>
    <n v="244.3486666666667"/>
    <x v="0"/>
    <x v="10"/>
    <m/>
    <x v="0"/>
    <x v="0"/>
    <n v="1"/>
    <n v="8.9999999987222221"/>
    <x v="0"/>
    <n v="9"/>
    <x v="11"/>
  </r>
  <r>
    <x v="0"/>
    <x v="34"/>
    <s v="Urbania S.R.L."/>
    <x v="13"/>
    <x v="34"/>
    <s v="repite de ultimo aviso"/>
    <s v="Notables - Jujuy 1 Col"/>
    <x v="2"/>
    <n v="96.338064516129023"/>
    <x v="0"/>
    <x v="11"/>
    <m/>
    <x v="0"/>
    <x v="0"/>
    <n v="1"/>
    <n v="5.0000000012500001"/>
    <x v="0"/>
    <n v="5"/>
    <x v="1"/>
  </r>
  <r>
    <x v="0"/>
    <x v="35"/>
    <s v="HORMIGONERA JUJUY S.R.L."/>
    <x v="14"/>
    <x v="35"/>
    <m/>
    <s v="Notables - Jujuy 1 Col"/>
    <x v="2"/>
    <n v="91.959032258064511"/>
    <x v="0"/>
    <x v="11"/>
    <m/>
    <x v="0"/>
    <x v="0"/>
    <n v="1"/>
    <n v="5.0000000012500001"/>
    <x v="0"/>
    <n v="5"/>
    <x v="1"/>
  </r>
  <r>
    <x v="0"/>
    <x v="36"/>
    <s v="HORMIGONERA JUJUY S.R.L."/>
    <x v="15"/>
    <x v="36"/>
    <m/>
    <s v="Notables - Jujuy 1 Col"/>
    <x v="2"/>
    <n v="96.338064516129023"/>
    <x v="0"/>
    <x v="11"/>
    <m/>
    <x v="0"/>
    <x v="0"/>
    <n v="1"/>
    <n v="5.0000000012500001"/>
    <x v="0"/>
    <n v="5"/>
    <x v="1"/>
  </r>
  <r>
    <x v="0"/>
    <x v="37"/>
    <s v="CAZON FLORENCIA"/>
    <x v="0"/>
    <x v="37"/>
    <s v="modifico horario"/>
    <s v="Notables - Jujuy 1 Col"/>
    <x v="1"/>
    <n v="81.4495"/>
    <x v="0"/>
    <x v="12"/>
    <m/>
    <x v="0"/>
    <x v="0"/>
    <n v="1"/>
    <n v="6.0000000015000001"/>
    <x v="0"/>
    <n v="6"/>
    <x v="3"/>
  </r>
  <r>
    <x v="0"/>
    <x v="38"/>
    <s v="Vilar Cristian Leandro"/>
    <x v="0"/>
    <x v="38"/>
    <m/>
    <s v="Notables - Jujuy 1 Col"/>
    <x v="1"/>
    <n v="32.579833333333333"/>
    <x v="1"/>
    <x v="13"/>
    <m/>
    <x v="0"/>
    <x v="0"/>
    <n v="1"/>
    <n v="2.0000000005"/>
    <x v="0"/>
    <n v="2"/>
    <x v="0"/>
  </r>
  <r>
    <x v="0"/>
    <x v="39"/>
    <s v="Salazar  Hugo"/>
    <x v="0"/>
    <x v="39"/>
    <s v="bien remarcado tasaciones"/>
    <s v="Notables - Jujuy 1 Col"/>
    <x v="1"/>
    <n v="27.150000000000002"/>
    <x v="0"/>
    <x v="13"/>
    <m/>
    <x v="0"/>
    <x v="0"/>
    <n v="1"/>
    <n v="2.0000000005"/>
    <x v="0"/>
    <n v="2"/>
    <x v="0"/>
  </r>
  <r>
    <x v="0"/>
    <x v="40"/>
    <s v="Coop. De Provision Y Servicios Para Transportistas Serranias De Palpala"/>
    <x v="0"/>
    <x v="40"/>
    <m/>
    <s v="Asamblea Cm- Jujuy"/>
    <x v="1"/>
    <n v="435.46000000000004"/>
    <x v="0"/>
    <x v="14"/>
    <m/>
    <x v="0"/>
    <x v="0"/>
    <n v="2"/>
    <n v="11.999999999472221"/>
    <x v="0"/>
    <n v="12"/>
    <x v="12"/>
  </r>
  <r>
    <x v="0"/>
    <x v="41"/>
    <s v="CIEN SOCIEDAD ANONIMA"/>
    <x v="16"/>
    <x v="41"/>
    <s v="AVISO CON RECUARDO ROJO_x000d__x000a__x000d__x000a__x000d__x000a_archivo en notables de la fecha"/>
    <s v="Notables - Jujuy 1 Col"/>
    <x v="2"/>
    <n v="101.8125"/>
    <x v="0"/>
    <x v="15"/>
    <m/>
    <x v="0"/>
    <x v="0"/>
    <n v="1"/>
    <n v="5.0000000012500001"/>
    <x v="0"/>
    <n v="5"/>
    <x v="1"/>
  </r>
  <r>
    <x v="0"/>
    <x v="42"/>
    <s v="Zamar  Juan Jose"/>
    <x v="17"/>
    <x v="42"/>
    <m/>
    <s v="Notables - Jujuy 1 Col"/>
    <x v="2"/>
    <n v="96.338064516129023"/>
    <x v="0"/>
    <x v="15"/>
    <m/>
    <x v="0"/>
    <x v="0"/>
    <n v="1"/>
    <n v="5.0000000012500001"/>
    <x v="0"/>
    <n v="5"/>
    <x v="1"/>
  </r>
  <r>
    <x v="0"/>
    <x v="43"/>
    <s v="Roca Enrique Vicente"/>
    <x v="18"/>
    <x v="43"/>
    <s v="REPITE ULITMO AVISO PUBLICADO"/>
    <s v="Notables - Jujuy 1 Col"/>
    <x v="2"/>
    <n v="133.03400000000002"/>
    <x v="0"/>
    <x v="15"/>
    <m/>
    <x v="0"/>
    <x v="0"/>
    <n v="1"/>
    <n v="7.0000000017499984"/>
    <x v="0"/>
    <n v="7"/>
    <x v="7"/>
  </r>
  <r>
    <x v="0"/>
    <x v="44"/>
    <s v="Puentedura Pedro Cesar"/>
    <x v="0"/>
    <x v="44"/>
    <m/>
    <s v="Notables - Jujuy +1 Col"/>
    <x v="1"/>
    <n v="271.49857142857144"/>
    <x v="0"/>
    <x v="16"/>
    <m/>
    <x v="0"/>
    <x v="0"/>
    <n v="2"/>
    <n v="7.0000000017499984"/>
    <x v="0"/>
    <n v="7"/>
    <x v="13"/>
  </r>
  <r>
    <x v="1"/>
    <x v="45"/>
    <s v="Editora Sociedad Anonima"/>
    <x v="0"/>
    <x v="45"/>
    <m/>
    <s v="Editorial Comercial - Jujuy"/>
    <x v="3"/>
    <n v="3420.25"/>
    <x v="0"/>
    <x v="17"/>
    <s v="SUDC"/>
    <x v="1"/>
    <x v="0"/>
    <n v="5"/>
    <n v="16.989777777777778"/>
    <x v="0"/>
    <n v="17"/>
    <x v="14"/>
  </r>
  <r>
    <x v="1"/>
    <x v="46"/>
    <s v="Editora Sociedad Anonima"/>
    <x v="0"/>
    <x v="46"/>
    <m/>
    <s v="Editorial Comercial - Jujuy"/>
    <x v="3"/>
    <n v="2359.9699999999998"/>
    <x v="1"/>
    <x v="17"/>
    <s v="SUDC"/>
    <x v="2"/>
    <x v="0"/>
    <n v="5"/>
    <n v="9.8777777777777782"/>
    <x v="0"/>
    <n v="10"/>
    <x v="15"/>
  </r>
  <r>
    <x v="1"/>
    <x v="47"/>
    <s v="Rodriguez  Javier"/>
    <x v="0"/>
    <x v="47"/>
    <m/>
    <s v="Editorial Comercial - Jujuy"/>
    <x v="1"/>
    <n v="0"/>
    <x v="0"/>
    <x v="17"/>
    <s v="SUDC"/>
    <x v="3"/>
    <x v="0"/>
    <n v="1"/>
    <n v="6.3217777777777773"/>
    <x v="0"/>
    <n v="6"/>
    <x v="3"/>
  </r>
  <r>
    <x v="1"/>
    <x v="48"/>
    <s v="La Cocheria S.r.l."/>
    <x v="19"/>
    <x v="48"/>
    <m/>
    <s v="Editorial Comercial - Jujuy"/>
    <x v="2"/>
    <n v="333.12"/>
    <x v="1"/>
    <x v="18"/>
    <s v="SU"/>
    <x v="4"/>
    <x v="0"/>
    <n v="3"/>
    <n v="2.7657777777777777"/>
    <x v="0"/>
    <n v="3"/>
    <x v="16"/>
  </r>
  <r>
    <x v="1"/>
    <x v="49"/>
    <s v="Servicios Sociales Futuro S R L"/>
    <x v="20"/>
    <x v="49"/>
    <m/>
    <s v="Editorial Comercial - Jujuy"/>
    <x v="2"/>
    <n v="452.49"/>
    <x v="1"/>
    <x v="19"/>
    <s v="SER"/>
    <x v="5"/>
    <x v="0"/>
    <n v="5"/>
    <n v="2.7657777777777777"/>
    <x v="0"/>
    <n v="3"/>
    <x v="17"/>
  </r>
  <r>
    <x v="1"/>
    <x v="50"/>
    <s v="LOPEZ PIERRE - FARMACIA"/>
    <x v="21"/>
    <x v="50"/>
    <m/>
    <s v="Editorial Comercial - Jujuy"/>
    <x v="2"/>
    <n v="175.93"/>
    <x v="1"/>
    <x v="19"/>
    <m/>
    <x v="0"/>
    <x v="0"/>
    <n v="2"/>
    <n v="2.7657777777777777"/>
    <x v="0"/>
    <n v="3"/>
    <x v="18"/>
  </r>
  <r>
    <x v="1"/>
    <x v="51"/>
    <s v="Werchow Servicios Sociales S.R.L."/>
    <x v="22"/>
    <x v="51"/>
    <m/>
    <s v="Editorial Comercial - Jujuy"/>
    <x v="2"/>
    <n v="555.21"/>
    <x v="1"/>
    <x v="19"/>
    <s v="SER"/>
    <x v="4"/>
    <x v="0"/>
    <n v="5"/>
    <n v="2.7657777777777777"/>
    <x v="0"/>
    <n v="3"/>
    <x v="17"/>
  </r>
  <r>
    <x v="1"/>
    <x v="52"/>
    <s v="Colegio De Tecnico De Jujuy"/>
    <x v="23"/>
    <x v="52"/>
    <m/>
    <s v="Editorial Comercial - Jujuy"/>
    <x v="2"/>
    <n v="2519.8200000000002"/>
    <x v="1"/>
    <x v="20"/>
    <s v="PES"/>
    <x v="6"/>
    <x v="0"/>
    <n v="5"/>
    <n v="16.989777777777778"/>
    <x v="0"/>
    <n v="17"/>
    <x v="14"/>
  </r>
  <r>
    <x v="1"/>
    <x v="53"/>
    <s v=" COMPAÑIA ARGENTINA DE SEGUROS LATITUD SUR SA"/>
    <x v="24"/>
    <x v="53"/>
    <m/>
    <s v="Editorial Comercial - Jujuy"/>
    <x v="2"/>
    <n v="2005.63"/>
    <x v="0"/>
    <x v="21"/>
    <s v="PAG3"/>
    <x v="7"/>
    <x v="0"/>
    <n v="2"/>
    <n v="9.8777777777777782"/>
    <x v="1"/>
    <n v="10"/>
    <x v="19"/>
  </r>
  <r>
    <x v="1"/>
    <x v="54"/>
    <s v="Colegio De Escribanos De La Provincia De Jujuy"/>
    <x v="25"/>
    <x v="54"/>
    <m/>
    <s v="Editorial Comercial - Jujuy"/>
    <x v="2"/>
    <n v="635"/>
    <x v="0"/>
    <x v="22"/>
    <s v="PAC"/>
    <x v="8"/>
    <x v="0"/>
    <n v="2"/>
    <n v="6.3217777777777773"/>
    <x v="0"/>
    <n v="6"/>
    <x v="20"/>
  </r>
  <r>
    <x v="1"/>
    <x v="55"/>
    <s v="Horizontes S A"/>
    <x v="26"/>
    <x v="55"/>
    <m/>
    <s v="Editorial Comercial - Jujuy"/>
    <x v="2"/>
    <n v="381"/>
    <x v="0"/>
    <x v="22"/>
    <s v="PAC"/>
    <x v="9"/>
    <x v="0"/>
    <n v="2"/>
    <n v="2.7657777777777777"/>
    <x v="1"/>
    <n v="3"/>
    <x v="18"/>
  </r>
  <r>
    <x v="1"/>
    <x v="56"/>
    <s v="BANCO DE DESARROLLO DE JUJUY SOCIEDAD DEL ESTADO"/>
    <x v="20"/>
    <x v="56"/>
    <m/>
    <s v="Editorial Comercial - Jujuy cm OFICIAL"/>
    <x v="2"/>
    <n v="1707.49"/>
    <x v="1"/>
    <x v="23"/>
    <s v="IAC"/>
    <x v="10"/>
    <x v="1"/>
    <n v="5"/>
    <n v="17.000000000722224"/>
    <x v="1"/>
    <n v="17"/>
    <x v="14"/>
  </r>
  <r>
    <x v="1"/>
    <x v="57"/>
    <s v="Editora Sociedad Anonima"/>
    <x v="0"/>
    <x v="57"/>
    <m/>
    <s v="Editorial Comercial - Jujuy"/>
    <x v="3"/>
    <n v="4719.6000000000004"/>
    <x v="1"/>
    <x v="23"/>
    <s v="IAC"/>
    <x v="11"/>
    <x v="1"/>
    <n v="2"/>
    <n v="34.769777777777783"/>
    <x v="0"/>
    <n v="35"/>
    <x v="21"/>
  </r>
  <r>
    <x v="1"/>
    <x v="58"/>
    <s v="Direccion De Prensa Y Medios De Comunicacion"/>
    <x v="20"/>
    <x v="58"/>
    <m/>
    <s v="Editorial Comercial - Jujuy cm OFICIAL"/>
    <x v="2"/>
    <n v="80384.62"/>
    <x v="1"/>
    <x v="23"/>
    <s v="IAC"/>
    <x v="12"/>
    <x v="0"/>
    <n v="5"/>
    <n v="17.000000000722224"/>
    <x v="1"/>
    <n v="17"/>
    <x v="14"/>
  </r>
  <r>
    <x v="2"/>
    <x v="59"/>
    <s v="Analia Segovia"/>
    <x v="0"/>
    <x v="59"/>
    <m/>
    <s v="Guia Prof 2 Col - Jujuy"/>
    <x v="1"/>
    <n v="113.92566666666667"/>
    <x v="0"/>
    <x v="24"/>
    <m/>
    <x v="0"/>
    <x v="0"/>
    <n v="2"/>
    <n v="9.999999998972223"/>
    <x v="0"/>
    <n v="10"/>
    <x v="19"/>
  </r>
  <r>
    <x v="2"/>
    <x v="60"/>
    <s v="Romero  Gabriel"/>
    <x v="0"/>
    <x v="60"/>
    <s v="TEXTO NUEVO_x000d__x000a_SE AUMENTO:    &quot;VENTA EXCLUSIVA DE PRODUCTOS PARA PODOLOGOS&quot;."/>
    <s v="Guia Prof 2 Col - Jujuy"/>
    <x v="1"/>
    <n v="56.962666666666678"/>
    <x v="1"/>
    <x v="25"/>
    <m/>
    <x v="0"/>
    <x v="0"/>
    <n v="2"/>
    <n v="5.0000000012500001"/>
    <x v="0"/>
    <n v="5"/>
    <x v="22"/>
  </r>
  <r>
    <x v="2"/>
    <x v="61"/>
    <s v="Bernard  Barbara"/>
    <x v="0"/>
    <x v="61"/>
    <m/>
    <s v="Guia Prof 2 Col - Jujuy"/>
    <x v="1"/>
    <n v="22.785000000000004"/>
    <x v="0"/>
    <x v="26"/>
    <m/>
    <x v="0"/>
    <x v="0"/>
    <n v="2"/>
    <n v="2.0000000005"/>
    <x v="0"/>
    <n v="2"/>
    <x v="23"/>
  </r>
  <r>
    <x v="2"/>
    <x v="62"/>
    <s v="Bianco  Claudia"/>
    <x v="0"/>
    <x v="62"/>
    <m/>
    <s v="Guia Prof 2 Col - Jujuy"/>
    <x v="1"/>
    <n v="22.785000000000004"/>
    <x v="0"/>
    <x v="26"/>
    <m/>
    <x v="0"/>
    <x v="0"/>
    <n v="2"/>
    <n v="2.0000000005"/>
    <x v="0"/>
    <n v="2"/>
    <x v="23"/>
  </r>
  <r>
    <x v="2"/>
    <x v="63"/>
    <s v="Palavecino Rodriguez Jose Miguel"/>
    <x v="0"/>
    <x v="63"/>
    <s v="REPITE ANUNCIO"/>
    <s v="Guia Prof 2 Col - Jujuy"/>
    <x v="1"/>
    <n v="34.177666666666667"/>
    <x v="0"/>
    <x v="27"/>
    <m/>
    <x v="0"/>
    <x v="0"/>
    <n v="2"/>
    <n v="3.0000000007500001"/>
    <x v="0"/>
    <n v="3"/>
    <x v="18"/>
  </r>
  <r>
    <x v="2"/>
    <x v="64"/>
    <s v="Empresa La Piedad S.A."/>
    <x v="27"/>
    <x v="64"/>
    <m/>
    <s v="Guia Prof 2 Col - Jujuy"/>
    <x v="2"/>
    <n v="59.612903225806448"/>
    <x v="0"/>
    <x v="28"/>
    <m/>
    <x v="0"/>
    <x v="0"/>
    <n v="2"/>
    <n v="4.0000000010000001"/>
    <x v="0"/>
    <n v="4"/>
    <x v="24"/>
  </r>
  <r>
    <x v="2"/>
    <x v="65"/>
    <s v="Singh Gladys Paula Elizabeth"/>
    <x v="25"/>
    <x v="65"/>
    <s v="similar al anuncio 1361322_x000d__x000a__x000d__x000a_cambia TEXTO._x000d__x000a__x000d__x000a_gracias"/>
    <s v="Guia Prof 2 Col - Jujuy"/>
    <x v="1"/>
    <n v="31.117000000000004"/>
    <x v="0"/>
    <x v="29"/>
    <m/>
    <x v="0"/>
    <x v="0"/>
    <n v="2"/>
    <n v="3.0000000007500001"/>
    <x v="0"/>
    <n v="3"/>
    <x v="18"/>
  </r>
  <r>
    <x v="2"/>
    <x v="66"/>
    <s v="BARAC MARTA GRACIELA"/>
    <x v="28"/>
    <x v="66"/>
    <m/>
    <s v="Guia Prof 2 Col - Jujuy"/>
    <x v="2"/>
    <n v="48.510322580645173"/>
    <x v="0"/>
    <x v="29"/>
    <m/>
    <x v="0"/>
    <x v="0"/>
    <n v="2"/>
    <n v="3.0000000007500001"/>
    <x v="0"/>
    <n v="3"/>
    <x v="18"/>
  </r>
  <r>
    <x v="2"/>
    <x v="67"/>
    <s v="Reinaldi Florencia"/>
    <x v="0"/>
    <x v="67"/>
    <m/>
    <s v="Guia Prof 2 Col - Jujuy"/>
    <x v="1"/>
    <n v="34.177666666666667"/>
    <x v="0"/>
    <x v="30"/>
    <m/>
    <x v="0"/>
    <x v="0"/>
    <n v="2"/>
    <n v="3.0000000007500001"/>
    <x v="0"/>
    <n v="3"/>
    <x v="18"/>
  </r>
  <r>
    <x v="2"/>
    <x v="68"/>
    <s v="Carchidi Ayarde Maria Celeste"/>
    <x v="0"/>
    <x v="68"/>
    <s v="LOGO DE WASTHSAPP  Y NOMBRE MAS GRANDE"/>
    <s v="Guia Prof 2 Col - Jujuy"/>
    <x v="1"/>
    <n v="22.785000000000004"/>
    <x v="0"/>
    <x v="30"/>
    <m/>
    <x v="0"/>
    <x v="0"/>
    <n v="2"/>
    <n v="2.0000000005"/>
    <x v="0"/>
    <n v="2"/>
    <x v="23"/>
  </r>
  <r>
    <x v="2"/>
    <x v="69"/>
    <s v="Orce Remis Esteban"/>
    <x v="0"/>
    <x v="69"/>
    <s v="MISMO DISEÑO SOLO CAMBIA EL NUMERO DE TELEFONO"/>
    <s v="Guia Prof 2 Col - Jujuy"/>
    <x v="1"/>
    <n v="113.92566666666667"/>
    <x v="0"/>
    <x v="30"/>
    <m/>
    <x v="0"/>
    <x v="0"/>
    <n v="2"/>
    <n v="9.999999998972223"/>
    <x v="0"/>
    <n v="10"/>
    <x v="19"/>
  </r>
  <r>
    <x v="2"/>
    <x v="70"/>
    <s v="Lopez Salgado Guillermo"/>
    <x v="0"/>
    <x v="70"/>
    <m/>
    <s v="Guia Prof 2 Col - Jujuy"/>
    <x v="1"/>
    <n v="22.785000000000004"/>
    <x v="0"/>
    <x v="30"/>
    <m/>
    <x v="0"/>
    <x v="0"/>
    <n v="2"/>
    <n v="2.0000000005"/>
    <x v="0"/>
    <n v="2"/>
    <x v="23"/>
  </r>
  <r>
    <x v="2"/>
    <x v="71"/>
    <s v="Pastore  Ana Laura"/>
    <x v="0"/>
    <x v="71"/>
    <m/>
    <s v="Guia Prof 2 Col - Jujuy"/>
    <x v="1"/>
    <n v="34.177666666666667"/>
    <x v="0"/>
    <x v="30"/>
    <m/>
    <x v="0"/>
    <x v="0"/>
    <n v="2"/>
    <n v="3.0000000007500001"/>
    <x v="0"/>
    <n v="3"/>
    <x v="18"/>
  </r>
  <r>
    <x v="3"/>
    <x v="72"/>
    <s v="Mota  Facundo"/>
    <x v="0"/>
    <x v="72"/>
    <m/>
    <s v="Obituario Modulo - Jujuy"/>
    <x v="1"/>
    <n v="1899.08"/>
    <x v="1"/>
    <x v="31"/>
    <m/>
    <x v="0"/>
    <x v="0"/>
    <n v="3"/>
    <n v="9.8777777777777782"/>
    <x v="0"/>
    <n v="10"/>
    <x v="25"/>
  </r>
  <r>
    <x v="3"/>
    <x v="73"/>
    <s v="Alfaro Gaspar"/>
    <x v="0"/>
    <x v="73"/>
    <s v="con foto color carpeta dia 10 atencion"/>
    <s v="Obituario Modulo - Jujuy"/>
    <x v="1"/>
    <n v="844.0300000000002"/>
    <x v="1"/>
    <x v="31"/>
    <m/>
    <x v="0"/>
    <x v="0"/>
    <n v="2"/>
    <n v="6.3217777777777773"/>
    <x v="0"/>
    <n v="6"/>
    <x v="20"/>
  </r>
  <r>
    <x v="3"/>
    <x v="74"/>
    <s v="Sanchez Juan Domingo."/>
    <x v="29"/>
    <x v="74"/>
    <m/>
    <s v="Obituario Modulo - Jujuy"/>
    <x v="2"/>
    <n v="1266.04"/>
    <x v="1"/>
    <x v="31"/>
    <m/>
    <x v="0"/>
    <x v="0"/>
    <n v="2"/>
    <n v="9.8777777777777782"/>
    <x v="0"/>
    <n v="10"/>
    <x v="19"/>
  </r>
  <r>
    <x v="3"/>
    <x v="75"/>
    <s v="Ruiz Nora Del Rosario"/>
    <x v="0"/>
    <x v="75"/>
    <m/>
    <s v="Obituario Modulo - Jujuy"/>
    <x v="1"/>
    <n v="1899.08"/>
    <x v="1"/>
    <x v="31"/>
    <m/>
    <x v="0"/>
    <x v="0"/>
    <n v="3"/>
    <n v="9.8777777777777782"/>
    <x v="0"/>
    <n v="10"/>
    <x v="25"/>
  </r>
  <r>
    <x v="3"/>
    <x v="76"/>
    <s v="Werchow Servicios Sociales S.R.L."/>
    <x v="30"/>
    <x v="76"/>
    <m/>
    <s v="Obituario Modulo - Jujuy"/>
    <x v="2"/>
    <n v="453.33"/>
    <x v="0"/>
    <x v="31"/>
    <m/>
    <x v="0"/>
    <x v="0"/>
    <n v="1"/>
    <n v="9.8777777777777782"/>
    <x v="0"/>
    <n v="10"/>
    <x v="5"/>
  </r>
  <r>
    <x v="3"/>
    <x v="77"/>
    <s v="GUTIERREZ EDUARDO ESTEBAN"/>
    <x v="31"/>
    <x v="77"/>
    <s v="va con foto"/>
    <s v="Obituario Modulo - Jujuy"/>
    <x v="2"/>
    <n v="1266.04"/>
    <x v="1"/>
    <x v="31"/>
    <m/>
    <x v="0"/>
    <x v="0"/>
    <n v="2"/>
    <n v="9.8777777777777782"/>
    <x v="0"/>
    <n v="10"/>
    <x v="19"/>
  </r>
  <r>
    <x v="3"/>
    <x v="78"/>
    <s v=" VIDEO VISION LA QUIACA SOCIEDAD ANONIMA"/>
    <x v="32"/>
    <x v="78"/>
    <m/>
    <s v="Obituario Modulo - Jujuy"/>
    <x v="2"/>
    <n v="1266.04"/>
    <x v="1"/>
    <x v="31"/>
    <m/>
    <x v="0"/>
    <x v="0"/>
    <n v="2"/>
    <n v="9.8777777777777782"/>
    <x v="0"/>
    <n v="10"/>
    <x v="19"/>
  </r>
  <r>
    <x v="4"/>
    <x v="79"/>
    <s v="Caceres Carlos Roberto"/>
    <x v="33"/>
    <x v="79"/>
    <m/>
    <s v="Editorial Comercial - Jujuy"/>
    <x v="2"/>
    <n v="0"/>
    <x v="1"/>
    <x v="18"/>
    <s v="SU"/>
    <x v="13"/>
    <x v="0"/>
    <n v="2"/>
    <n v="6.3217777777777773"/>
    <x v="0"/>
    <n v="6"/>
    <x v="20"/>
  </r>
  <r>
    <x v="4"/>
    <x v="80"/>
    <s v="Empresa La Piedad S.A."/>
    <x v="20"/>
    <x v="64"/>
    <m/>
    <s v="Editorial Comercial - Jujuy"/>
    <x v="2"/>
    <n v="518.76"/>
    <x v="1"/>
    <x v="18"/>
    <s v="SU"/>
    <x v="14"/>
    <x v="0"/>
    <n v="2"/>
    <n v="9.8777777777777782"/>
    <x v="0"/>
    <n v="10"/>
    <x v="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0" applyNumberFormats="0" applyBorderFormats="0" applyFontFormats="0" applyPatternFormats="0" applyAlignmentFormats="0" applyWidthHeightFormats="1" dataCaption="Valores" errorCaption="0" missingCaption="*" showMissing="0" updatedVersion="6" minRefreshableVersion="3" showDrill="0" rowGrandTotals="0" colGrandTotals="0" createdVersion="4" indent="0" compact="0" compactData="0" multipleFieldFilters="0">
  <location ref="A1:L100" firstHeaderRow="1" firstDataRow="1" firstDataCol="11"/>
  <pivotFields count="19">
    <pivotField axis="axisRow" compact="0" outline="0" showAll="0" insertPageBreak="1" sortType="descending" defaultSubtotal="0">
      <items count="13">
        <item x="4"/>
        <item m="1" x="7"/>
        <item m="1" x="6"/>
        <item m="1" x="11"/>
        <item m="1" x="9"/>
        <item m="1" x="5"/>
        <item m="1" x="12"/>
        <item m="1" x="8"/>
        <item m="1" x="10"/>
        <item x="3"/>
        <item x="2"/>
        <item x="1"/>
        <item x="0"/>
      </items>
    </pivotField>
    <pivotField axis="axisRow" dataField="1" compact="0" outline="0" showAll="0" defaultSubtotal="0">
      <items count="5171">
        <item m="1" x="5024"/>
        <item m="1" x="948"/>
        <item m="1" x="3336"/>
        <item m="1" x="4247"/>
        <item m="1" x="90"/>
        <item m="1" x="3264"/>
        <item m="1" x="2702"/>
        <item m="1" x="2685"/>
        <item m="1" x="2297"/>
        <item m="1" x="3819"/>
        <item m="1" x="2404"/>
        <item m="1" x="3843"/>
        <item m="1" x="1265"/>
        <item m="1" x="3633"/>
        <item m="1" x="2793"/>
        <item m="1" x="4834"/>
        <item m="1" x="4028"/>
        <item m="1" x="1098"/>
        <item m="1" x="1872"/>
        <item m="1" x="4368"/>
        <item m="1" x="4523"/>
        <item m="1" x="5008"/>
        <item m="1" x="5161"/>
        <item m="1" x="3890"/>
        <item m="1" x="4209"/>
        <item m="1" x="2173"/>
        <item m="1" x="4198"/>
        <item m="1" x="4851"/>
        <item m="1" x="3448"/>
        <item m="1" x="3096"/>
        <item m="1" x="3476"/>
        <item m="1" x="3181"/>
        <item m="1" x="3271"/>
        <item m="1" x="3922"/>
        <item m="1" x="1669"/>
        <item m="1" x="1993"/>
        <item m="1" x="1847"/>
        <item m="1" x="3347"/>
        <item m="1" x="2896"/>
        <item m="1" x="2598"/>
        <item m="1" x="1885"/>
        <item m="1" x="3631"/>
        <item m="1" x="145"/>
        <item m="1" x="4589"/>
        <item m="1" x="2972"/>
        <item m="1" x="1927"/>
        <item m="1" x="1497"/>
        <item m="1" x="3193"/>
        <item m="1" x="3650"/>
        <item m="1" x="1873"/>
        <item m="1" x="1745"/>
        <item m="1" x="2629"/>
        <item m="1" x="3477"/>
        <item m="1" x="3660"/>
        <item m="1" x="834"/>
        <item m="1" x="1886"/>
        <item m="1" x="2063"/>
        <item m="1" x="2530"/>
        <item m="1" x="4052"/>
        <item m="1" x="4143"/>
        <item m="1" x="543"/>
        <item m="1" x="3981"/>
        <item m="1" x="2934"/>
        <item m="1" x="4673"/>
        <item m="1" x="2382"/>
        <item m="1" x="3898"/>
        <item m="1" x="227"/>
        <item m="1" x="361"/>
        <item m="1" x="4155"/>
        <item m="1" x="3664"/>
        <item m="1" x="1450"/>
        <item m="1" x="2071"/>
        <item m="1" x="5017"/>
        <item m="1" x="3856"/>
        <item m="1" x="3677"/>
        <item m="1" x="4391"/>
        <item m="1" x="5036"/>
        <item m="1" x="1796"/>
        <item m="1" x="569"/>
        <item m="1" x="91"/>
        <item m="1" x="372"/>
        <item m="1" x="117"/>
        <item m="1" x="2358"/>
        <item m="1" x="3232"/>
        <item m="1" x="2960"/>
        <item m="1" x="2471"/>
        <item m="1" x="890"/>
        <item m="1" x="5048"/>
        <item m="1" x="3095"/>
        <item m="1" x="1906"/>
        <item m="1" x="3941"/>
        <item m="1" x="4865"/>
        <item m="1" x="413"/>
        <item m="1" x="3581"/>
        <item m="1" x="905"/>
        <item m="1" x="1279"/>
        <item m="1" x="4361"/>
        <item m="1" x="1626"/>
        <item m="1" x="3857"/>
        <item m="1" x="414"/>
        <item m="1" x="3255"/>
        <item m="1" x="904"/>
        <item m="1" x="1502"/>
        <item m="1" x="3647"/>
        <item m="1" x="768"/>
        <item m="1" x="1627"/>
        <item m="1" x="3248"/>
        <item m="1" x="2846"/>
        <item m="1" x="2295"/>
        <item m="1" x="92"/>
        <item m="1" x="1135"/>
        <item m="1" x="1106"/>
        <item m="1" x="3449"/>
        <item m="1" x="4027"/>
        <item m="1" x="3121"/>
        <item m="1" x="3678"/>
        <item m="1" x="2037"/>
        <item m="1" x="4694"/>
        <item m="1" x="1312"/>
        <item m="1" x="1323"/>
        <item m="1" x="3844"/>
        <item m="1" x="931"/>
        <item m="1" x="1710"/>
        <item m="1" x="4729"/>
        <item m="1" x="264"/>
        <item m="1" x="3972"/>
        <item m="1" x="4305"/>
        <item m="1" x="512"/>
        <item m="1" x="804"/>
        <item m="1" x="2692"/>
        <item m="1" x="4674"/>
        <item m="1" x="1419"/>
        <item m="1" x="3714"/>
        <item m="1" x="2184"/>
        <item m="1" x="2160"/>
        <item m="1" x="1327"/>
        <item m="1" x="3010"/>
        <item m="1" x="3135"/>
        <item m="1" x="125"/>
        <item m="1" x="3386"/>
        <item m="1" x="736"/>
        <item m="1" x="1988"/>
        <item m="1" x="2029"/>
        <item m="1" x="2703"/>
        <item m="1" x="1709"/>
        <item m="1" x="1874"/>
        <item m="1" x="2194"/>
        <item m="1" x="2334"/>
        <item m="1" x="1513"/>
        <item m="1" x="2454"/>
        <item m="1" x="2607"/>
        <item m="1" x="4325"/>
        <item m="1" x="4569"/>
        <item m="1" x="2991"/>
        <item m="1" x="3776"/>
        <item m="1" x="2193"/>
        <item m="1" x="3726"/>
        <item m="1" x="5010"/>
        <item m="1" x="3337"/>
        <item m="1" x="4122"/>
        <item m="1" x="4830"/>
        <item m="1" x="2359"/>
        <item m="1" x="2226"/>
        <item m="1" x="2368"/>
        <item m="1" x="4446"/>
        <item m="1" x="3739"/>
        <item m="1" x="4092"/>
        <item m="1" x="5033"/>
        <item m="1" x="180"/>
        <item m="1" x="289"/>
        <item m="1" x="4078"/>
        <item m="1" x="4259"/>
        <item m="1" x="2523"/>
        <item m="1" x="1288"/>
        <item m="1" x="2875"/>
        <item m="1" x="3433"/>
        <item m="1" x="591"/>
        <item m="1" x="4968"/>
        <item m="1" x="1008"/>
        <item m="1" x="1380"/>
        <item m="1" x="2383"/>
        <item m="1" x="1863"/>
        <item m="1" x="1636"/>
        <item m="1" x="2577"/>
        <item m="1" x="3328"/>
        <item m="1" x="2463"/>
        <item m="1" x="4032"/>
        <item m="1" x="1399"/>
        <item m="1" x="4757"/>
        <item m="1" x="752"/>
        <item m="1" x="2405"/>
        <item m="1" x="2502"/>
        <item m="1" x="4582"/>
        <item m="1" x="4907"/>
        <item m="1" x="5089"/>
        <item m="1" x="3706"/>
        <item m="1" x="4581"/>
        <item m="1" x="3727"/>
        <item m="1" x="615"/>
        <item m="1" x="643"/>
        <item m="1" x="4059"/>
        <item m="1" x="2729"/>
        <item m="1" x="3230"/>
        <item m="1" x="4307"/>
        <item m="1" x="1526"/>
        <item m="1" x="4860"/>
        <item m="1" x="4091"/>
        <item m="1" x="4431"/>
        <item m="1" x="1489"/>
        <item m="1" x="2397"/>
        <item m="1" x="4449"/>
        <item m="1" x="3152"/>
        <item m="1" x="1313"/>
        <item m="1" x="306"/>
        <item m="1" x="4535"/>
        <item m="1" x="3459"/>
        <item m="1" x="3414"/>
        <item m="1" x="2212"/>
        <item m="1" x="4260"/>
        <item m="1" x="3424"/>
        <item m="1" x="4657"/>
        <item m="1" x="1181"/>
        <item m="1" x="801"/>
        <item m="1" x="132"/>
        <item m="1" x="4448"/>
        <item m="1" x="3242"/>
        <item m="1" x="3450"/>
        <item m="1" x="3642"/>
        <item m="1" x="4218"/>
        <item m="1" x="3277"/>
        <item m="1" x="4930"/>
        <item m="1" x="5104"/>
        <item m="1" x="570"/>
        <item m="1" x="761"/>
        <item m="1" x="4392"/>
        <item m="1" x="2859"/>
        <item m="1" x="3596"/>
        <item m="1" x="3065"/>
        <item m="1" x="3573"/>
        <item m="1" x="4738"/>
        <item m="1" x="4894"/>
        <item m="1" x="5060"/>
        <item m="1" x="571"/>
        <item m="1" x="790"/>
        <item m="1" x="2152"/>
        <item m="1" x="4047"/>
        <item m="1" x="3124"/>
        <item m="1" x="4225"/>
        <item m="1" x="4377"/>
        <item m="1" x="4558"/>
        <item m="1" x="599"/>
        <item m="1" x="769"/>
        <item m="1" x="3083"/>
        <item m="1" x="3012"/>
        <item m="1" x="2949"/>
        <item m="1" x="2879"/>
        <item m="1" x="4237"/>
        <item m="1" x="2276"/>
        <item m="1" x="582"/>
        <item m="1" x="770"/>
        <item m="1" x="290"/>
        <item m="1" x="460"/>
        <item m="1" x="614"/>
        <item m="1" x="802"/>
        <item m="1" x="976"/>
        <item m="1" x="1171"/>
        <item m="1" x="1349"/>
        <item m="1" x="1527"/>
        <item m="1" x="1680"/>
        <item m="1" x="1852"/>
        <item m="1" x="629"/>
        <item m="1" x="810"/>
        <item m="1" x="991"/>
        <item m="1" x="1180"/>
        <item m="1" x="1364"/>
        <item m="1" x="1539"/>
        <item m="1" x="1694"/>
        <item m="1" x="1862"/>
        <item m="1" x="2009"/>
        <item m="1" x="2178"/>
        <item m="1" x="4294"/>
        <item m="1" x="3749"/>
        <item m="1" x="4895"/>
        <item m="1" x="4093"/>
        <item m="1" x="4271"/>
        <item m="1" x="4432"/>
        <item m="1" x="4606"/>
        <item m="1" x="4758"/>
        <item m="1" x="4940"/>
        <item m="1" x="5076"/>
        <item m="1" x="148"/>
        <item m="1" x="265"/>
        <item m="1" x="428"/>
        <item m="1" x="271"/>
        <item m="1" x="441"/>
        <item m="1" x="474"/>
        <item m="1" x="600"/>
        <item m="1" x="1158"/>
        <item m="1" x="5105"/>
        <item m="1" x="181"/>
        <item m="1" x="461"/>
        <item m="1" x="1006"/>
        <item m="1" x="475"/>
        <item m="1" x="3964"/>
        <item m="1" x="3775"/>
        <item m="1" x="1695"/>
        <item m="1" x="1035"/>
        <item m="1" x="4029"/>
        <item m="1" x="1549"/>
        <item m="1" x="1732"/>
        <item m="1" x="2034"/>
        <item m="1" x="2936"/>
        <item m="1" x="3000"/>
        <item m="1" x="3142"/>
        <item m="1" x="3297"/>
        <item m="1" x="3434"/>
        <item m="1" x="3911"/>
        <item m="1" x="3923"/>
        <item m="1" x="4048"/>
        <item m="1" x="4908"/>
        <item m="1" x="4624"/>
        <item m="1" x="1706"/>
        <item m="1" x="141"/>
        <item m="1" x="906"/>
        <item m="1" x="452"/>
        <item m="1" x="791"/>
        <item m="1" x="1203"/>
        <item m="1" x="4570"/>
        <item m="1" x="656"/>
        <item m="1" x="1540"/>
        <item m="1" x="5106"/>
        <item m="1" x="811"/>
        <item m="1" x="4638"/>
        <item m="1" x="861"/>
        <item m="1" x="2609"/>
        <item m="1" x="5061"/>
        <item m="1" x="1233"/>
        <item m="1" x="820"/>
        <item m="1" x="133"/>
        <item m="1" x="4607"/>
        <item m="1" x="4920"/>
        <item m="1" x="1365"/>
        <item m="1" x="4403"/>
        <item m="1" x="2168"/>
        <item m="1" x="4450"/>
        <item m="1" x="1339"/>
        <item m="1" x="1753"/>
        <item m="1" x="1514"/>
        <item m="1" x="1853"/>
        <item m="1" x="1366"/>
        <item m="1" x="4272"/>
        <item m="1" x="302"/>
        <item m="1" x="616"/>
        <item m="1" x="1189"/>
        <item m="1" x="2617"/>
        <item m="1" x="2027"/>
        <item m="1" x="2043"/>
        <item m="1" x="1670"/>
        <item m="1" x="3910"/>
        <item m="1" x="819"/>
        <item m="1" x="3036"/>
        <item m="1" x="4668"/>
        <item m="1" x="3511"/>
        <item m="1" x="3692"/>
        <item m="1" x="1228"/>
        <item m="1" x="4815"/>
        <item m="1" x="2070"/>
        <item m="1" x="2922"/>
        <item m="1" x="1884"/>
        <item m="1" x="1733"/>
        <item m="1" x="1229"/>
        <item m="1" x="4932"/>
        <item m="1" x="4573"/>
        <item m="1" x="1761"/>
        <item m="1" x="4494"/>
        <item m="1" x="3766"/>
        <item m="1" x="2166"/>
        <item m="1" x="2632"/>
        <item m="1" x="4941"/>
        <item m="1" x="4430"/>
        <item m="1" x="668"/>
        <item m="1" x="3621"/>
        <item m="1" x="2059"/>
        <item m="1" x="2773"/>
        <item m="1" x="4344"/>
        <item m="1" x="3836"/>
        <item m="1" x="1391"/>
        <item m="1" x="3061"/>
        <item m="1" x="3332"/>
        <item m="1" x="992"/>
        <item m="1" x="4994"/>
        <item m="1" x="3748"/>
        <item m="1" x="3750"/>
        <item m="1" x="3942"/>
        <item m="1" x="150"/>
        <item m="1" x="1562"/>
        <item m="1" x="4362"/>
        <item m="1" x="4200"/>
        <item m="1" x="536"/>
        <item m="1" x="3249"/>
        <item m="1" x="613"/>
        <item m="1" x="3190"/>
        <item m="1" x="5147"/>
        <item m="1" x="2035"/>
        <item m="1" x="3343"/>
        <item m="1" x="1788"/>
        <item m="1" x="2044"/>
        <item m="1" x="1610"/>
        <item m="1" x="953"/>
        <item m="1" x="3075"/>
        <item m="1" x="3321"/>
        <item m="1" x="2707"/>
        <item m="1" x="502"/>
        <item m="1" x="2951"/>
        <item m="1" x="1752"/>
        <item m="1" x="3983"/>
        <item m="1" x="1070"/>
        <item m="1" x="412"/>
        <item m="1" x="3827"/>
        <item m="1" x="2223"/>
        <item m="1" x="4111"/>
        <item m="1" x="1179"/>
        <item m="1" x="2512"/>
        <item m="1" x="2764"/>
        <item m="1" x="4345"/>
        <item m="1" x="1230"/>
        <item m="1" x="979"/>
        <item m="1" x="3519"/>
        <item m="1" x="3117"/>
        <item m="1" x="4876"/>
        <item m="1" x="5037"/>
        <item m="1" x="81"/>
        <item m="1" x="220"/>
        <item m="1" x="384"/>
        <item m="1" x="581"/>
        <item m="1" x="3562"/>
        <item m="1" x="4058"/>
        <item m="1" x="2244"/>
        <item m="1" x="2376"/>
        <item m="1" x="2507"/>
        <item m="1" x="2627"/>
        <item m="1" x="2756"/>
        <item m="1" x="3044"/>
        <item m="1" x="2386"/>
        <item m="1" x="2511"/>
        <item m="1" x="2763"/>
        <item m="1" x="3052"/>
        <item m="1" x="4852"/>
        <item m="1" x="2817"/>
        <item m="1" x="2571"/>
        <item m="1" x="3566"/>
        <item m="1" x="1047"/>
        <item m="1" x="2631"/>
        <item m="1" x="683"/>
        <item m="1" x="2508"/>
        <item m="1" x="4000"/>
        <item m="1" x="1743"/>
        <item m="1" x="1931"/>
        <item m="1" x="3353"/>
        <item m="1" x="2279"/>
        <item m="1" x="3359"/>
        <item m="1" x="1082"/>
        <item m="1" x="1260"/>
        <item m="1" x="2796"/>
        <item m="1" x="4406"/>
        <item m="1" x="1046"/>
        <item m="1" x="1953"/>
        <item m="1" x="2774"/>
        <item m="1" x="2077"/>
        <item m="1" x="4011"/>
        <item m="1" x="1348"/>
        <item m="1" x="4648"/>
        <item m="1" x="3773"/>
        <item m="1" x="3296"/>
        <item m="1" x="2787"/>
        <item m="1" x="2385"/>
        <item m="1" x="2257"/>
        <item m="1" x="4130"/>
        <item m="1" x="3274"/>
        <item m="1" x="1775"/>
        <item m="1" x="1938"/>
        <item m="1" x="2657"/>
        <item m="1" x="2941"/>
        <item m="1" x="4949"/>
        <item m="1" x="4696"/>
        <item m="1" x="3554"/>
        <item m="1" x="1590"/>
        <item m="1" x="1762"/>
        <item m="1" x="1970"/>
        <item m="1" x="4382"/>
        <item m="1" x="2114"/>
        <item m="1" x="2079"/>
        <item m="1" x="3499"/>
        <item m="1" x="2964"/>
        <item m="1" x="4879"/>
        <item m="1" x="5077"/>
        <item m="1" x="732"/>
        <item m="1" x="878"/>
        <item m="1" x="4537"/>
        <item m="1" x="4952"/>
        <item m="1" x="5125"/>
        <item m="1" x="4415"/>
        <item m="1" x="4727"/>
        <item m="1" x="2634"/>
        <item m="1" x="2766"/>
        <item m="1" x="2080"/>
        <item m="1" x="2245"/>
        <item m="1" x="2656"/>
        <item m="1" x="3849"/>
        <item m="1" x="4001"/>
        <item m="1" x="1416"/>
        <item m="1" x="1583"/>
        <item m="1" x="3062"/>
        <item m="1" x="2401"/>
        <item m="1" x="2526"/>
        <item m="1" x="5113"/>
        <item m="1" x="4357"/>
        <item m="1" x="4685"/>
        <item m="1" x="2364"/>
        <item m="1" x="3051"/>
        <item m="1" x="3528"/>
        <item m="1" x="5012"/>
        <item m="1" x="2654"/>
        <item m="1" x="1768"/>
        <item m="1" x="1246"/>
        <item m="1" x="3367"/>
        <item m="1" x="2560"/>
        <item m="1" x="1156"/>
        <item m="1" x="1466"/>
        <item m="1" x="4944"/>
        <item m="1" x="3395"/>
        <item m="1" x="3683"/>
        <item m="1" x="4407"/>
        <item m="1" x="2818"/>
        <item m="1" x="3656"/>
        <item m="1" x="2775"/>
        <item m="1" x="3859"/>
        <item m="1" x="4012"/>
        <item m="1" x="2089"/>
        <item m="1" x="1907"/>
        <item m="1" x="1107"/>
        <item m="1" x="1261"/>
        <item m="1" x="1478"/>
        <item m="1" x="3505"/>
        <item m="1" x="3097"/>
        <item m="1" x="2531"/>
        <item m="1" x="2797"/>
        <item m="1" x="2952"/>
        <item m="1" x="3076"/>
        <item m="1" x="3088"/>
        <item m="1" x="2517"/>
        <item m="1" x="3344"/>
        <item m="1" x="2633"/>
        <item m="1" x="2728"/>
        <item m="1" x="2670"/>
        <item m="1" x="3807"/>
        <item m="1" x="3529"/>
        <item m="1" x="4707"/>
        <item m="1" x="4459"/>
        <item m="1" x="3717"/>
        <item m="1" x="2710"/>
        <item m="1" x="693"/>
        <item m="1" x="3869"/>
        <item m="1" x="2409"/>
        <item m="1" x="1769"/>
        <item m="1" x="1443"/>
        <item m="1" x="3893"/>
        <item m="1" x="3932"/>
        <item m="1" x="2422"/>
        <item m="1" x="3106"/>
        <item m="1" x="2550"/>
        <item m="1" x="3243"/>
        <item m="1" x="1790"/>
        <item m="1" x="3828"/>
        <item m="1" x="705"/>
        <item m="1" x="2437"/>
        <item m="1" x="1791"/>
        <item m="1" x="1944"/>
        <item m="1" x="2090"/>
        <item m="1" x="4460"/>
        <item m="1" x="2648"/>
        <item m="1" x="1957"/>
        <item m="1" x="714"/>
        <item m="1" x="2102"/>
        <item m="1" x="2785"/>
        <item m="1" x="3402"/>
        <item m="1" x="1824"/>
        <item m="1" x="3545"/>
        <item m="1" x="352"/>
        <item m="1" x="3709"/>
        <item m="1" x="4226"/>
        <item m="1" x="2265"/>
        <item m="1" x="2299"/>
        <item m="1" x="4837"/>
        <item m="1" x="2438"/>
        <item m="1" x="2567"/>
        <item m="1" x="2513"/>
        <item m="1" x="1428"/>
        <item m="1" x="2060"/>
        <item m="1" x="4002"/>
        <item m="1" x="2966"/>
        <item m="1" x="3235"/>
        <item m="1" x="3108"/>
        <item m="1" x="4214"/>
        <item m="1" x="1444"/>
        <item m="1" x="642"/>
        <item m="1" x="2298"/>
        <item m="1" x="2566"/>
        <item m="1" x="4549"/>
        <item m="1" x="5170"/>
        <item m="1" x="2841"/>
        <item m="1" x="2663"/>
        <item m="1" x="4060"/>
        <item m="1" x="4372"/>
        <item m="1" x="1629"/>
        <item m="1" x="1405"/>
        <item m="1" x="3387"/>
        <item m="1" x="3162"/>
        <item m="1" x="2963"/>
        <item m="1" x="4663"/>
        <item m="1" x="1808"/>
        <item m="1" x="1858"/>
        <item m="1" x="1116"/>
        <item m="1" x="2533"/>
        <item m="1" x="4018"/>
        <item m="1" x="2486"/>
        <item m="1" x="2066"/>
        <item m="1" x="4151"/>
        <item m="1" x="1368"/>
        <item m="1" x="1684"/>
        <item m="1" x="1809"/>
        <item m="1" x="2001"/>
        <item m="1" x="2140"/>
        <item m="1" x="2289"/>
        <item m="1" x="1285"/>
        <item m="1" x="2127"/>
        <item m="1" x="2312"/>
        <item m="1" x="2423"/>
        <item m="1" x="3628"/>
        <item m="1" x="417"/>
        <item m="1" x="4893"/>
        <item m="1" x="5059"/>
        <item m="1" x="103"/>
        <item m="1" x="237"/>
        <item m="1" x="404"/>
        <item m="1" x="598"/>
        <item m="1" x="3582"/>
        <item m="1" x="4077"/>
        <item m="1" x="2264"/>
        <item m="1" x="2393"/>
        <item m="1" x="2518"/>
        <item m="1" x="2639"/>
        <item m="1" x="2772"/>
        <item m="1" x="3060"/>
        <item m="1" x="2400"/>
        <item m="1" x="2525"/>
        <item m="1" x="2784"/>
        <item m="1" x="3087"/>
        <item m="1" x="4580"/>
        <item m="1" x="3251"/>
        <item m="1" x="2394"/>
        <item m="1" x="2532"/>
        <item m="1" x="3651"/>
        <item m="1" x="2280"/>
        <item m="1" x="2457"/>
        <item m="1" x="3127"/>
        <item m="1" x="2996"/>
        <item m="1" x="3428"/>
        <item m="1" x="3555"/>
        <item m="1" x="4750"/>
        <item m="1" x="2568"/>
        <item m="1" x="1825"/>
        <item m="1" x="3265"/>
        <item m="1" x="3741"/>
        <item m="1" x="759"/>
        <item m="1" x="1297"/>
        <item m="1" x="1467"/>
        <item m="1" x="1630"/>
        <item m="1" x="1799"/>
        <item m="1" x="1954"/>
        <item m="1" x="1810"/>
        <item m="1" x="2465"/>
        <item m="1" x="2104"/>
        <item m="1" x="2324"/>
        <item m="1" x="2809"/>
        <item m="1" x="3751"/>
        <item m="1" x="3933"/>
        <item m="1" x="3310"/>
        <item m="1" x="4897"/>
        <item m="1" x="2808"/>
        <item m="1" x="2860"/>
        <item m="1" x="2018"/>
        <item m="1" x="2586"/>
        <item m="1" x="2128"/>
        <item m="1" x="3710"/>
        <item m="1" x="1381"/>
        <item m="1" x="3873"/>
        <item m="1" x="2992"/>
        <item m="1" x="731"/>
        <item m="1" x="2820"/>
        <item m="1" x="1834"/>
        <item m="1" x="4061"/>
        <item m="1" x="2986"/>
        <item m="1" x="3129"/>
        <item m="1" x="3266"/>
        <item m="1" x="4215"/>
        <item m="1" x="3417"/>
        <item m="1" x="3945"/>
        <item m="1" x="4418"/>
        <item m="1" x="2126"/>
        <item m="1" x="4739"/>
        <item m="1" x="2852"/>
        <item m="1" x="2863"/>
        <item m="1" x="2183"/>
        <item m="1" x="2432"/>
        <item m="1" x="321"/>
        <item m="1" x="4395"/>
        <item m="1" x="5146"/>
        <item m="1" x="590"/>
        <item m="1" x="778"/>
        <item m="1" x="4168"/>
        <item m="1" x="4447"/>
        <item m="1" x="4749"/>
        <item m="1" x="2649"/>
        <item m="1" x="2786"/>
        <item m="1" x="2103"/>
        <item m="1" x="4114"/>
        <item m="1" x="2493"/>
        <item m="1" x="3544"/>
        <item m="1" x="2779"/>
        <item m="1" x="4783"/>
        <item m="1" x="2169"/>
        <item m="1" x="4074"/>
        <item m="1" x="2851"/>
        <item m="1" x="3730"/>
        <item m="1" x="3919"/>
        <item m="1" x="4248"/>
        <item m="1" x="3603"/>
        <item m="1" x="758"/>
        <item m="1" x="2862"/>
        <item m="1" x="3571"/>
        <item m="1" x="4257"/>
        <item m="1" x="4898"/>
        <item m="1" x="4434"/>
        <item m="1" x="3001"/>
        <item m="1" x="5098"/>
        <item m="1" x="3119"/>
        <item m="1" x="3752"/>
        <item m="1" x="4440"/>
        <item m="1" x="4616"/>
        <item m="1" x="4770"/>
        <item m="1" x="4929"/>
        <item m="1" x="3784"/>
        <item m="1" x="3957"/>
        <item m="1" x="4289"/>
        <item m="1" x="4633"/>
        <item m="1" x="448"/>
        <item m="1" x="2300"/>
        <item m="1" x="3925"/>
        <item m="1" x="130"/>
        <item m="1" x="129"/>
        <item m="1" x="3866"/>
        <item m="1" x="2967"/>
        <item m="1" x="3100"/>
        <item m="1" x="1305"/>
        <item m="1" x="1479"/>
        <item m="1" x="1640"/>
        <item m="1" x="2290"/>
        <item m="1" x="2415"/>
        <item m="1" x="2541"/>
        <item m="1" x="1649"/>
        <item m="1" x="1971"/>
        <item m="1" x="1811"/>
        <item m="1" x="2291"/>
        <item m="1" x="1142"/>
        <item m="1" x="1320"/>
        <item m="1" x="1494"/>
        <item m="1" x="1673"/>
        <item m="1" x="1826"/>
        <item m="1" x="1972"/>
        <item m="1" x="2129"/>
        <item m="1" x="2301"/>
        <item m="1" x="2424"/>
        <item m="1" x="2551"/>
        <item m="1" x="1506"/>
        <item m="1" x="1835"/>
        <item m="1" x="4562"/>
        <item m="1" x="201"/>
        <item m="1" x="5140"/>
        <item m="1" x="2993"/>
        <item m="1" x="3137"/>
        <item m="1" x="3275"/>
        <item m="1" x="4760"/>
        <item m="1" x="2687"/>
        <item m="1" x="2458"/>
        <item m="1" x="4625"/>
        <item m="1" x="1480"/>
        <item m="1" x="1660"/>
        <item m="1" x="1958"/>
        <item m="1" x="1164"/>
        <item m="1" x="863"/>
        <item m="1" x="1698"/>
        <item m="1" x="1530"/>
        <item m="1" x="418"/>
        <item m="1" x="1054"/>
        <item m="1" x="3281"/>
        <item m="1" x="3418"/>
        <item m="1" x="2473"/>
        <item m="1" x="2881"/>
        <item m="1" x="3184"/>
        <item m="1" x="837"/>
        <item m="1" x="757"/>
        <item m="1" x="1765"/>
        <item m="1" x="1672"/>
        <item m="1" x="1586"/>
        <item m="1" x="1129"/>
        <item m="1" x="1209"/>
        <item m="1" x="1823"/>
        <item m="1" x="3943"/>
        <item m="1" x="4094"/>
        <item m="1" x="1967"/>
        <item m="1" x="3151"/>
        <item m="1" x="3446"/>
        <item m="1" x="2107"/>
        <item m="1" x="3800"/>
        <item m="1" x="3947"/>
        <item m="1" x="764"/>
        <item m="1" x="2549"/>
        <item m="1" x="2819"/>
        <item m="1" x="2965"/>
        <item m="1" x="2141"/>
        <item m="1" x="3282"/>
        <item m="1" x="3311"/>
        <item m="1" x="1536"/>
        <item m="1" x="312"/>
        <item m="1" x="816"/>
        <item m="1" x="3681"/>
        <item m="1" x="459"/>
        <item m="1" x="797"/>
        <item m="1" x="1168"/>
        <item m="1" x="5114"/>
        <item m="1" x="2263"/>
        <item m="1" x="1029"/>
        <item m="1" x="636"/>
        <item m="1" x="5131"/>
        <item m="1" x="4480"/>
        <item m="1" x="3298"/>
        <item m="1" x="742"/>
        <item m="1" x="4921"/>
        <item m="1" x="3179"/>
        <item m="1" x="3109"/>
        <item m="1" x="5084"/>
        <item m="1" x="1909"/>
        <item m="1" x="2207"/>
        <item m="1" x="3950"/>
        <item m="1" x="4135"/>
        <item m="1" x="648"/>
        <item m="1" x="1198"/>
        <item m="1" x="864"/>
        <item m="1" x="309"/>
        <item m="1" x="4644"/>
        <item m="1" x="4710"/>
        <item m="1" x="775"/>
        <item m="1" x="686"/>
        <item m="1" x="2442"/>
        <item m="1" x="489"/>
        <item m="1" x="1199"/>
        <item m="1" x="1386"/>
        <item m="1" x="1560"/>
        <item m="1" x="4384"/>
        <item m="1" x="2661"/>
        <item m="1" x="828"/>
        <item m="1" x="763"/>
        <item m="1" x="2157"/>
        <item m="1" x="2475"/>
        <item m="1" x="4950"/>
        <item m="1" x="1018"/>
        <item m="1" x="1628"/>
        <item m="1" x="4394"/>
        <item m="1" x="743"/>
        <item m="1" x="911"/>
        <item m="1" x="3574"/>
        <item m="1" x="3587"/>
        <item m="1" x="4067"/>
        <item m="1" x="3629"/>
        <item m="1" x="4441"/>
        <item m="1" x="4269"/>
        <item m="1" x="667"/>
        <item m="1" x="2342"/>
        <item m="1" x="4679"/>
        <item m="1" x="359"/>
        <item m="1" x="780"/>
        <item m="1" x="2889"/>
        <item m="1" x="1304"/>
        <item m="1" x="5085"/>
        <item m="1" x="4654"/>
        <item m="1" x="4105"/>
        <item m="1" x="295"/>
        <item m="1" x="3948"/>
        <item m="1" x="4502"/>
        <item m="1" x="4730"/>
        <item m="1" x="4888"/>
        <item m="1" x="5050"/>
        <item m="1" x="744"/>
        <item m="1" x="165"/>
        <item m="1" x="294"/>
        <item m="1" x="470"/>
        <item m="1" x="2921"/>
        <item m="1" x="4937"/>
        <item m="1" x="2088"/>
        <item m="1" x="2831"/>
        <item m="1" x="326"/>
        <item m="1" x="1739"/>
        <item m="1" x="1186"/>
        <item m="1" x="313"/>
        <item m="1" x="4786"/>
        <item m="1" x="4634"/>
        <item m="1" x="185"/>
        <item m="1" x="251"/>
        <item m="1" x="427"/>
        <item m="1" x="2408"/>
        <item m="1" x="2655"/>
        <item m="1" x="3107"/>
        <item m="1" x="649"/>
        <item m="1" x="838"/>
        <item m="1" x="1580"/>
        <item m="1" x="3770"/>
        <item m="1" x="4655"/>
        <item m="1" x="490"/>
        <item m="1" x="2803"/>
        <item m="1" x="5069"/>
        <item m="1" x="4313"/>
        <item m="1" x="4474"/>
        <item m="1" x="4193"/>
        <item m="1" x="1910"/>
        <item m="1" x="4617"/>
        <item m="1" x="3801"/>
        <item m="1" x="773"/>
        <item m="1" x="1387"/>
        <item m="1" x="609"/>
        <item m="1" x="4442"/>
        <item m="1" x="4957"/>
        <item m="1" x="4466"/>
        <item m="1" x="4659"/>
        <item m="1" x="3173"/>
        <item m="1" x="353"/>
        <item m="1" x="2253"/>
        <item m="1" x="2384"/>
        <item m="1" x="2908"/>
        <item m="1" x="5132"/>
        <item m="1" x="675"/>
        <item m="1" x="176"/>
        <item m="1" x="1913"/>
        <item m="1" x="4115"/>
        <item m="1" x="3191"/>
        <item m="1" x="4297"/>
        <item m="1" x="2198"/>
        <item m="1" x="3968"/>
        <item m="1" x="4136"/>
        <item m="1" x="4958"/>
        <item m="1" x="1700"/>
        <item m="1" x="442"/>
        <item m="1" x="4943"/>
        <item m="1" x="2182"/>
        <item m="1" x="483"/>
        <item m="1" x="4669"/>
        <item m="1" x="1030"/>
        <item m="1" x="817"/>
        <item m="1" x="5169"/>
        <item m="1" x="4199"/>
        <item m="1" x="4805"/>
        <item m="1" x="2662"/>
        <item m="1" x="4159"/>
        <item m="1" x="2538"/>
        <item m="1" x="3145"/>
        <item m="1" x="3586"/>
        <item m="1" x="1038"/>
        <item m="1" x="2314"/>
        <item m="1" x="2826"/>
        <item m="1" x="1747"/>
        <item m="1" x="2647"/>
        <item m="1" x="1647"/>
        <item m="1" x="2711"/>
        <item m="1" x="4785"/>
        <item m="1" x="1432"/>
        <item m="1" x="3483"/>
        <item m="1" x="4946"/>
        <item m="1" x="1292"/>
        <item m="1" x="5154"/>
        <item m="1" x="3795"/>
        <item m="1" x="650"/>
        <item m="1" x="3236"/>
        <item m="1" x="4964"/>
        <item m="1" x="2931"/>
        <item m="1" x="4298"/>
        <item m="1" x="1920"/>
        <item m="1" x="2057"/>
        <item m="1" x="3814"/>
        <item m="1" x="5164"/>
        <item m="1" x="229"/>
        <item m="1" x="375"/>
        <item m="1" x="515"/>
        <item m="1" x="2565"/>
        <item m="1" x="2842"/>
        <item m="1" x="2170"/>
        <item m="1" x="3657"/>
        <item m="1" x="4496"/>
        <item m="1" x="4427"/>
        <item m="1" x="2765"/>
        <item m="1" x="2078"/>
        <item m="1" x="1200"/>
        <item m="1" x="4976"/>
        <item m="1" x="334"/>
        <item m="1" x="1039"/>
        <item m="1" x="4670"/>
        <item m="1" x="463"/>
        <item m="1" x="3951"/>
        <item m="1" x="806"/>
        <item m="1" x="4988"/>
        <item m="1" x="1774"/>
        <item m="1" x="4660"/>
        <item m="1" x="327"/>
        <item m="1" x="1254"/>
        <item m="1" x="2388"/>
        <item m="1" x="3973"/>
        <item m="1" x="2610"/>
        <item m="1" x="2980"/>
        <item m="1" x="3437"/>
        <item m="1" x="4148"/>
        <item m="1" x="3639"/>
        <item m="1" x="2940"/>
        <item m="1" x="4676"/>
        <item m="1" x="507"/>
        <item m="1" x="2338"/>
        <item m="1" x="676"/>
        <item m="1" x="852"/>
        <item m="1" x="4838"/>
        <item m="1" x="5064"/>
        <item m="1" x="2678"/>
        <item m="1" x="2261"/>
        <item m="1" x="822"/>
        <item m="1" x="1624"/>
        <item m="1" x="2204"/>
        <item m="1" x="2850"/>
        <item m="1" x="4475"/>
        <item m="1" x="1818"/>
        <item m="1" x="397"/>
        <item m="1" x="1268"/>
        <item m="1" x="1588"/>
        <item m="1" x="1045"/>
        <item m="1" x="4795"/>
        <item m="1" x="4187"/>
        <item m="1" x="2945"/>
        <item m="1" x="795"/>
        <item m="1" x="692"/>
        <item m="1" x="5138"/>
        <item m="1" x="1410"/>
        <item m="1" x="149"/>
        <item m="1" x="4912"/>
        <item m="1" x="3813"/>
        <item m="1" x="3712"/>
        <item m="1" x="4667"/>
        <item m="1" x="194"/>
        <item m="1" x="1242"/>
        <item m="1" x="4686"/>
        <item m="1" x="4807"/>
        <item m="1" x="4977"/>
        <item m="1" x="5133"/>
        <item m="1" x="1942"/>
        <item m="1" x="1123"/>
        <item m="1" x="1080"/>
        <item m="1" x="1192"/>
        <item m="1" x="2073"/>
        <item m="1" x="2260"/>
        <item m="1" x="1333"/>
        <item m="1" x="5004"/>
        <item m="1" x="508"/>
        <item m="1" x="1088"/>
        <item m="1" x="202"/>
        <item m="1" x="3984"/>
        <item m="1" x="662"/>
        <item m="1" x="195"/>
        <item m="1" x="1330"/>
        <item m="1" x="1952"/>
        <item m="1" x="1604"/>
        <item m="1" x="2848"/>
        <item m="1" x="3299"/>
        <item m="1" x="3802"/>
        <item m="1" x="1222"/>
        <item m="1" x="1401"/>
        <item m="1" x="516"/>
        <item m="1" x="491"/>
        <item m="1" x="839"/>
        <item m="1" x="4174"/>
        <item m="1" x="3815"/>
        <item m="1" x="3252"/>
        <item m="1" x="335"/>
        <item m="1" x="3211"/>
        <item m="1" x="4854"/>
        <item m="1" x="451"/>
        <item m="1" x="4140"/>
        <item m="1" x="2456"/>
        <item m="1" x="2669"/>
        <item m="1" x="3074"/>
        <item m="1" x="3128"/>
        <item m="1" x="674"/>
        <item m="1" x="2487"/>
        <item m="1" x="4282"/>
        <item m="1" x="196"/>
        <item m="1" x="4677"/>
        <item m="1" x="2139"/>
        <item m="1" x="4839"/>
        <item m="1" x="5165"/>
        <item m="1" x="1558"/>
        <item m="1" x="5023"/>
        <item m="1" x="4816"/>
        <item m="1" x="1605"/>
        <item m="1" x="1935"/>
        <item m="1" x="4212"/>
        <item m="1" x="2084"/>
        <item m="1" x="712"/>
        <item m="1" x="2371"/>
        <item m="1" x="910"/>
        <item m="1" x="729"/>
        <item m="1" x="625"/>
        <item m="1" x="541"/>
        <item m="1" x="1797"/>
        <item m="1" x="988"/>
        <item m="1" x="219"/>
        <item m="1" x="1197"/>
        <item m="1" x="1105"/>
        <item m="1" x="898"/>
        <item m="1" x="809"/>
        <item m="1" x="1457"/>
        <item m="1" x="531"/>
        <item m="1" x="1081"/>
        <item m="1" x="1575"/>
        <item m="1" x="1476"/>
        <item m="1" x="1394"/>
        <item m="1" x="1296"/>
        <item m="1" x="1897"/>
        <item m="1" x="1806"/>
        <item m="1" x="1566"/>
        <item m="1" x="1094"/>
        <item m="1" x="1898"/>
        <item m="1" x="1807"/>
        <item m="1" x="104"/>
        <item m="1" x="387"/>
        <item m="1" x="720"/>
        <item m="1" x="2125"/>
        <item m="1" x="2038"/>
        <item m="1" x="1130"/>
        <item m="1" x="1114"/>
        <item m="1" x="1567"/>
        <item m="1" x="4216"/>
        <item m="1" x="1619"/>
        <item m="1" x="893"/>
        <item m="1" x="4396"/>
        <item m="1" x="230"/>
        <item m="1" x="3338"/>
        <item m="1" x="4188"/>
        <item m="1" x="376"/>
        <item m="1" x="3327"/>
        <item m="1" x="1594"/>
        <item m="1" x="1667"/>
        <item m="1" x="354"/>
        <item m="1" x="517"/>
        <item m="1" x="4539"/>
        <item m="1" x="4872"/>
        <item m="1" x="546"/>
        <item m="1" x="721"/>
        <item m="1" x="2839"/>
        <item m="1" x="1269"/>
        <item m="1" x="1781"/>
        <item m="1" x="5155"/>
        <item m="1" x="1452"/>
        <item m="1" x="865"/>
        <item m="1" x="2230"/>
        <item m="1" x="873"/>
        <item m="1" x="709"/>
        <item m="1" x="1137"/>
        <item m="1" x="1300"/>
        <item m="1" x="947"/>
        <item m="1" x="1515"/>
        <item m="1" x="909"/>
        <item m="1" x="358"/>
        <item m="1" x="4224"/>
        <item m="1" x="4822"/>
        <item m="1" x="2679"/>
        <item m="1" x="3608"/>
        <item m="1" x="1491"/>
        <item m="1" x="2636"/>
        <item m="1" x="3952"/>
        <item m="1" x="3658"/>
        <item m="1" x="3992"/>
        <item m="1" x="365"/>
        <item m="1" x="1293"/>
        <item m="1" x="1463"/>
        <item m="1" x="4373"/>
        <item m="1" x="2099"/>
        <item m="1" x="684"/>
        <item m="1" x="3518"/>
        <item m="1" x="4495"/>
        <item m="1" x="211"/>
        <item m="1" x="4855"/>
        <item m="1" x="1089"/>
        <item m="1" x="1503"/>
        <item m="1" x="537"/>
        <item m="1" x="398"/>
        <item m="1" x="4364"/>
        <item m="1" x="2830"/>
        <item m="1" x="2578"/>
        <item m="1" x="2861"/>
        <item m="1" x="2196"/>
        <item m="1" x="4514"/>
        <item m="1" x="4346"/>
        <item m="1" x="4485"/>
        <item m="1" x="400"/>
        <item m="1" x="466"/>
        <item m="1" x="1301"/>
        <item m="1" x="1782"/>
        <item m="1" x="1464"/>
        <item m="1" x="4649"/>
        <item m="1" x="5047"/>
        <item m="1" x="1354"/>
        <item m="1" x="1815"/>
        <item m="1" x="2021"/>
        <item m="1" x="2277"/>
        <item m="1" x="3512"/>
        <item m="1" x="5041"/>
        <item m="1" x="3990"/>
        <item m="1" x="977"/>
        <item m="1" x="3837"/>
        <item m="1" x="1625"/>
        <item m="1" x="788"/>
        <item m="1" x="954"/>
        <item m="1" x="2273"/>
        <item m="1" x="2096"/>
        <item m="1" x="4828"/>
        <item m="1" x="1848"/>
        <item m="1" x="1581"/>
        <item m="1" x="4398"/>
        <item m="1" x="4574"/>
        <item m="1" x="4900"/>
        <item m="1" x="2694"/>
        <item m="1" x="1959"/>
        <item m="1" x="3732"/>
        <item m="1" x="2492"/>
        <item m="1" x="1819"/>
        <item m="1" x="1662"/>
        <item m="1" x="3575"/>
        <item m="1" x="1492"/>
        <item m="1" x="3742"/>
        <item m="1" x="1071"/>
        <item m="1" x="551"/>
        <item m="1" x="3139"/>
        <item m="1" x="3409"/>
        <item m="1" x="3558"/>
        <item m="1" x="3906"/>
        <item m="1" x="1655"/>
        <item m="1" x="340"/>
        <item m="1" x="2602"/>
        <item m="1" x="3731"/>
        <item m="1" x="1299"/>
        <item m="1" x="760"/>
        <item m="1" x="929"/>
        <item m="1" x="1121"/>
        <item m="1" x="3616"/>
        <item m="1" x="1124"/>
        <item m="1" x="105"/>
        <item m="1" x="552"/>
        <item m="1" x="1125"/>
        <item m="1" x="2677"/>
        <item m="1" x="1316"/>
        <item m="1" x="2558"/>
        <item m="1" x="3373"/>
        <item m="1" x="2868"/>
        <item m="1" x="4275"/>
        <item m="1" x="2444"/>
        <item m="1" x="2420"/>
        <item m="1" x="3262"/>
        <item m="1" x="713"/>
        <item m="1" x="2161"/>
        <item m="1" x="4227"/>
        <item m="1" x="3283"/>
        <item m="1" x="3421"/>
        <item m="1" x="2445"/>
        <item m="1" x="3130"/>
        <item m="1" x="945"/>
        <item m="1" x="1133"/>
        <item m="1" x="1840"/>
        <item m="1" x="1963"/>
        <item m="1" x="2118"/>
        <item m="1" x="2305"/>
        <item m="1" x="3005"/>
        <item m="1" x="4701"/>
        <item m="1" x="937"/>
        <item m="1" x="4242"/>
        <item m="1" x="1984"/>
        <item m="1" x="1498"/>
        <item m="1" x="589"/>
        <item m="1" x="3163"/>
        <item m="1" x="1483"/>
        <item m="1" x="2488"/>
        <item m="1" x="765"/>
        <item m="1" x="1678"/>
        <item m="1" x="1062"/>
        <item m="1" x="1325"/>
        <item m="1" x="3567"/>
        <item m="1" x="4774"/>
        <item m="1" x="4915"/>
        <item m="1" x="2579"/>
        <item m="1" x="4451"/>
        <item m="1" x="2990"/>
        <item m="1" x="3278"/>
        <item m="1" x="1964"/>
        <item m="1" x="3756"/>
        <item m="1" x="2119"/>
        <item m="1" x="2847"/>
        <item m="1" x="3006"/>
        <item m="1" x="2134"/>
        <item m="1" x="2435"/>
        <item m="1" x="495"/>
        <item m="1" x="4165"/>
        <item m="1" x="697"/>
        <item m="1" x="928"/>
        <item m="1" x="1120"/>
        <item m="1" x="1298"/>
        <item m="1" x="1472"/>
        <item m="1" x="1633"/>
        <item m="1" x="1803"/>
        <item m="1" x="1955"/>
        <item m="1" x="2108"/>
        <item m="1" x="2286"/>
        <item m="1" x="2411"/>
        <item m="1" x="1804"/>
        <item m="1" x="4240"/>
        <item m="1" x="3155"/>
        <item m="1" x="3429"/>
        <item m="1" x="3625"/>
        <item m="1" x="1772"/>
        <item m="1" x="3329"/>
        <item m="1" x="3777"/>
        <item m="1" x="1344"/>
        <item m="1" x="2580"/>
        <item m="1" x="2869"/>
        <item m="1" x="3757"/>
        <item m="1" x="1677"/>
        <item m="1" x="2051"/>
        <item m="1" x="3372"/>
        <item m="1" x="2185"/>
        <item m="1" x="3175"/>
        <item m="1" x="3598"/>
        <item m="1" x="3758"/>
        <item m="1" x="4265"/>
        <item m="1" x="2003"/>
        <item m="1" x="4422"/>
        <item m="1" x="776"/>
        <item m="1" x="3926"/>
        <item m="1" x="3371"/>
        <item m="1" x="3599"/>
        <item m="1" x="3390"/>
        <item m="1" x="3935"/>
        <item m="1" x="4463"/>
        <item m="1" x="2872"/>
        <item m="1" x="3867"/>
        <item m="1" x="2407"/>
        <item m="1" x="2327"/>
        <item m="1" x="1693"/>
        <item m="1" x="3638"/>
        <item m="1" x="1128"/>
        <item m="1" x="4765"/>
        <item m="1" x="3440"/>
        <item m="1" x="1994"/>
        <item m="1" x="390"/>
        <item m="1" x="3176"/>
        <item m="1" x="2449"/>
        <item m="1" x="3156"/>
        <item m="1" x="3276"/>
        <item m="1" x="2705"/>
        <item m="1" x="4284"/>
        <item m="1" x="4113"/>
        <item m="1" x="2015"/>
        <item m="1" x="3007"/>
        <item m="1" x="1211"/>
        <item m="1" x="4612"/>
        <item m="1" x="1079"/>
        <item m="1" x="4847"/>
        <item m="1" x="4079"/>
        <item m="1" x="4266"/>
        <item m="1" x="1868"/>
        <item m="1" x="2316"/>
        <item m="1" x="1977"/>
        <item m="1" x="3643"/>
        <item m="1" x="1702"/>
        <item m="1" x="2959"/>
        <item m="1" x="1869"/>
        <item m="1" x="2867"/>
        <item m="1" x="4437"/>
        <item m="1" x="2145"/>
        <item m="1" x="2451"/>
        <item m="1" x="477"/>
        <item m="1" x="2208"/>
        <item m="1" x="1361"/>
        <item m="1" x="2199"/>
        <item m="1" x="2186"/>
        <item m="1" x="4308"/>
        <item m="1" x="1537"/>
        <item m="1" x="2722"/>
        <item m="1" x="1841"/>
        <item m="1" x="2162"/>
        <item m="1" x="2023"/>
        <item m="1" x="2893"/>
        <item m="1" x="3600"/>
        <item m="1" x="2217"/>
        <item m="1" x="4538"/>
        <item m="1" x="4687"/>
        <item m="1" x="974"/>
        <item m="1" x="3041"/>
        <item m="1" x="3147"/>
        <item m="1" x="3284"/>
        <item m="1" x="2004"/>
        <item m="1" x="1995"/>
        <item m="1" x="3589"/>
        <item m="1" x="610"/>
        <item m="1" x="2174"/>
        <item m="1" x="730"/>
        <item m="1" x="2477"/>
        <item m="1" x="1880"/>
        <item m="1" x="2329"/>
        <item m="1" x="4500"/>
        <item m="1" x="2690"/>
        <item m="1" x="182"/>
        <item m="1" x="4922"/>
        <item m="1" x="4326"/>
        <item m="1" x="1561"/>
        <item m="1" x="2883"/>
        <item m="1" x="2476"/>
        <item m="1" x="2592"/>
        <item m="1" x="2723"/>
        <item m="1" x="2734"/>
        <item m="1" x="3205"/>
        <item m="1" x="1850"/>
        <item m="1" x="2884"/>
        <item m="1" x="4008"/>
        <item m="1" x="1007"/>
        <item m="1" x="4264"/>
        <item m="1" x="1968"/>
        <item m="1" x="1559"/>
        <item m="1" x="3524"/>
        <item m="1" x="1859"/>
        <item m="1" x="1371"/>
        <item m="1" x="4295"/>
        <item m="1" x="2611"/>
        <item m="1" x="1373"/>
        <item m="1" x="1546"/>
        <item m="1" x="3755"/>
        <item m="1" x="2724"/>
        <item m="1" x="2895"/>
        <item m="1" x="4718"/>
        <item m="1" x="4363"/>
        <item m="1" x="4132"/>
        <item m="1" x="4642"/>
        <item m="1" x="3601"/>
        <item m="1" x="3759"/>
        <item m="1" x="2495"/>
        <item m="1" x="2594"/>
        <item m="1" x="2892"/>
        <item m="1" x="2317"/>
        <item m="1" x="1520"/>
        <item m="1" x="4080"/>
        <item m="1" x="3177"/>
        <item m="1" x="2870"/>
        <item m="1" x="2997"/>
        <item m="1" x="3431"/>
        <item m="1" x="2187"/>
        <item m="1" x="2328"/>
        <item m="1" x="2494"/>
        <item m="1" x="2581"/>
        <item m="1" x="1714"/>
        <item m="1" x="2200"/>
        <item m="1" x="2209"/>
        <item m="1" x="2593"/>
        <item m="1" x="2759"/>
        <item m="1" x="2894"/>
        <item m="1" x="3015"/>
        <item m="1" x="3157"/>
        <item m="1" x="3292"/>
        <item m="1" x="2373"/>
        <item m="1" x="2489"/>
        <item m="1" x="2603"/>
        <item m="1" x="2735"/>
        <item m="1" x="2901"/>
        <item m="1" x="3056"/>
        <item m="1" x="3312"/>
        <item m="1" x="1001"/>
        <item m="1" x="1235"/>
        <item m="1" x="2188"/>
        <item m="1" x="2459"/>
        <item m="1" x="2751"/>
        <item m="1" x="3946"/>
        <item m="1" x="3480"/>
        <item m="1" x="2450"/>
        <item m="1" x="1521"/>
        <item m="1" x="2339"/>
        <item m="1" x="3188"/>
        <item m="1" x="4285"/>
        <item m="1" x="4947"/>
        <item m="1" x="1169"/>
        <item m="1" x="1372"/>
        <item m="1" x="2024"/>
        <item m="1" x="2743"/>
        <item m="1" x="1888"/>
        <item m="1" x="2210"/>
        <item m="1" x="3634"/>
        <item m="1" x="741"/>
        <item m="1" x="2232"/>
        <item m="1" x="3462"/>
        <item m="1" x="3021"/>
        <item m="1" x="4133"/>
        <item m="1" x="4880"/>
        <item m="1" x="2022"/>
        <item m="1" x="2721"/>
        <item m="1" x="3767"/>
        <item m="1" x="2047"/>
        <item m="1" x="3743"/>
        <item m="1" x="2900"/>
        <item m="1" x="3022"/>
        <item m="1" x="3164"/>
        <item m="1" x="3301"/>
        <item m="1" x="3441"/>
        <item m="1" x="3588"/>
        <item m="1" x="1345"/>
        <item m="1" x="3008"/>
        <item m="1" x="2031"/>
        <item m="1" x="3023"/>
        <item m="1" x="3165"/>
        <item m="1" x="3302"/>
        <item m="1" x="3442"/>
        <item m="1" x="1388"/>
        <item m="1" x="3665"/>
        <item m="1" x="1726"/>
        <item m="1" x="4521"/>
        <item m="1" x="1720"/>
        <item m="1" x="1833"/>
        <item m="1" x="1725"/>
        <item m="1" x="2306"/>
        <item m="1" x="2039"/>
        <item m="1" x="2742"/>
        <item m="1" x="4378"/>
        <item m="1" x="4800"/>
        <item m="1" x="1396"/>
        <item m="1" x="3030"/>
        <item m="1" x="3781"/>
        <item m="1" x="3955"/>
        <item m="1" x="3348"/>
        <item m="1" x="5054"/>
        <item m="1" x="1178"/>
        <item m="1" x="1921"/>
        <item m="1" x="3779"/>
        <item m="1" x="1568"/>
        <item m="1" x="2048"/>
        <item m="1" x="1360"/>
        <item m="1" x="2361"/>
        <item m="1" x="2745"/>
        <item m="1" x="3666"/>
        <item m="1" x="2752"/>
        <item m="1" x="3611"/>
        <item m="1" x="409"/>
        <item m="1" x="2025"/>
        <item m="1" x="2467"/>
        <item m="1" x="2478"/>
        <item m="1" x="4919"/>
        <item m="1" x="5075"/>
        <item m="1" x="118"/>
        <item m="1" x="263"/>
        <item m="1" x="833"/>
        <item m="1" x="4194"/>
        <item m="1" x="719"/>
        <item m="1" x="955"/>
        <item m="1" x="1324"/>
        <item m="1" x="1654"/>
        <item m="1" x="1976"/>
        <item m="1" x="1829"/>
        <item m="1" x="1703"/>
        <item m="1" x="3154"/>
        <item m="1" x="1748"/>
        <item m="1" x="1411"/>
        <item m="1" x="5094"/>
        <item m="1" x="3452"/>
        <item m="1" x="2638"/>
        <item m="1" x="2769"/>
        <item m="1" x="2950"/>
        <item m="1" x="4309"/>
        <item m="1" x="2902"/>
        <item m="1" x="3357"/>
        <item m="1" x="126"/>
        <item m="1" x="1980"/>
        <item m="1" x="4145"/>
        <item m="1" x="3291"/>
        <item m="1" x="4652"/>
        <item m="1" x="2909"/>
        <item m="1" x="4323"/>
        <item m="1" x="3576"/>
        <item m="1" x="4202"/>
        <item m="1" x="4481"/>
        <item m="1" x="3833"/>
        <item m="1" x="4806"/>
        <item m="1" x="1689"/>
        <item m="1" x="3410"/>
        <item m="1" x="2761"/>
        <item m="1" x="3032"/>
        <item m="1" x="3881"/>
        <item m="1" x="3042"/>
        <item m="1" x="4829"/>
        <item m="1" x="4489"/>
        <item m="1" x="1750"/>
        <item m="1" x="3189"/>
        <item m="1" x="3486"/>
        <item m="1" x="3822"/>
        <item m="1" x="4170"/>
        <item m="1" x="3339"/>
        <item m="1" x="4812"/>
        <item m="1" x="4010"/>
        <item m="1" x="3507"/>
        <item m="1" x="4990"/>
        <item m="1" x="4156"/>
        <item m="1" x="2374"/>
        <item m="1" x="1728"/>
        <item m="1" x="1787"/>
        <item m="1" x="4512"/>
        <item m="1" x="4873"/>
        <item m="1" x="4123"/>
        <item m="1" x="4283"/>
        <item m="1" x="4380"/>
        <item m="1" x="4034"/>
        <item m="1" x="663"/>
        <item m="1" x="2241"/>
        <item m="1" x="3073"/>
        <item m="1" x="3653"/>
        <item m="1" x="3954"/>
        <item m="1" x="1423"/>
        <item m="1" x="1412"/>
        <item m="1" x="2049"/>
        <item m="1" x="2613"/>
        <item m="1" x="2505"/>
        <item m="1" x="3998"/>
        <item m="1" x="1040"/>
        <item m="1" x="3233"/>
        <item m="1" x="4182"/>
        <item m="1" x="2375"/>
        <item m="1" x="4327"/>
        <item m="1" x="5025"/>
        <item m="1" x="2933"/>
        <item m="1" x="3655"/>
        <item m="1" x="3345"/>
        <item m="1" x="2762"/>
        <item m="1" x="840"/>
        <item m="1" x="2623"/>
        <item m="1" x="3979"/>
        <item m="1" x="4560"/>
        <item m="1" x="5018"/>
        <item m="1" x="3072"/>
        <item m="1" x="3187"/>
        <item m="1" x="3317"/>
        <item m="1" x="4157"/>
        <item m="1" x="3217"/>
        <item m="1" x="2091"/>
        <item m="1" x="532"/>
        <item m="1" x="2281"/>
        <item m="1" x="371"/>
        <item m="1" x="3080"/>
        <item m="1" x="4831"/>
        <item m="1" x="847"/>
        <item m="1" x="3231"/>
        <item m="1" x="4509"/>
        <item m="1" x="205"/>
        <item m="1" x="99"/>
        <item m="1" x="4530"/>
        <item m="1" x="4811"/>
        <item m="1" x="1436"/>
        <item m="1" x="2105"/>
        <item m="1" x="4680"/>
        <item m="1" x="4023"/>
        <item m="1" x="140"/>
        <item m="1" x="687"/>
        <item m="1" x="110"/>
        <item m="1" x="3995"/>
        <item m="1" x="402"/>
        <item m="1" x="2930"/>
        <item m="1" x="5159"/>
        <item m="1" x="245"/>
        <item m="1" x="3364"/>
        <item m="1" x="914"/>
        <item m="1" x="1422"/>
        <item m="1" x="392"/>
        <item m="1" x="716"/>
        <item m="1" x="2984"/>
        <item m="1" x="3864"/>
        <item m="1" x="4015"/>
        <item m="1" x="877"/>
        <item m="1" x="3778"/>
        <item m="1" x="5088"/>
        <item m="1" x="2744"/>
        <item m="1" x="4740"/>
        <item m="1" x="2074"/>
        <item m="1" x="2781"/>
        <item m="1" x="4404"/>
        <item m="1" x="4184"/>
        <item m="1" x="3812"/>
        <item m="1" x="4975"/>
        <item m="1" x="3196"/>
        <item m="1" x="244"/>
        <item m="1" x="4183"/>
        <item m="1" x="109"/>
        <item m="1" x="4597"/>
        <item m="1" x="2081"/>
        <item m="1" x="2352"/>
        <item m="1" x="558"/>
        <item m="1" x="745"/>
        <item m="1" x="913"/>
        <item m="1" x="1108"/>
        <item m="1" x="1306"/>
        <item m="1" x="1458"/>
        <item m="1" x="1945"/>
        <item m="1" x="1650"/>
        <item m="1" x="1766"/>
        <item m="1" x="373"/>
        <item m="1" x="1104"/>
        <item m="1" x="4501"/>
        <item m="1" x="4848"/>
        <item m="1" x="3982"/>
        <item m="1" x="3508"/>
        <item m="1" x="715"/>
        <item m="1" x="912"/>
        <item m="1" x="1083"/>
        <item m="1" x="243"/>
        <item m="1" x="733"/>
        <item m="1" x="1800"/>
        <item m="1" x="4531"/>
        <item m="1" x="4699"/>
        <item m="1" x="707"/>
        <item m="1" x="3506"/>
        <item m="1" x="2612"/>
        <item m="1" x="2918"/>
        <item m="1" x="4490"/>
        <item m="1" x="4675"/>
        <item m="1" x="4488"/>
        <item m="1" x="3354"/>
        <item m="1" x="4861"/>
        <item m="1" x="1776"/>
        <item m="1" x="1991"/>
        <item m="1" x="4832"/>
        <item m="1" x="5021"/>
        <item m="1" x="1273"/>
        <item m="1" x="3809"/>
        <item m="1" x="559"/>
        <item m="1" x="4333"/>
        <item m="1" x="746"/>
        <item m="1" x="973"/>
        <item m="1" x="1343"/>
        <item m="1" x="1676"/>
        <item m="1" x="2014"/>
        <item m="1" x="1849"/>
        <item m="1" x="3780"/>
        <item m="1" x="1727"/>
        <item m="1" x="3355"/>
        <item m="1" x="4009"/>
        <item m="1" x="710"/>
        <item m="1" x="939"/>
        <item m="1" x="1154"/>
        <item m="1" x="1783"/>
        <item m="1" x="682"/>
        <item m="1" x="4385"/>
        <item m="1" x="4016"/>
        <item m="1" x="706"/>
        <item m="1" x="5065"/>
        <item m="1" x="4653"/>
        <item m="1" x="4471"/>
        <item m="1" x="1334"/>
        <item m="1" x="887"/>
        <item m="1" x="1084"/>
        <item m="1" x="3365"/>
        <item m="1" x="4352"/>
        <item m="1" x="1117"/>
        <item m="1" x="5055"/>
        <item m="1" x="612"/>
        <item m="1" x="949"/>
        <item m="1" x="2425"/>
        <item m="1" x="3635"/>
        <item m="1" x="3832"/>
        <item m="1" x="4522"/>
        <item m="1" x="1342"/>
        <item m="1" x="1495"/>
        <item m="1" x="1651"/>
        <item m="1" x="88"/>
        <item m="1" x="4553"/>
        <item m="1" x="247"/>
        <item m="1" x="3430"/>
        <item m="1" x="2783"/>
        <item m="1" x="4351"/>
        <item m="1" x="1845"/>
        <item m="1" x="4228"/>
        <item m="1" x="1044"/>
        <item m="1" x="1468"/>
        <item m="1" x="4042"/>
        <item m="1" x="234"/>
        <item m="1" x="4206"/>
        <item m="1" x="995"/>
        <item m="1" x="3654"/>
        <item m="1" x="4544"/>
        <item m="1" x="2805"/>
        <item m="1" x="4210"/>
        <item m="1" x="443"/>
        <item m="1" x="5066"/>
        <item m="1" x="959"/>
        <item m="1" x="5022"/>
        <item m="1" x="2413"/>
        <item m="1" x="4534"/>
        <item m="1" x="98"/>
        <item m="1" x="4144"/>
        <item m="1" x="1459"/>
        <item m="1" x="1981"/>
        <item m="1" x="2092"/>
        <item m="1" x="4386"/>
        <item m="1" x="3549"/>
        <item m="1" x="4720"/>
        <item m="1" x="4862"/>
        <item m="1" x="4219"/>
        <item m="1" x="4600"/>
        <item m="1" x="4339"/>
        <item m="1" x="4510"/>
        <item m="1" x="3691"/>
        <item m="1" x="3674"/>
        <item m="1" x="3887"/>
        <item m="1" x="2390"/>
        <item m="1" x="3754"/>
        <item m="1" x="2013"/>
        <item m="1" x="4599"/>
        <item m="1" x="3548"/>
        <item m="1" x="3899"/>
        <item m="1" x="4041"/>
        <item m="1" x="3694"/>
        <item m="1" x="4024"/>
        <item m="1" x="4358"/>
        <item m="1" x="4532"/>
        <item m="1" x="4913"/>
        <item m="1" x="3889"/>
        <item m="1" x="1379"/>
        <item m="1" x="1738"/>
        <item m="1" x="1875"/>
        <item m="1" x="2056"/>
        <item m="1" x="2239"/>
        <item m="1" x="2351"/>
        <item m="1" x="2485"/>
        <item m="1" x="3166"/>
        <item m="1" x="2100"/>
        <item m="1" x="467"/>
        <item m="1" x="981"/>
        <item m="1" x="100"/>
        <item m="1" x="4901"/>
        <item m="1" x="394"/>
        <item m="1" x="1143"/>
        <item m="1" x="2591"/>
        <item m="1" x="4966"/>
        <item m="1" x="4883"/>
        <item m="1" x="505"/>
        <item m="1" x="420"/>
        <item m="1" x="333"/>
        <item m="1" x="255"/>
        <item m="1" x="184"/>
        <item m="1" x="174"/>
        <item m="1" x="557"/>
        <item m="1" x="1210"/>
        <item m="1" x="391"/>
        <item m="1" x="1011"/>
        <item m="1" x="233"/>
        <item m="1" x="1221"/>
        <item m="1" x="343"/>
        <item m="1" x="506"/>
        <item m="1" x="344"/>
        <item m="1" x="192"/>
        <item m="1" x="122"/>
        <item m="1" x="5130"/>
        <item m="1" x="4967"/>
        <item m="1" x="3221"/>
        <item m="1" x="3340"/>
        <item m="1" x="4185"/>
        <item m="1" x="360"/>
        <item m="1" x="970"/>
        <item m="1" x="4542"/>
        <item m="1" x="3234"/>
        <item m="1" x="3300"/>
        <item m="1" x="4814"/>
        <item m="1" x="1023"/>
        <item m="1" x="4605"/>
        <item m="1" x="83"/>
        <item m="1" x="4421"/>
        <item m="1" x="4598"/>
        <item m="1" x="4409"/>
        <item m="1" x="5001"/>
        <item m="1" x="4241"/>
        <item m="1" x="5162"/>
        <item m="1" x="4945"/>
        <item m="1" x="2370"/>
        <item m="1" x="4229"/>
        <item m="1" x="4387"/>
        <item m="1" x="4563"/>
        <item m="1" x="4721"/>
        <item m="1" x="4884"/>
        <item m="1" x="5046"/>
        <item m="1" x="111"/>
        <item m="1" x="774"/>
        <item m="1" x="2142"/>
        <item m="1" x="526"/>
        <item m="1" x="940"/>
        <item m="1" x="781"/>
        <item m="1" x="411"/>
        <item m="1" x="1322"/>
        <item m="1" x="595"/>
        <item m="1" x="807"/>
        <item m="1" x="1827"/>
        <item m="1" x="1355"/>
        <item m="1" x="1661"/>
        <item m="1" x="1321"/>
        <item m="1" x="1973"/>
        <item m="1" x="2158"/>
        <item m="1" x="1507"/>
        <item m="1" x="3380"/>
        <item m="1" x="3695"/>
        <item m="1" x="3874"/>
        <item m="1" x="4195"/>
        <item m="1" x="3559"/>
        <item m="1" x="3702"/>
        <item m="1" x="3733"/>
        <item m="1" x="4874"/>
        <item m="1" x="4575"/>
        <item m="1" x="256"/>
        <item m="1" x="925"/>
        <item m="1" x="594"/>
        <item m="1" x="782"/>
        <item m="1" x="1481"/>
        <item m="1" x="268"/>
        <item m="1" x="435"/>
        <item m="1" x="1631"/>
        <item m="1" x="1801"/>
        <item m="1" x="4033"/>
        <item m="1" x="3707"/>
        <item m="1" x="1516"/>
        <item m="1" x="960"/>
        <item m="1" x="3830"/>
        <item m="1" x="2760"/>
        <item m="1" x="3810"/>
        <item m="1" x="4761"/>
        <item m="1" x="4238"/>
        <item m="1" x="1982"/>
        <item m="1" x="5160"/>
        <item m="1" x="4376"/>
        <item m="1" x="2372"/>
        <item m="1" x="4049"/>
        <item m="1" x="4036"/>
        <item m="1" x="3661"/>
        <item m="1" x="4859"/>
        <item m="1" x="2448"/>
        <item m="1" x="4166"/>
        <item m="1" x="924"/>
        <item m="1" x="564"/>
        <item m="1" x="1805"/>
        <item m="1" x="2033"/>
        <item m="1" x="1544"/>
        <item m="1" x="3071"/>
        <item m="1" x="3863"/>
        <item m="1" x="4152"/>
        <item m="1" x="971"/>
        <item m="1" x="2421"/>
        <item m="1" x="2827"/>
        <item m="1" x="4737"/>
        <item m="1" x="3858"/>
        <item m="1" x="4875"/>
        <item m="1" x="3374"/>
        <item m="1" x="1433"/>
        <item m="1" x="4230"/>
        <item m="1" x="4173"/>
        <item m="1" x="5056"/>
        <item m="1" x="3831"/>
        <item m="1" x="584"/>
        <item m="1" x="4554"/>
        <item m="1" x="422"/>
        <item m="1" x="4545"/>
        <item m="1" x="114"/>
        <item m="1" x="1579"/>
        <item m="1" x="1000"/>
        <item m="1" x="1370"/>
        <item m="1" x="1701"/>
        <item m="1" x="1867"/>
        <item m="1" x="3811"/>
        <item m="1" x="1749"/>
        <item m="1" x="393"/>
        <item m="1" x="87"/>
        <item m="1" x="5149"/>
        <item m="1" x="1055"/>
        <item m="1" x="2616"/>
        <item m="1" x="3880"/>
        <item m="1" x="871"/>
        <item m="1" x="4054"/>
        <item m="1" x="444"/>
        <item m="1" x="849"/>
        <item m="1" x="135"/>
        <item m="1" x="436"/>
        <item m="1" x="585"/>
        <item m="1" x="3453"/>
        <item m="1" x="2806"/>
        <item m="1" x="155"/>
        <item m="1" x="3254"/>
        <item m="1" x="2946"/>
        <item m="1" x="370"/>
        <item m="1" x="1144"/>
        <item m="1" x="4564"/>
        <item m="1" x="3131"/>
        <item m="1" x="3585"/>
        <item m="1" x="3868"/>
        <item m="1" x="4261"/>
        <item m="1" x="468"/>
        <item m="1" x="891"/>
        <item m="1" x="1165"/>
        <item m="1" x="4043"/>
        <item m="1" x="4388"/>
        <item m="1" x="4722"/>
        <item m="1" x="1508"/>
        <item m="1" x="4342"/>
        <item m="1" x="1836"/>
        <item m="1" x="813"/>
        <item m="1" x="3720"/>
        <item m="1" x="4557"/>
        <item m="1" x="4031"/>
        <item m="1" x="4169"/>
        <item m="1" x="3461"/>
        <item m="1" x="621"/>
        <item m="1" x="4402"/>
        <item m="1" x="4916"/>
        <item m="1" x="4725"/>
        <item m="1" x="3713"/>
        <item m="1" x="704"/>
        <item m="1" x="4231"/>
        <item m="1" x="4613"/>
        <item m="1" x="4742"/>
        <item m="1" x="3927"/>
        <item m="1" x="2572"/>
        <item m="1" x="257"/>
        <item m="1" x="4902"/>
        <item m="1" x="4935"/>
        <item m="1" x="950"/>
        <item m="1" x="5067"/>
        <item m="1" x="3099"/>
        <item m="1" x="3256"/>
        <item m="1" x="4211"/>
        <item m="1" x="382"/>
        <item m="1" x="996"/>
        <item m="1" x="123"/>
        <item m="1" x="1652"/>
        <item m="1" x="983"/>
        <item m="1" x="586"/>
        <item m="1" x="3031"/>
        <item m="1" x="437"/>
        <item m="1" x="3682"/>
        <item m="1" x="1846"/>
        <item m="1" x="783"/>
        <item m="1" x="1685"/>
        <item m="1" x="4712"/>
        <item m="1" x="2002"/>
        <item m="1" x="2325"/>
        <item m="1" x="3907"/>
        <item m="1" x="3734"/>
        <item m="1" x="3914"/>
        <item m="1" x="1172"/>
        <item m="1" x="1427"/>
        <item m="1" x="2171"/>
        <item m="1" x="3610"/>
        <item m="1" x="685"/>
        <item m="1" x="3796"/>
        <item m="1" x="480"/>
        <item m="1" x="4071"/>
        <item m="1" x="4232"/>
        <item m="1" x="4546"/>
        <item m="1" x="3399"/>
        <item m="1" x="4743"/>
        <item m="1" x="4766"/>
        <item m="1" x="4923"/>
        <item m="1" x="2782"/>
        <item m="1" x="284"/>
        <item m="1" x="4780"/>
        <item m="1" x="262"/>
        <item m="1" x="4593"/>
        <item m="1" x="3903"/>
        <item m="1" x="2815"/>
        <item m="1" x="1184"/>
        <item m="1" x="2019"/>
        <item m="1" x="4601"/>
        <item m="1" x="285"/>
        <item m="1" x="4792"/>
        <item m="1" x="3411"/>
        <item m="1" x="2011"/>
        <item m="1" x="419"/>
        <item m="1" x="423"/>
        <item m="1" x="2389"/>
        <item m="1" x="2431"/>
        <item m="1" x="3746"/>
        <item m="1" x="3098"/>
        <item m="1" x="3384"/>
        <item m="1" x="922"/>
        <item m="1" x="1864"/>
        <item m="1" x="4423"/>
        <item m="1" x="310"/>
        <item m="1" x="1555"/>
        <item m="1" x="4081"/>
        <item m="1" x="982"/>
        <item m="1" x="1174"/>
        <item m="1" x="1356"/>
        <item m="1" x="1531"/>
        <item m="1" x="1241"/>
        <item m="1" x="2439"/>
        <item m="1" x="4243"/>
        <item m="1" x="4576"/>
        <item m="1" x="4280"/>
        <item m="1" x="248"/>
        <item m="1" x="3398"/>
        <item m="1" x="966"/>
        <item m="1" x="1385"/>
        <item m="1" x="997"/>
        <item m="1" x="2243"/>
        <item m="1" x="1031"/>
        <item m="1" x="1395"/>
        <item m="1" x="1724"/>
        <item m="1" x="1767"/>
        <item m="1" x="410"/>
        <item m="1" x="3158"/>
        <item m="1" x="3293"/>
        <item m="1" x="3148"/>
        <item m="1" x="3735"/>
        <item m="1" x="4063"/>
        <item m="1" x="4399"/>
        <item m="1" x="984"/>
        <item m="1" x="3285"/>
        <item m="1" x="3443"/>
        <item m="1" x="1176"/>
        <item m="1" x="446"/>
        <item m="1" x="5110"/>
        <item m="1" x="162"/>
        <item m="1" x="322"/>
        <item m="1" x="3568"/>
        <item m="1" x="5081"/>
        <item m="1" x="784"/>
        <item m="1" x="286"/>
        <item m="1" x="3212"/>
        <item m="1" x="3834"/>
        <item m="1" x="1392"/>
        <item m="1" x="4917"/>
        <item m="1" x="4602"/>
        <item m="1" x="5070"/>
        <item m="1" x="603"/>
        <item m="1" x="481"/>
        <item m="1" x="814"/>
        <item m="1" x="998"/>
        <item m="1" x="1711"/>
        <item m="1" x="445"/>
        <item m="1" x="1895"/>
        <item m="1" x="4751"/>
        <item m="1" x="1691"/>
        <item m="1" x="4767"/>
        <item m="1" x="1145"/>
        <item m="1" x="332"/>
        <item m="1" x="1234"/>
        <item m="1" x="1335"/>
        <item m="1" x="137"/>
        <item m="1" x="2205"/>
        <item m="1" x="1532"/>
        <item m="1" x="1723"/>
        <item m="1" x="1194"/>
        <item m="1" x="2197"/>
        <item m="1" x="478"/>
        <item m="1" x="4611"/>
        <item m="1" x="3577"/>
        <item m="1" x="3928"/>
        <item m="1" x="4095"/>
        <item m="1" x="4253"/>
        <item m="1" x="191"/>
        <item m="1" x="455"/>
        <item m="1" x="4684"/>
        <item m="1" x="293"/>
        <item m="1" x="670"/>
        <item m="1" x="823"/>
        <item m="1" x="4813"/>
        <item m="1" x="4991"/>
        <item m="1" x="4412"/>
        <item m="1" x="4587"/>
        <item m="1" x="4744"/>
        <item m="1" x="4438"/>
        <item m="1" x="4614"/>
        <item m="1" x="4925"/>
        <item m="1" x="5080"/>
        <item m="1" x="311"/>
        <item m="1" x="3412"/>
        <item m="1" x="175"/>
        <item m="1" x="3915"/>
        <item m="1" x="3569"/>
        <item m="1" x="4213"/>
        <item m="1" x="4381"/>
        <item m="1" x="4924"/>
        <item m="1" x="3797"/>
        <item m="1" x="545"/>
        <item m="1" x="504"/>
        <item m="1" x="447"/>
        <item m="1" x="4276"/>
        <item m="1" x="1207"/>
        <item m="1" x="1251"/>
        <item m="1" x="4099"/>
        <item m="1" x="4287"/>
        <item m="1" x="1357"/>
        <item m="1" x="4050"/>
        <item m="1" x="138"/>
        <item m="1" x="456"/>
        <item m="1" x="4579"/>
        <item m="1" x="4046"/>
        <item m="1" x="3479"/>
        <item m="1" x="645"/>
        <item m="1" x="4082"/>
        <item m="1" x="4267"/>
        <item m="1" x="3761"/>
        <item m="1" x="3916"/>
        <item m="1" x="4424"/>
        <item m="1" x="1009"/>
        <item m="1" x="3463"/>
        <item m="1" x="274"/>
        <item m="1" x="5121"/>
        <item m="1" x="482"/>
        <item m="1" x="1025"/>
        <item m="1" x="1876"/>
        <item m="1" x="605"/>
        <item m="1" x="1712"/>
        <item m="1" x="661"/>
        <item m="1" x="4524"/>
        <item m="1" x="1557"/>
        <item m="1" x="4320"/>
        <item m="1" x="1431"/>
        <item m="1" x="112"/>
        <item m="1" x="469"/>
        <item m="1" x="2240"/>
        <item m="1" x="1393"/>
        <item m="1" x="2905"/>
        <item m="1" x="527"/>
        <item m="1" x="1280"/>
        <item m="1" x="4413"/>
        <item m="1" x="4311"/>
        <item m="1" x="1026"/>
        <item m="1" x="1190"/>
        <item m="1" x="4254"/>
        <item m="1" x="4239"/>
        <item m="1" x="401"/>
        <item m="1" x="1024"/>
        <item m="1" x="136"/>
        <item m="1" x="622"/>
        <item m="1" x="815"/>
        <item m="1" x="4244"/>
        <item m="1" x="3879"/>
        <item m="1" x="1529"/>
        <item m="1" x="4775"/>
        <item m="1" x="4425"/>
        <item m="1" x="2010"/>
        <item m="1" x="273"/>
        <item m="1" x="587"/>
        <item m="1" x="2335"/>
        <item m="1" x="1681"/>
        <item m="1" x="193"/>
        <item m="1" x="323"/>
        <item m="1" x="1674"/>
        <item m="1" x="3490"/>
        <item m="1" x="1010"/>
        <item m="1" x="1798"/>
        <item m="1" x="2958"/>
        <item m="1" x="2559"/>
        <item m="1" x="1193"/>
        <item m="1" x="2798"/>
        <item m="1" x="3785"/>
        <item m="1" x="3958"/>
        <item m="1" x="2618"/>
        <item m="1" x="3199"/>
        <item m="1" x="4936"/>
        <item m="1" x="631"/>
        <item m="1" x="2864"/>
        <item m="1" x="3465"/>
        <item m="1" x="1328"/>
        <item m="1" x="3649"/>
        <item m="1" x="1584"/>
        <item m="1" x="2739"/>
        <item m="1" x="292"/>
        <item m="1" x="1556"/>
        <item m="1" x="2561"/>
        <item m="1" x="4963"/>
        <item m="1" x="1707"/>
        <item m="1" x="2333"/>
        <item m="1" x="2462"/>
        <item m="1" x="2584"/>
        <item m="1" x="2341"/>
        <item m="1" x="2470"/>
        <item m="1" x="2588"/>
        <item m="1" x="2717"/>
        <item m="1" x="2888"/>
        <item m="1" x="1892"/>
        <item m="1" x="2356"/>
        <item m="1" x="3760"/>
        <item m="1" x="4497"/>
        <item m="1" x="2224"/>
        <item m="1" x="2924"/>
        <item m="1" x="3223"/>
        <item m="1" x="3612"/>
        <item m="1" x="5102"/>
        <item m="1" x="3648"/>
        <item m="1" x="2514"/>
        <item m="1" x="4003"/>
        <item m="1" x="1923"/>
        <item m="1" x="1451"/>
        <item m="1" x="4793"/>
        <item m="1" x="2641"/>
        <item m="1" x="4354"/>
        <item m="1" x="669"/>
        <item m="1" x="342"/>
        <item m="1" x="1350"/>
        <item m="1" x="1611"/>
        <item m="1" x="4528"/>
        <item m="1" x="1048"/>
        <item m="1" x="2237"/>
        <item m="1" x="2052"/>
        <item m="1" x="845"/>
        <item m="1" x="4700"/>
        <item m="1" x="3037"/>
        <item m="1" x="3432"/>
        <item m="1" x="2788"/>
        <item m="1" x="2974"/>
        <item m="1" x="3126"/>
        <item m="1" x="1037"/>
        <item m="1" x="3481"/>
        <item m="1" x="2315"/>
        <item m="1" x="4954"/>
        <item m="1" x="3667"/>
        <item m="1" x="3268"/>
        <item m="1" x="4410"/>
        <item m="1" x="4695"/>
        <item m="1" x="1763"/>
        <item m="1" x="2061"/>
        <item m="1" x="2246"/>
        <item m="1" x="3668"/>
        <item m="1" x="4782"/>
        <item m="1" x="846"/>
        <item m="1" x="1250"/>
        <item m="1" x="4286"/>
        <item m="1" x="4125"/>
        <item m="1" x="2776"/>
        <item m="1" x="2821"/>
        <item m="1" x="3244"/>
        <item m="1" x="3520"/>
        <item m="1" x="4203"/>
        <item m="1" x="2811"/>
        <item m="1" x="4353"/>
        <item m="1" x="2519"/>
        <item m="1" x="1915"/>
        <item m="1" x="2282"/>
        <item m="1" x="2258"/>
        <item m="1" x="3690"/>
        <item m="1" x="4070"/>
        <item m="1" x="4098"/>
        <item m="1" x="2789"/>
        <item m="1" x="4452"/>
        <item m="1" x="3729"/>
        <item m="1" x="1219"/>
        <item m="1" x="4335"/>
        <item m="1" x="1473"/>
        <item m="1" x="2377"/>
        <item m="1" x="2402"/>
        <item m="1" x="3860"/>
        <item m="1" x="2053"/>
        <item m="1" x="3077"/>
        <item m="1" x="3521"/>
        <item m="1" x="2365"/>
        <item m="1" x="4347"/>
        <item m="1" x="421"/>
        <item m="1" x="1052"/>
        <item m="1" x="153"/>
        <item m="1" x="646"/>
        <item m="1" x="862"/>
        <item m="1" x="3200"/>
        <item m="1" x="2731"/>
        <item m="1" x="4013"/>
        <item m="1" x="3870"/>
        <item m="1" x="2067"/>
        <item m="1" x="3225"/>
        <item m="1" x="3351"/>
        <item m="1" x="2947"/>
        <item m="1" x="1755"/>
        <item m="1" x="3816"/>
        <item m="1" x="4840"/>
        <item m="1" x="4004"/>
        <item m="1" x="4503"/>
        <item m="1" x="3377"/>
        <item m="1" x="694"/>
        <item m="1" x="4836"/>
        <item m="1" x="1437"/>
        <item m="1" x="856"/>
        <item m="1" x="523"/>
        <item m="1" x="1247"/>
        <item m="1" x="1613"/>
        <item m="1" x="3224"/>
        <item m="1" x="3871"/>
        <item m="1" x="2062"/>
        <item m="1" x="4014"/>
        <item m="1" x="4175"/>
        <item m="1" x="4348"/>
        <item m="1" x="4515"/>
        <item m="1" x="3089"/>
        <item m="1" x="3237"/>
        <item m="1" x="4310"/>
        <item m="1" x="4453"/>
        <item m="1" x="1406"/>
        <item m="1" x="3101"/>
        <item m="1" x="1307"/>
        <item m="1" x="3684"/>
        <item m="1" x="1777"/>
        <item m="1" x="604"/>
        <item m="1" x="2664"/>
        <item m="1" x="3360"/>
        <item m="1" x="3090"/>
        <item m="1" x="4417"/>
        <item m="1" x="2822"/>
        <item m="1" x="2968"/>
        <item m="1" x="3102"/>
        <item m="1" x="3245"/>
        <item m="1" x="3369"/>
        <item m="1" x="2414"/>
        <item m="1" x="2395"/>
        <item m="1" x="3669"/>
        <item m="1" x="2378"/>
        <item m="1" x="3091"/>
        <item m="1" x="2890"/>
        <item m="1" x="3693"/>
        <item m="1" x="4176"/>
        <item m="1" x="4756"/>
        <item m="1" x="1382"/>
        <item m="1" x="4172"/>
        <item m="1" x="4550"/>
        <item m="1" x="1812"/>
        <item m="1" x="4374"/>
        <item m="1" x="1614"/>
        <item m="1" x="4987"/>
        <item m="1" x="5100"/>
        <item m="1" x="131"/>
        <item m="1" x="281"/>
        <item m="1" x="2771"/>
        <item m="1" x="434"/>
        <item m="1" x="1754"/>
        <item m="1" x="2347"/>
        <item m="1" x="2483"/>
        <item m="1" x="2596"/>
        <item m="1" x="2355"/>
        <item m="1" x="2491"/>
        <item m="1" x="2606"/>
        <item m="1" x="2738"/>
        <item m="1" x="2906"/>
        <item m="1" x="1914"/>
        <item m="1" x="1591"/>
        <item m="1" x="2680"/>
        <item m="1" x="3238"/>
        <item m="1" x="2054"/>
        <item m="1" x="5091"/>
        <item m="1" x="1063"/>
        <item m="1" x="1240"/>
        <item m="1" x="2843"/>
        <item m="1" x="1072"/>
        <item m="1" x="2083"/>
        <item m="1" x="1793"/>
        <item m="1" x="2527"/>
        <item m="1" x="1460"/>
        <item m="1" x="2115"/>
        <item m="1" x="1528"/>
        <item m="1" x="3882"/>
        <item m="1" x="3685"/>
        <item m="1" x="1429"/>
        <item m="1" x="3894"/>
        <item m="1" x="1856"/>
        <item m="1" x="2833"/>
        <item m="1" x="3530"/>
        <item m="1" x="2671"/>
        <item m="1" x="4019"/>
        <item m="1" x="4062"/>
        <item m="1" x="3454"/>
        <item m="1" x="2810"/>
        <item m="1" x="618"/>
        <item m="1" x="1974"/>
        <item m="1" x="2534"/>
        <item m="1" x="3883"/>
        <item m="1" x="2543"/>
        <item m="1" x="4551"/>
        <item m="1" x="4201"/>
        <item m="1" x="4572"/>
        <item m="1" x="2658"/>
        <item m="1" x="1960"/>
        <item m="1" x="2313"/>
        <item m="1" x="2574"/>
        <item m="1" x="2542"/>
        <item m="1" x="1597"/>
        <item m="1" x="3705"/>
        <item m="1" x="4090"/>
        <item m="1" x="3495"/>
        <item m="1" x="4124"/>
        <item m="1" x="4189"/>
        <item m="1" x="2520"/>
        <item m="1" x="2642"/>
        <item m="1" x="1641"/>
        <item m="1" x="1946"/>
        <item m="1" x="2650"/>
        <item m="1" x="2790"/>
        <item m="1" x="2948"/>
        <item m="1" x="2799"/>
        <item m="1" x="3361"/>
        <item m="1" x="3513"/>
        <item m="1" x="2569"/>
        <item m="1" x="717"/>
        <item m="1" x="888"/>
        <item m="1" x="1085"/>
        <item m="1" x="1262"/>
        <item m="1" x="1438"/>
        <item m="1" x="1598"/>
        <item m="1" x="1771"/>
        <item m="1" x="1932"/>
        <item m="1" x="2068"/>
        <item m="1" x="900"/>
        <item m="1" x="1118"/>
        <item m="1" x="1274"/>
        <item m="1" x="1445"/>
        <item m="1" x="2800"/>
        <item m="1" x="2953"/>
        <item m="1" x="2116"/>
        <item m="1" x="2417"/>
        <item m="1" x="2302"/>
        <item m="1" x="4472"/>
        <item m="1" x="3556"/>
        <item m="1" x="280"/>
        <item m="1" x="4375"/>
        <item m="1" x="1267"/>
        <item m="1" x="4217"/>
        <item m="1" x="2396"/>
        <item m="1" x="3257"/>
        <item m="1" x="2266"/>
        <item m="1" x="2823"/>
        <item m="1" x="2975"/>
        <item m="1" x="5079"/>
        <item m="1" x="5002"/>
        <item m="1" x="2844"/>
        <item m="1" x="1550"/>
        <item m="1" x="4051"/>
        <item m="1" x="1482"/>
        <item m="1" x="3404"/>
        <item m="1" x="2416"/>
        <item m="1" x="4881"/>
        <item m="1" x="1446"/>
        <item m="1" x="1615"/>
        <item m="1" x="1961"/>
        <item m="1" x="1778"/>
        <item m="1" x="1275"/>
        <item m="1" x="190"/>
        <item m="1" x="671"/>
        <item m="1" x="881"/>
        <item m="1" x="3214"/>
        <item m="1" x="4552"/>
        <item m="1" x="2695"/>
        <item m="1" x="2659"/>
        <item m="1" x="2976"/>
        <item m="1" x="3718"/>
        <item m="1" x="2270"/>
        <item m="1" x="1469"/>
        <item m="1" x="597"/>
        <item m="1" x="1290"/>
        <item m="1" x="3267"/>
        <item m="1" x="3258"/>
        <item m="1" x="961"/>
        <item m="1" x="3309"/>
        <item m="1" x="4595"/>
        <item m="1" x="4889"/>
        <item m="1" x="2834"/>
        <item m="1" x="2229"/>
        <item m="1" x="2693"/>
        <item m="1" x="967"/>
        <item m="1" x="2131"/>
        <item m="1" x="3496"/>
        <item m="1" x="1315"/>
        <item m="1" x="2440"/>
        <item m="1" x="3370"/>
        <item m="1" x="2283"/>
        <item m="1" x="2426"/>
        <item m="1" x="2552"/>
        <item m="1" x="3092"/>
        <item m="1" x="3239"/>
        <item m="1" x="3362"/>
        <item m="1" x="3514"/>
        <item m="1" x="2303"/>
        <item m="1" x="2082"/>
        <item m="1" x="2891"/>
        <item m="1" x="2994"/>
        <item m="1" x="4473"/>
        <item m="1" x="4251"/>
        <item m="1" x="4626"/>
        <item m="1" x="1496"/>
        <item m="1" x="3546"/>
        <item m="1" x="3557"/>
        <item m="1" x="2553"/>
        <item m="1" x="3110"/>
        <item m="1" x="2554"/>
        <item m="1" x="3884"/>
        <item m="1" x="1461"/>
        <item m="1" x="2544"/>
        <item m="1" x="2308"/>
        <item m="1" x="2326"/>
        <item m="1" x="632"/>
        <item m="1" x="1087"/>
        <item m="1" x="2865"/>
        <item m="1" x="1794"/>
        <item m="1" x="3905"/>
        <item m="1" x="1975"/>
        <item m="1" x="2130"/>
        <item m="1" x="2433"/>
        <item m="1" x="3259"/>
        <item m="1" x="4934"/>
        <item m="1" x="1871"/>
        <item m="1" x="2660"/>
        <item m="1" x="4715"/>
        <item m="1" x="4328"/>
        <item m="1" x="3913"/>
        <item m="1" x="2672"/>
        <item m="1" x="2427"/>
        <item m="1" x="2143"/>
        <item m="1" x="1095"/>
        <item m="1" x="1642"/>
        <item m="1" x="2093"/>
        <item m="1" x="4584"/>
        <item m="1" x="464"/>
        <item m="1" x="1338"/>
        <item m="1" x="1340"/>
        <item m="1" x="416"/>
        <item m="1" x="1962"/>
        <item m="1" x="1501"/>
        <item m="1" x="2932"/>
        <item m="1" x="3028"/>
        <item m="1" x="2464"/>
        <item m="1" x="160"/>
        <item m="1" x="2882"/>
        <item m="1" x="279"/>
        <item m="1" x="4650"/>
        <item m="1" x="1877"/>
        <item m="1" x="2987"/>
        <item m="1" x="2982"/>
        <item m="1" x="1837"/>
        <item m="1" x="374"/>
        <item m="1" x="3290"/>
        <item m="1" x="2899"/>
        <item m="1" x="454"/>
        <item m="1" x="1770"/>
        <item m="1" x="2628"/>
        <item m="1" x="2923"/>
        <item m="1" x="1612"/>
        <item m="1" x="3138"/>
        <item m="1" x="2336"/>
        <item m="1" x="2712"/>
        <item m="1" x="5073"/>
        <item m="1" x="1666"/>
        <item m="1" x="4735"/>
        <item m="1" x="3580"/>
        <item m="1" x="1665"/>
        <item m="1" x="5086"/>
        <item m="1" x="1789"/>
        <item m="1" x="2418"/>
        <item m="1" x="2441"/>
        <item m="1" x="4249"/>
        <item m="1" x="4590"/>
        <item m="1" x="4618"/>
        <item m="1" x="440"/>
        <item m="1" x="4400"/>
        <item m="1" x="2482"/>
        <item m="1" x="2854"/>
        <item m="1" x="3002"/>
        <item m="1" x="1517"/>
        <item m="1" x="3934"/>
        <item m="1" x="1918"/>
        <item m="1" x="2172"/>
        <item m="1" x="4635"/>
        <item m="1" x="964"/>
        <item m="1" x="4578"/>
        <item m="1" x="4258"/>
        <item m="1" x="3469"/>
        <item m="1" x="2832"/>
        <item m="1" x="1987"/>
        <item m="1" x="3565"/>
        <item m="1" x="449"/>
        <item m="1" x="2981"/>
        <item m="1" x="3407"/>
        <item m="1" x="1336"/>
        <item m="1" x="4273"/>
        <item m="1" x="2688"/>
        <item m="1" x="4778"/>
        <item m="1" x="1397"/>
        <item m="1" x="1522"/>
        <item m="1" x="3725"/>
        <item m="1" x="4110"/>
        <item m="1" x="3516"/>
        <item m="1" x="4146"/>
        <item m="1" x="4491"/>
        <item m="1" x="2310"/>
        <item m="1" x="3045"/>
        <item m="1" x="2320"/>
        <item m="1" x="1538"/>
        <item m="1" x="3035"/>
        <item m="1" x="3422"/>
        <item m="1" x="1252"/>
        <item m="1" x="1545"/>
        <item m="1" x="611"/>
        <item m="1" x="3295"/>
        <item m="1" x="3561"/>
        <item m="1" x="1002"/>
        <item m="1" x="1187"/>
        <item m="1" x="1715"/>
        <item m="1" x="695"/>
        <item m="1" x="907"/>
        <item m="1" x="4596"/>
        <item m="1" x="3550"/>
        <item m="1" x="4270"/>
        <item m="1" x="4428"/>
        <item m="1" x="2564"/>
        <item m="1" x="2887"/>
        <item m="1" x="4414"/>
        <item m="1" x="4748"/>
        <item m="1" x="4341"/>
        <item m="1" x="5074"/>
        <item m="1" x="4619"/>
        <item m="1" x="156"/>
        <item m="1" x="4620"/>
        <item m="1" x="3420"/>
        <item m="1" x="2732"/>
        <item m="1" x="2837"/>
        <item m="1" x="3445"/>
        <item m="1" x="5123"/>
        <item m="1" x="2106"/>
        <item m="1" x="4492"/>
        <item m="1" x="4603"/>
        <item m="1" x="2704"/>
        <item m="1" x="4645"/>
        <item m="1" x="5087"/>
        <item m="1" x="4651"/>
        <item m="1" x="177"/>
        <item m="1" x="1041"/>
        <item m="1" x="660"/>
        <item m="1" x="3920"/>
        <item m="1" x="4068"/>
        <item m="1" x="4250"/>
        <item m="1" x="4401"/>
        <item m="1" x="3680"/>
        <item m="1" x="4476"/>
        <item m="1" x="4656"/>
        <item m="1" x="4808"/>
        <item m="1" x="3350"/>
        <item m="1" x="5115"/>
        <item m="1" x="166"/>
        <item m="1" x="296"/>
        <item m="1" x="471"/>
        <item m="1" x="2989"/>
        <item m="1" x="4969"/>
        <item m="1" x="1175"/>
        <item m="1" x="314"/>
        <item m="1" x="485"/>
        <item m="1" x="637"/>
        <item m="1" x="3627"/>
        <item m="1" x="956"/>
        <item m="1" x="3953"/>
        <item m="1" x="626"/>
        <item m="1" x="3116"/>
        <item m="1" x="3517"/>
        <item m="1" x="4104"/>
        <item m="1" x="492"/>
        <item m="1" x="1152"/>
        <item m="1" x="212"/>
        <item m="1" x="1866"/>
        <item m="1" x="678"/>
        <item m="1" x="829"/>
        <item m="1" x="1012"/>
        <item m="1" x="4995"/>
        <item m="1" x="5142"/>
        <item m="1" x="197"/>
        <item m="1" x="377"/>
        <item m="1" x="500"/>
        <item m="1" x="664"/>
        <item m="1" x="3195"/>
        <item m="1" x="841"/>
        <item m="1" x="989"/>
        <item m="1" x="1281"/>
        <item m="1" x="1319"/>
        <item m="1" x="4186"/>
        <item m="1" x="875"/>
        <item m="1" x="1243"/>
        <item m="1" x="1402"/>
        <item m="1" x="479"/>
        <item m="1" x="1792"/>
        <item m="1" x="2640"/>
        <item m="1" x="2942"/>
        <item m="1" x="1632"/>
        <item m="1" x="1003"/>
        <item m="1" x="990"/>
        <item m="1" x="1688"/>
        <item m="1" x="4794"/>
        <item m="1" x="665"/>
        <item m="1" x="1212"/>
        <item m="1" x="4429"/>
        <item m="1" x="4300"/>
        <item m="1" x="4322"/>
        <item m="1" x="698"/>
        <item m="1" x="853"/>
        <item m="1" x="1042"/>
        <item m="1" x="5013"/>
        <item m="1" x="4088"/>
        <item m="1" x="4504"/>
        <item m="1" x="4801"/>
        <item m="1" x="1565"/>
        <item m="1" x="3977"/>
        <item m="1" x="3484"/>
        <item m="1" x="3592"/>
        <item m="1" x="4970"/>
        <item m="1" x="3959"/>
        <item m="1" x="5124"/>
        <item m="1" x="4117"/>
        <item m="1" x="4661"/>
        <item m="1" x="4314"/>
        <item m="1" x="3487"/>
        <item m="1" x="2853"/>
        <item m="1" x="3368"/>
        <item m="1" x="4116"/>
        <item m="1" x="4299"/>
        <item m="1" x="2750"/>
        <item m="1" x="1363"/>
        <item m="1" x="1218"/>
        <item m="1" x="4971"/>
        <item m="1" x="842"/>
        <item m="1" x="1033"/>
        <item m="1" x="3174"/>
        <item m="1" x="722"/>
        <item m="1" x="874"/>
        <item m="1" x="1065"/>
        <item m="1" x="5029"/>
        <item m="1" x="854"/>
        <item m="1" x="1139"/>
        <item m="1" x="1270"/>
        <item m="1" x="1440"/>
        <item m="1" x="1576"/>
        <item m="1" x="1719"/>
        <item m="1" x="146"/>
        <item m="1" x="4666"/>
        <item m="1" x="2718"/>
        <item m="1" x="3500"/>
        <item m="1" x="1013"/>
        <item m="1" x="3604"/>
        <item m="1" x="3747"/>
        <item m="1" x="4129"/>
        <item m="1" x="3535"/>
        <item m="1" x="4171"/>
        <item m="1" x="336"/>
        <item m="1" x="501"/>
        <item m="1" x="4513"/>
        <item m="1" x="1056"/>
        <item m="1" x="1692"/>
        <item m="1" x="1075"/>
        <item m="1" x="4467"/>
        <item m="1" x="1855"/>
        <item m="1" x="297"/>
        <item m="1" x="4993"/>
        <item m="1" x="753"/>
        <item m="1" x="894"/>
        <item m="1" x="3939"/>
        <item m="1" x="178"/>
        <item m="1" x="315"/>
        <item m="1" x="520"/>
        <item m="1" x="666"/>
        <item m="1" x="4688"/>
        <item m="1" x="4856"/>
        <item m="1" x="1004"/>
        <item m="1" x="1389"/>
        <item m="1" x="4974"/>
        <item m="1" x="4802"/>
        <item m="1" x="1413"/>
        <item m="1" x="680"/>
        <item m="1" x="1751"/>
        <item m="1" x="932"/>
        <item m="1" x="3786"/>
        <item m="1" x="4505"/>
        <item m="1" x="4818"/>
        <item m="1" x="627"/>
        <item m="1" x="472"/>
        <item m="1" x="4820"/>
        <item m="1" x="2008"/>
        <item m="1" x="337"/>
        <item m="1" x="4787"/>
        <item m="1" x="4978"/>
        <item m="1" x="4302"/>
        <item m="1" x="3619"/>
        <item m="1" x="3788"/>
        <item m="1" x="4457"/>
        <item m="1" x="2840"/>
        <item m="1" x="169"/>
        <item m="1" x="1138"/>
        <item m="1" x="5092"/>
        <item m="1" x="5117"/>
        <item m="1" x="1374"/>
        <item m="1" x="510"/>
        <item m="1" x="539"/>
        <item m="1" x="711"/>
        <item m="1" x="4477"/>
        <item m="1" x="4671"/>
        <item m="1" x="4959"/>
        <item m="1" x="347"/>
        <item m="1" x="4689"/>
        <item m="1" x="4824"/>
        <item m="1" x="486"/>
        <item m="1" x="1414"/>
        <item m="1" x="186"/>
        <item m="1" x="4636"/>
        <item m="1" x="1057"/>
        <item m="1" x="298"/>
        <item m="1" x="855"/>
        <item m="1" x="1058"/>
        <item m="1" x="4938"/>
        <item m="1" x="3617"/>
        <item m="1" x="493"/>
        <item m="1" x="4697"/>
        <item m="1" x="4330"/>
        <item m="1" x="4540"/>
        <item m="1" x="1740"/>
        <item m="1" x="1899"/>
        <item m="1" x="2040"/>
        <item m="1" x="866"/>
        <item m="1" x="4106"/>
        <item m="1" x="4290"/>
        <item m="1" x="4455"/>
        <item m="1" x="4960"/>
        <item m="1" x="882"/>
        <item m="1" x="1606"/>
        <item m="1" x="1760"/>
        <item m="1" x="3630"/>
        <item m="1" x="4796"/>
        <item m="1" x="4506"/>
        <item m="1" x="653"/>
        <item m="1" x="3170"/>
        <item m="1" x="4771"/>
        <item m="1" x="328"/>
        <item m="1" x="3969"/>
        <item m="1" x="4118"/>
        <item m="1" x="4301"/>
        <item m="1" x="2321"/>
        <item m="1" x="356"/>
        <item m="1" x="5005"/>
        <item m="1" x="4906"/>
        <item m="1" x="1403"/>
        <item m="1" x="214"/>
        <item m="1" x="4646"/>
        <item m="1" x="1160"/>
        <item m="1" x="5107"/>
        <item m="1" x="538"/>
        <item m="1" x="554"/>
        <item m="1" x="738"/>
        <item m="1" x="2058"/>
        <item m="1" x="3531"/>
        <item m="1" x="3670"/>
        <item m="1" x="3805"/>
        <item m="1" x="4138"/>
        <item m="1" x="3416"/>
        <item m="1" x="3960"/>
        <item m="1" x="1066"/>
        <item m="1" x="2065"/>
        <item m="1" x="4337"/>
        <item m="1" x="4591"/>
        <item m="1" x="198"/>
        <item m="1" x="1224"/>
        <item m="1" x="1922"/>
        <item m="1" x="651"/>
        <item m="1" x="3053"/>
        <item m="1" x="3215"/>
        <item m="1" x="484"/>
        <item m="1" x="3315"/>
        <item m="1" x="3466"/>
        <item m="1" x="3618"/>
        <item m="1" x="3787"/>
        <item m="1" x="316"/>
        <item m="1" x="5143"/>
        <item m="1" x="2254"/>
        <item m="1" x="1115"/>
        <item m="1" x="3803"/>
        <item m="1" x="3961"/>
        <item m="1" x="1236"/>
        <item m="1" x="187"/>
        <item m="1" x="3333"/>
        <item m="1" x="4779"/>
        <item m="1" x="1664"/>
        <item m="1" x="518"/>
        <item m="1" x="2741"/>
        <item m="1" x="1059"/>
        <item m="1" x="1943"/>
        <item m="1" x="4468"/>
        <item m="1" x="5116"/>
        <item m="1" x="1434"/>
        <item m="1" x="3363"/>
        <item m="1" x="2576"/>
        <item m="1" x="5019"/>
        <item m="1" x="1102"/>
        <item m="1" x="4691"/>
        <item m="1" x="329"/>
        <item m="1" x="593"/>
        <item m="1" x="388"/>
        <item m="1" x="547"/>
        <item m="1" x="725"/>
        <item m="1" x="1091"/>
        <item m="1" x="4759"/>
        <item m="1" x="1032"/>
        <item m="1" x="1569"/>
        <item m="1" x="1729"/>
        <item m="1" x="509"/>
        <item m="1" x="677"/>
        <item m="1" x="4690"/>
        <item m="1" x="1076"/>
        <item m="1" x="223"/>
        <item m="1" x="895"/>
        <item m="1" x="521"/>
        <item m="1" x="1424"/>
        <item m="1" x="1077"/>
        <item m="1" x="1257"/>
        <item m="1" x="1784"/>
        <item m="1" x="499"/>
        <item m="1" x="1699"/>
        <item m="1" x="4291"/>
        <item m="1" x="4456"/>
        <item m="1" x="3322"/>
        <item m="1" x="3473"/>
        <item m="1" x="3804"/>
        <item m="1" x="3970"/>
        <item m="1" x="4119"/>
        <item m="1" x="4647"/>
        <item m="1" x="3986"/>
        <item m="1" x="652"/>
        <item m="1" x="4996"/>
        <item m="1" x="199"/>
        <item m="1" x="85"/>
        <item m="1" x="5031"/>
        <item m="1" x="5166"/>
        <item m="1" x="215"/>
        <item m="1" x="2858"/>
        <item m="1" x="1239"/>
        <item m="1" x="5042"/>
        <item m="1" x="3987"/>
        <item m="1" x="4161"/>
        <item m="1" x="4997"/>
        <item m="1" x="5144"/>
        <item m="1" x="4331"/>
        <item m="1" x="3818"/>
        <item m="1" x="4791"/>
        <item m="1" x="620"/>
        <item m="1" x="565"/>
        <item m="1" x="755"/>
        <item m="1" x="4478"/>
        <item m="1" x="5134"/>
        <item m="1" x="4844"/>
        <item m="1" x="379"/>
        <item m="1" x="5167"/>
        <item m="1" x="216"/>
        <item m="1" x="5032"/>
        <item m="1" x="540"/>
        <item m="1" x="3711"/>
        <item m="1" x="529"/>
        <item m="1" x="530"/>
        <item m="1" x="876"/>
        <item m="1" x="1226"/>
        <item m="1" x="380"/>
        <item m="1" x="4383"/>
        <item m="1" x="4517"/>
        <item m="1" x="1936"/>
        <item m="1" x="2122"/>
        <item m="1" x="2278"/>
        <item m="1" x="3063"/>
        <item m="1" x="3226"/>
        <item m="1" x="3334"/>
        <item m="1" x="3501"/>
        <item m="1" x="3700"/>
        <item m="1" x="3895"/>
        <item m="1" x="3686"/>
        <item m="1" x="348"/>
        <item m="1" x="3388"/>
        <item m="1" x="1225"/>
        <item m="1" x="1937"/>
        <item m="1" x="349"/>
        <item m="1" x="217"/>
        <item m="1" x="4931"/>
        <item m="1" x="2344"/>
        <item m="1" x="5168"/>
        <item m="1" x="5158"/>
        <item m="1" x="644"/>
        <item m="1" x="431"/>
        <item m="1" x="583"/>
        <item m="1" x="771"/>
        <item m="1" x="95"/>
        <item m="1" x="3491"/>
        <item m="1" x="3671"/>
        <item m="1" x="1090"/>
        <item m="1" x="1223"/>
        <item m="1" x="555"/>
        <item m="1" x="3753"/>
        <item m="1" x="548"/>
        <item m="1" x="357"/>
        <item m="1" x="689"/>
        <item m="1" x="700"/>
        <item m="1" x="556"/>
        <item m="1" x="283"/>
        <item m="1" x="432"/>
        <item m="1" x="2391"/>
        <item m="1" x="113"/>
        <item m="1" x="4150"/>
        <item m="1" x="3551"/>
        <item m="1" x="355"/>
        <item m="1" x="519"/>
        <item m="1" x="5156"/>
        <item m="1" x="867"/>
        <item m="1" x="1425"/>
        <item m="1" x="1589"/>
        <item m="1" x="4127"/>
        <item m="1" x="4315"/>
        <item m="1" x="4692"/>
        <item m="1" x="5043"/>
        <item m="1" x="5044"/>
        <item m="1" x="522"/>
        <item m="1" x="688"/>
        <item m="1" x="868"/>
        <item m="1" x="1283"/>
        <item m="1" x="2076"/>
        <item m="1" x="4486"/>
        <item m="1" x="3993"/>
        <item m="1" x="4338"/>
        <item m="1" x="4708"/>
        <item m="1" x="4870"/>
        <item m="1" x="2430"/>
        <item m="1" x="3111"/>
        <item m="1" x="3253"/>
        <item m="1" x="3378"/>
        <item m="1" x="3896"/>
        <item m="1" x="3701"/>
        <item m="1" x="3885"/>
        <item m="1" x="5006"/>
        <item m="1" x="2768"/>
        <item m="1" x="3543"/>
        <item m="1" x="1074"/>
        <item m="1" x="3985"/>
        <item m="1" x="4030"/>
        <item m="1" x="1258"/>
        <item m="1" x="3220"/>
        <item m="1" x="5063"/>
        <item m="1" x="3672"/>
        <item m="1" x="4356"/>
        <item m="1" x="4162"/>
        <item m="1" x="2086"/>
        <item m="1" x="453"/>
        <item m="1" x="601"/>
        <item m="1" x="4498"/>
        <item m="1" x="5157"/>
        <item m="1" x="1043"/>
        <item m="1" x="3850"/>
        <item m="1" x="4408"/>
        <item m="1" x="4561"/>
        <item m="1" x="4719"/>
        <item m="1" x="1551"/>
        <item m="1" x="5052"/>
        <item m="1" x="167"/>
        <item m="1" x="575"/>
        <item m="1" x="566"/>
        <item m="1" x="5020"/>
        <item m="1" x="3352"/>
        <item m="1" x="4007"/>
        <item m="1" x="4507"/>
        <item m="1" x="4519"/>
        <item m="1" x="4693"/>
        <item m="1" x="690"/>
        <item m="1" x="726"/>
        <item m="1" x="381"/>
        <item m="1" x="5011"/>
        <item m="1" x="563"/>
        <item m="1" x="4955"/>
        <item m="1" x="307"/>
        <item m="1" x="241"/>
        <item m="1" x="4527"/>
        <item m="1" x="4435"/>
        <item m="1" x="936"/>
        <item m="1" x="550"/>
        <item m="1" x="1206"/>
        <item m="1" x="4773"/>
        <item m="1" x="465"/>
        <item m="1" x="4764"/>
        <item m="1" x="291"/>
        <item m="1" x="228"/>
        <item m="1" x="152"/>
        <item m="1" x="364"/>
        <item m="1" x="396"/>
        <item m="1" x="1021"/>
        <item m="1" x="94"/>
        <item m="1" x="4878"/>
        <item m="1" x="320"/>
        <item m="1" x="659"/>
        <item m="1" x="1453"/>
        <item m="1" x="1620"/>
        <item m="1" x="1785"/>
        <item m="1" x="5040"/>
        <item m="1" x="4518"/>
        <item m="1" x="2180"/>
        <item m="1" x="4529"/>
        <item m="1" x="2154"/>
        <item m="1" x="209"/>
        <item m="1" x="4627"/>
        <item m="1" x="3817"/>
        <item m="1" x="4163"/>
        <item m="1" x="4355"/>
        <item m="1" x="5053"/>
        <item m="1" x="1449"/>
        <item m="1" x="4843"/>
        <item m="1" x="3855"/>
        <item m="1" x="4803"/>
        <item m="1" x="5078"/>
        <item m="1" x="5109"/>
        <item m="1" x="2412"/>
        <item m="1" x="3716"/>
        <item m="1" x="1951"/>
        <item m="1" x="2123"/>
        <item m="1" x="1134"/>
        <item m="1" x="4586"/>
        <item m="1" x="4741"/>
        <item m="1" x="1309"/>
        <item m="1" x="1484"/>
        <item m="1" x="3976"/>
        <item m="1" x="903"/>
        <item m="1" x="1099"/>
        <item m="1" x="1830"/>
        <item m="1" x="946"/>
        <item m="1" x="2293"/>
        <item m="1" x="4177"/>
        <item m="1" x="1637"/>
        <item m="1" x="2547"/>
        <item m="1" x="1696"/>
        <item m="1" x="4788"/>
        <item m="1" x="366"/>
        <item m="1" x="4533"/>
        <item m="1" x="5101"/>
        <item m="1" x="2274"/>
        <item m="1" x="1621"/>
        <item m="1" x="1786"/>
        <item m="1" x="2147"/>
        <item m="1" x="553"/>
        <item m="1" x="2075"/>
        <item m="1" x="4022"/>
        <item m="1" x="4609"/>
        <item m="1" x="4762"/>
        <item m="1" x="2622"/>
        <item m="1" x="3455"/>
        <item m="1" x="2691"/>
        <item m="1" x="2973"/>
        <item m="1" x="3578"/>
        <item m="1" x="168"/>
        <item m="1" x="1112"/>
        <item m="1" x="1244"/>
        <item m="1" x="1237"/>
        <item m="1" x="1894"/>
        <item m="1" x="1870"/>
        <item m="1" x="3502"/>
        <item m="1" x="2318"/>
        <item m="1" x="2939"/>
        <item m="1" x="3936"/>
        <item m="1" x="679"/>
        <item m="1" x="3539"/>
        <item m="1" x="3269"/>
        <item m="1" x="3703"/>
        <item m="1" x="3132"/>
        <item m="1" x="1266"/>
        <item m="1" x="3391"/>
        <item m="1" x="2446"/>
        <item m="1" x="2978"/>
        <item m="1" x="3114"/>
        <item m="1" x="3381"/>
        <item m="1" x="2855"/>
        <item m="1" x="1255"/>
        <item m="1" x="4516"/>
        <item m="1" x="2319"/>
        <item m="1" x="2109"/>
        <item m="1" x="3122"/>
        <item m="1" x="1634"/>
        <item m="1" x="3263"/>
        <item m="1" x="1889"/>
        <item m="1" x="3304"/>
        <item m="1" x="3721"/>
        <item m="1" x="102"/>
        <item m="1" x="5120"/>
        <item m="1" x="2110"/>
        <item m="1" x="2148"/>
        <item m="1" x="4640"/>
        <item m="1" x="4781"/>
        <item m="1" x="2163"/>
        <item m="1" x="2164"/>
        <item m="1" x="2330"/>
        <item m="1" x="2460"/>
        <item m="1" x="2582"/>
        <item m="1" x="3722"/>
        <item m="1" x="2087"/>
        <item m="1" x="2085"/>
        <item m="1" x="1474"/>
        <item m="1" x="1716"/>
        <item m="1" x="3123"/>
        <item m="1" x="4961"/>
        <item m="1" x="1485"/>
        <item m="1" x="2466"/>
        <item m="1" x="899"/>
        <item m="1" x="4137"/>
        <item m="1" x="4006"/>
        <item m="1" x="5014"/>
        <item m="1" x="1911"/>
        <item m="1" x="2097"/>
        <item m="1" x="3133"/>
        <item m="1" x="4869"/>
        <item m="1" x="751"/>
        <item m="1" x="304"/>
        <item m="1" x="3917"/>
        <item m="1" x="4541"/>
        <item m="1" x="2189"/>
        <item m="1" x="777"/>
        <item m="1" x="1523"/>
        <item m="1" x="1679"/>
        <item m="1" x="930"/>
        <item m="1" x="1147"/>
        <item m="1" x="921"/>
        <item m="1" x="1170"/>
        <item m="1" x="3744"/>
        <item m="1" x="1663"/>
        <item m="1" x="1842"/>
        <item m="1" x="1509"/>
        <item m="1" x="4711"/>
        <item m="1" x="2725"/>
        <item m="1" x="3413"/>
        <item m="1" x="2149"/>
        <item m="1" x="2294"/>
        <item m="1" x="2698"/>
        <item m="1" x="3403"/>
        <item m="1" x="1245"/>
        <item m="1" x="1346"/>
        <item m="1" x="1639"/>
        <item m="1" x="1101"/>
        <item m="1" x="1488"/>
        <item m="1" x="3400"/>
        <item m="1" x="579"/>
        <item m="1" x="4953"/>
        <item m="1" x="2713"/>
        <item m="1" x="2999"/>
        <item m="1" x="3456"/>
        <item m="1" x="3798"/>
        <item m="1" x="3965"/>
        <item m="1" x="3613"/>
        <item m="1" x="1362"/>
        <item m="1" x="1140"/>
        <item m="1" x="1271"/>
        <item m="1" x="3768"/>
        <item m="1" x="2218"/>
        <item m="1" x="426"/>
        <item m="1" x="1851"/>
        <item m="1" x="1997"/>
        <item m="1" x="4731"/>
        <item m="1" x="3736"/>
        <item m="1" x="2135"/>
        <item m="1" x="1510"/>
        <item m="1" x="84"/>
        <item m="1" x="203"/>
        <item m="1" x="883"/>
        <item m="1" x="1441"/>
        <item m="1" x="4149"/>
        <item m="1" x="2998"/>
        <item m="1" x="1816"/>
        <item m="1" x="2706"/>
        <item m="1" x="1828"/>
        <item m="1" x="4817"/>
        <item m="1" x="1744"/>
        <item m="1" x="1646"/>
        <item m="1" x="3140"/>
        <item m="1" x="2910"/>
        <item m="1" x="3017"/>
        <item m="1" x="3149"/>
        <item m="1" x="1547"/>
        <item m="1" x="1998"/>
        <item m="1" x="3845"/>
        <item m="1" x="3999"/>
        <item m="1" x="3444"/>
        <item m="1" x="2496"/>
        <item m="1" x="2614"/>
        <item m="1" x="3050"/>
        <item m="1" x="2911"/>
        <item m="1" x="1511"/>
        <item m="1" x="2885"/>
        <item m="1" x="3783"/>
        <item m="1" x="957"/>
        <item m="1" x="1820"/>
        <item m="1" x="1986"/>
        <item m="1" x="4005"/>
        <item m="1" x="2133"/>
        <item m="1" x="1289"/>
        <item m="1" x="2381"/>
        <item m="1" x="2726"/>
        <item m="1" x="2468"/>
        <item m="1" x="1861"/>
        <item m="1" x="3167"/>
        <item m="1" x="1890"/>
        <item m="1" x="574"/>
        <item m="1" x="3497"/>
        <item m="1" x="2524"/>
        <item m="1" x="2646"/>
        <item m="1" x="3086"/>
        <item m="1" x="3197"/>
        <item m="1" x="1161"/>
        <item m="1" x="1256"/>
        <item m="1" x="3782"/>
        <item m="1" x="2345"/>
        <item m="1" x="2479"/>
        <item m="1" x="1310"/>
        <item m="1" x="2886"/>
        <item m="1" x="699"/>
        <item m="1" x="724"/>
        <item m="1" x="1843"/>
        <item m="1" x="4890"/>
        <item m="1" x="2461"/>
        <item m="1" x="2583"/>
        <item m="1" x="2436"/>
        <item m="1" x="2563"/>
        <item m="1" x="2201"/>
        <item m="1" x="2340"/>
        <item m="1" x="2165"/>
        <item m="1" x="2176"/>
        <item m="1" x="2871"/>
        <item m="1" x="1302"/>
        <item m="1" x="4585"/>
        <item m="1" x="4641"/>
        <item m="1" x="4536"/>
        <item m="1" x="1294"/>
        <item m="1" x="2111"/>
        <item m="1" x="3745"/>
        <item m="1" x="2190"/>
        <item m="1" x="3057"/>
        <item m="1" x="3009"/>
        <item m="1" x="4371"/>
        <item m="1" x="2202"/>
        <item m="1" x="2353"/>
        <item m="1" x="5163"/>
        <item m="1" x="5003"/>
        <item m="1" x="4914"/>
        <item m="1" x="528"/>
        <item m="1" x="5141"/>
        <item m="1" x="793"/>
        <item m="1" x="513"/>
        <item m="1" x="2150"/>
        <item m="1" x="272"/>
        <item m="1" x="134"/>
        <item m="1" x="514"/>
        <item m="1" x="345"/>
        <item m="1" x="779"/>
        <item m="1" x="2098"/>
        <item m="1" x="1941"/>
        <item m="1" x="1064"/>
        <item m="1" x="1682"/>
        <item m="1" x="1153"/>
        <item m="1" x="1717"/>
        <item m="1" x="1704"/>
        <item m="1" x="2944"/>
        <item m="1" x="2856"/>
        <item m="1" x="3134"/>
        <item m="1" x="2699"/>
        <item m="1" x="3168"/>
        <item m="1" x="923"/>
        <item m="1" x="4160"/>
        <item m="1" x="4021"/>
        <item m="1" x="5030"/>
        <item m="1" x="1929"/>
        <item m="1" x="2120"/>
        <item m="1" x="1965"/>
        <item m="1" x="2429"/>
        <item m="1" x="2480"/>
        <item m="1" x="1882"/>
        <item m="1" x="3769"/>
        <item m="1" x="2332"/>
        <item m="1" x="718"/>
        <item m="1" x="1326"/>
        <item m="1" x="1375"/>
        <item m="1" x="1524"/>
        <item m="1" x="1730"/>
        <item m="1" x="2604"/>
        <item m="1" x="2736"/>
        <item m="1" x="2903"/>
        <item m="1" x="3024"/>
        <item m="1" x="4608"/>
        <item m="1" x="2211"/>
        <item m="1" x="2645"/>
        <item m="1" x="2912"/>
        <item m="1" x="3033"/>
        <item m="1" x="3318"/>
        <item m="1" x="3470"/>
        <item m="1" x="1188"/>
        <item m="1" x="2016"/>
        <item m="1" x="3313"/>
        <item m="1" x="3314"/>
        <item m="1" x="1272"/>
        <item m="1" x="3331"/>
        <item m="1" x="1126"/>
        <item m="1" x="2674"/>
        <item m="1" x="2595"/>
        <item m="1" x="2490"/>
        <item m="1" x="4972"/>
        <item m="1" x="1883"/>
        <item m="1" x="2469"/>
        <item m="1" x="2481"/>
        <item m="1" x="1253"/>
        <item m="1" x="3341"/>
        <item m="1" x="3488"/>
        <item m="1" x="1901"/>
        <item m="1" x="2605"/>
        <item m="1" x="1183"/>
        <item m="1" x="1317"/>
        <item m="1" x="2737"/>
        <item m="1" x="3319"/>
        <item m="1" x="2041"/>
        <item m="1" x="3169"/>
        <item m="1" x="3471"/>
        <item m="1" x="3602"/>
        <item m="1" x="3482"/>
        <item m="1" x="4100"/>
        <item m="1" x="106"/>
        <item m="1" x="222"/>
        <item m="1" x="1465"/>
        <item m="1" x="3016"/>
        <item m="1" x="4020"/>
        <item m="1" x="1213"/>
        <item m="1" x="3636"/>
        <item m="1" x="2006"/>
        <item m="1" x="2971"/>
        <item m="1" x="4841"/>
        <item m="1" x="830"/>
        <item m="1" x="1014"/>
        <item m="1" x="3206"/>
        <item m="1" x="4639"/>
        <item m="1" x="3358"/>
        <item m="1" x="3509"/>
        <item m="1" x="2203"/>
        <item m="1" x="2363"/>
        <item m="1" x="3058"/>
        <item m="1" x="1238"/>
        <item m="1" x="3846"/>
        <item m="1" x="2219"/>
        <item m="1" x="2753"/>
        <item m="1" x="1435"/>
        <item m="1" x="2256"/>
        <item m="1" x="4658"/>
        <item m="1" x="1577"/>
        <item m="1" x="908"/>
        <item m="1" x="1376"/>
        <item m="1" x="1902"/>
        <item m="1" x="2904"/>
        <item m="1" x="3025"/>
        <item m="1" x="4397"/>
        <item m="1" x="3330"/>
        <item m="1" x="818"/>
        <item m="1" x="3247"/>
        <item m="1" x="1314"/>
        <item m="1" x="3504"/>
        <item m="1" x="1903"/>
        <item m="1" x="2221"/>
        <item m="1" x="3376"/>
        <item m="1" x="3527"/>
        <item m="1" x="2220"/>
        <item m="1" x="1607"/>
        <item m="1" x="3067"/>
        <item m="1" x="1214"/>
        <item m="1" x="2191"/>
        <item m="1" x="2770"/>
        <item m="1" x="1454"/>
        <item m="1" x="2920"/>
        <item m="1" x="859"/>
        <item m="1" x="2121"/>
        <item m="1" x="3525"/>
        <item m="1" x="2626"/>
        <item m="1" x="3824"/>
        <item m="1" x="2474"/>
        <item m="1" x="3675"/>
        <item m="1" x="3615"/>
        <item m="1" x="592"/>
        <item m="1" x="3392"/>
        <item m="1" x="3542"/>
        <item m="1" x="2050"/>
        <item m="1" x="3532"/>
        <item m="1" x="3320"/>
        <item m="1" x="3978"/>
        <item m="1" x="3839"/>
        <item m="1" x="4334"/>
        <item m="1" x="1205"/>
        <item m="1" x="1341"/>
        <item m="1" x="1282"/>
        <item m="1" x="2714"/>
        <item m="1" x="2331"/>
        <item m="1" x="3464"/>
        <item m="1" x="2795"/>
        <item m="1" x="2346"/>
        <item m="1" x="2828"/>
        <item m="1" x="638"/>
        <item m="1" x="3510"/>
        <item m="1" x="3847"/>
        <item m="1" x="1182"/>
        <item m="1" x="4321"/>
        <item m="1" x="723"/>
        <item m="1" x="2234"/>
        <item m="1" x="2362"/>
        <item m="1" x="2497"/>
        <item m="1" x="2746"/>
        <item m="1" x="2913"/>
        <item m="1" x="3034"/>
        <item m="1" x="3178"/>
        <item m="1" x="3457"/>
        <item m="1" x="2506"/>
        <item m="1" x="2624"/>
        <item m="1" x="2754"/>
        <item m="1" x="2919"/>
        <item m="1" x="1227"/>
        <item m="1" x="1718"/>
        <item m="1" x="2498"/>
        <item m="1" x="2625"/>
        <item m="1" x="3342"/>
        <item m="1" x="3472"/>
        <item m="1" x="3644"/>
        <item m="1" x="3799"/>
        <item m="1" x="2938"/>
        <item m="1" x="3059"/>
        <item m="1" x="3207"/>
        <item m="1" x="3213"/>
        <item m="1" x="3489"/>
        <item m="1" x="3645"/>
        <item m="1" x="3823"/>
        <item m="1" x="4158"/>
        <item m="1" x="4336"/>
        <item m="1" x="4482"/>
        <item m="1" x="3498"/>
        <item m="1" x="3835"/>
        <item m="1" x="3991"/>
        <item m="1" x="4147"/>
        <item m="1" x="4329"/>
        <item m="1" x="4493"/>
        <item m="1" x="1060"/>
        <item m="1" x="1741"/>
        <item m="1" x="2499"/>
        <item m="1" x="308"/>
        <item m="1" x="1329"/>
        <item m="1" x="1232"/>
        <item m="1" x="2453"/>
        <item m="1" x="1036"/>
        <item m="1" x="2874"/>
        <item m="1" x="2755"/>
        <item m="1" x="3198"/>
        <item m="1" x="4017"/>
        <item m="1" x="1015"/>
        <item m="1" x="2354"/>
        <item m="1" x="4134"/>
        <item m="1" x="1331"/>
        <item m="1" x="4942"/>
        <item m="1" x="2615"/>
        <item m="1" x="4103"/>
        <item m="1" x="2136"/>
        <item m="1" x="3043"/>
        <item m="1" x="3829"/>
        <item m="1" x="3974"/>
        <item m="1" x="3346"/>
        <item m="1" x="3862"/>
        <item m="1" x="708"/>
        <item m="1" x="1248"/>
        <item m="1" x="101"/>
        <item m="1" x="1587"/>
        <item m="1" x="2233"/>
        <item m="1" x="3415"/>
        <item m="1" x="3563"/>
        <item m="1" x="3382"/>
        <item m="1" x="901"/>
        <item m="1" x="1599"/>
        <item m="1" x="5007"/>
        <item m="1" x="2675"/>
        <item m="1" x="1263"/>
        <item m="1" x="3438"/>
        <item m="1" x="3852"/>
        <item m="1" x="5152"/>
        <item m="1" x="1096"/>
        <item m="1" x="1643"/>
        <item m="1" x="207"/>
        <item m="1" x="4703"/>
        <item m="1" x="3208"/>
        <item m="1" x="351"/>
        <item m="1" x="969"/>
        <item m="1" x="4190"/>
        <item m="1" x="4039"/>
        <item m="1" x="5051"/>
        <item m="1" x="2780"/>
        <item m="1" x="2146"/>
        <item m="1" x="926"/>
        <item m="1" x="524"/>
        <item m="1" x="1119"/>
        <item m="1" x="259"/>
        <item m="1" x="915"/>
        <item m="1" x="1086"/>
        <item m="1" x="1462"/>
        <item m="1" x="1860"/>
        <item m="1" x="4911"/>
        <item m="1" x="4181"/>
        <item m="1" x="4180"/>
        <item m="1" x="3853"/>
        <item m="1" x="1146"/>
        <item m="1" x="734"/>
        <item m="1" x="4340"/>
        <item m="1" x="4853"/>
        <item m="1" x="1795"/>
        <item m="1" x="476"/>
        <item m="1" x="2242"/>
        <item m="1" x="3533"/>
        <item m="1" x="3696"/>
        <item m="1" x="4025"/>
        <item m="1" x="4196"/>
        <item m="1" x="4207"/>
        <item m="1" x="4359"/>
        <item m="1" x="1276"/>
        <item m="1" x="1277"/>
        <item m="1" x="4849"/>
        <item m="1" x="5148"/>
        <item m="1" x="89"/>
        <item m="1" x="1295"/>
        <item m="1" x="3250"/>
        <item m="1" x="403"/>
        <item m="1" x="4038"/>
        <item m="1" x="916"/>
        <item m="1" x="1470"/>
        <item m="1" x="1477"/>
        <item m="1" x="115"/>
        <item m="1" x="2443"/>
        <item m="1" x="249"/>
        <item m="1" x="4868"/>
        <item m="1" x="4858"/>
        <item m="1" x="4723"/>
        <item m="1" x="4026"/>
        <item m="1" x="1653"/>
        <item m="1" x="1683"/>
        <item m="1" x="1278"/>
        <item m="1" x="3737"/>
        <item m="1" x="1204"/>
        <item m="1" x="4064"/>
        <item m="1" x="4245"/>
        <item m="1" x="4926"/>
        <item m="1" x="952"/>
        <item m="1" x="424"/>
        <item m="1" x="3865"/>
        <item m="1" x="206"/>
        <item m="1" x="577"/>
        <item m="1" x="1802"/>
        <item m="1" x="2719"/>
        <item m="1" x="3526"/>
        <item m="1" x="2156"/>
        <item m="1" x="1623"/>
        <item m="1" x="1947"/>
        <item m="1" x="1471"/>
        <item m="1" x="4419"/>
        <item m="1" x="3349"/>
        <item m="1" x="843"/>
        <item m="1" x="567"/>
        <item m="1" x="2689"/>
        <item m="1" x="4367"/>
        <item m="1" x="4704"/>
        <item m="1" x="236"/>
        <item m="1" x="4055"/>
        <item m="1" x="4547"/>
        <item m="1" x="1421"/>
        <item m="1" x="4197"/>
        <item m="1" x="3956"/>
        <item m="1" x="4083"/>
        <item m="1" x="4268"/>
        <item m="1" x="972"/>
        <item m="1" x="4084"/>
        <item m="1" x="4732"/>
        <item m="1" x="918"/>
        <item m="1" x="4745"/>
        <item m="1" x="3366"/>
        <item m="1" x="3085"/>
        <item m="1" x="5057"/>
        <item m="1" x="3688"/>
        <item m="1" x="4208"/>
        <item m="1" x="4233"/>
        <item m="1" x="225"/>
        <item m="1" x="533"/>
        <item m="1" x="433"/>
        <item m="1" x="425"/>
        <item m="1" x="4220"/>
        <item m="1" x="235"/>
        <item m="1" x="735"/>
        <item m="1" x="951"/>
        <item m="1" x="560"/>
        <item m="1" x="747"/>
        <item m="1" x="1109"/>
        <item m="1" x="3270"/>
        <item m="1" x="4555"/>
        <item m="1" x="4714"/>
        <item m="1" x="4891"/>
        <item m="1" x="4389"/>
        <item m="1" x="4604"/>
        <item m="1" x="4366"/>
        <item m="1" x="2985"/>
        <item m="1" x="4863"/>
        <item m="1" x="4885"/>
        <item m="1" x="4221"/>
        <item m="1" x="1759"/>
        <item m="1" x="3698"/>
        <item m="1" x="3540"/>
        <item m="1" x="3704"/>
        <item m="1" x="4312"/>
        <item m="1" x="619"/>
        <item m="1" x="4126"/>
        <item m="1" x="4288"/>
        <item m="1" x="999"/>
        <item m="1" x="3541"/>
        <item m="1" x="127"/>
        <item m="1" x="2225"/>
        <item m="1" x="2167"/>
        <item m="1" x="1303"/>
        <item m="1" x="5071"/>
        <item m="1" x="4903"/>
        <item m="1" x="754"/>
        <item m="1" x="1838"/>
        <item m="1" x="4768"/>
        <item m="1" x="3875"/>
        <item m="1" x="4998"/>
        <item m="1" x="4360"/>
        <item m="1" x="4713"/>
        <item m="1" x="4556"/>
        <item m="1" x="226"/>
        <item m="1" x="4615"/>
        <item m="1" x="2398"/>
        <item m="1" x="2323"/>
        <item m="1" x="1352"/>
        <item m="1" x="1905"/>
        <item m="1" x="3385"/>
        <item m="1" x="1992"/>
        <item m="1" x="4566"/>
        <item m="1" x="116"/>
        <item m="1" x="4222"/>
        <item m="1" x="4072"/>
        <item m="1" x="1533"/>
        <item m="1" x="3908"/>
        <item m="1" x="128"/>
        <item m="1" x="4733"/>
        <item m="1" x="4588"/>
        <item m="1" x="3261"/>
        <item m="1" x="5072"/>
        <item m="1" x="4904"/>
        <item m="1" x="4886"/>
        <item m="1" x="4439"/>
        <item m="1" x="4956"/>
        <item m="1" x="2255"/>
        <item m="1" x="4754"/>
        <item m="1" x="142"/>
        <item m="1" x="275"/>
        <item m="1" x="4085"/>
        <item m="1" x="3579"/>
        <item m="1" x="4927"/>
        <item m="1" x="4246"/>
        <item m="1" x="4426"/>
        <item m="1" x="568"/>
        <item m="1" x="4753"/>
        <item m="1" x="3902"/>
        <item m="1" x="786"/>
        <item m="1" x="4746"/>
        <item m="1" x="2601"/>
        <item m="1" x="4255"/>
        <item m="1" x="438"/>
        <item m="1" x="1644"/>
        <item m="1" x="994"/>
        <item m="1" x="681"/>
        <item m="1" x="5068"/>
        <item m="1" x="213"/>
        <item m="1" x="2175"/>
        <item m="1" x="1985"/>
        <item m="1" x="1983"/>
        <item m="1" x="2144"/>
        <item m="1" x="2309"/>
        <item m="1" x="2979"/>
        <item m="1" x="3115"/>
        <item m="1" x="3383"/>
        <item m="1" x="3697"/>
        <item m="1" x="3876"/>
        <item m="1" x="4918"/>
        <item m="1" x="3560"/>
        <item m="1" x="941"/>
        <item m="1" x="4223"/>
        <item m="1" x="3279"/>
        <item m="1" x="3538"/>
        <item m="1" x="1534"/>
        <item m="1" x="4928"/>
        <item m="1" x="5034"/>
        <item m="1" x="3909"/>
        <item m="1" x="4057"/>
        <item m="1" x="4390"/>
        <item m="1" x="3877"/>
        <item m="1" x="4887"/>
        <item m="1" x="1934"/>
        <item m="1" x="1686"/>
        <item m="1" x="163"/>
        <item m="1" x="341"/>
        <item m="1" x="260"/>
        <item m="1" x="4784"/>
        <item m="1" x="808"/>
        <item m="1" x="4568"/>
        <item m="1" x="2880"/>
        <item m="1" x="1027"/>
        <item m="1" x="785"/>
        <item m="1" x="1854"/>
        <item m="1" x="943"/>
        <item m="1" x="607"/>
        <item m="1" x="4234"/>
        <item m="1" x="4567"/>
        <item m="1" x="4256"/>
        <item m="1" x="5082"/>
        <item m="1" x="124"/>
        <item m="1" x="573"/>
        <item m="1" x="5139"/>
        <item m="1" x="143"/>
        <item m="1" x="608"/>
        <item m="1" x="1857"/>
        <item m="1" x="4035"/>
        <item m="1" x="1675"/>
        <item m="1" x="1881"/>
        <item m="1" x="3888"/>
        <item m="1" x="796"/>
        <item m="1" x="1166"/>
        <item m="1" x="825"/>
        <item m="1" x="183"/>
        <item m="1" x="362"/>
        <item m="1" x="1518"/>
        <item m="1" x="154"/>
        <item m="1" x="2012"/>
        <item m="1" x="824"/>
        <item m="1" x="3929"/>
        <item m="1" x="1865"/>
        <item m="1" x="3591"/>
        <item m="1" x="1167"/>
        <item x="63"/>
        <item m="1" x="254"/>
        <item m="1" x="1878"/>
        <item m="1" x="267"/>
        <item m="1" x="3049"/>
        <item m="1" x="4044"/>
        <item m="1" x="3570"/>
        <item m="1" x="4066"/>
        <item m="1" x="4577"/>
        <item m="1" x="4755"/>
        <item m="1" x="172"/>
        <item m="1" x="1053"/>
        <item m="1" x="4643"/>
        <item m="1" x="4769"/>
        <item m="1" x="5083"/>
        <item m="1" x="139"/>
        <item m="1" x="269"/>
        <item m="1" x="439"/>
        <item m="1" x="4630"/>
        <item m="1" x="4777"/>
        <item m="1" x="5096"/>
        <item m="1" x="144"/>
        <item m="1" x="596"/>
        <item m="1" x="787"/>
        <item m="1" x="987"/>
        <item m="1" x="4948"/>
        <item m="1" x="5122"/>
        <item m="1" x="457"/>
        <item m="1" x="623"/>
        <item m="1" x="3294"/>
        <item m="1" x="2020"/>
        <item m="1" x="4747"/>
        <item m="1" x="624"/>
        <item m="1" x="4205"/>
        <item m="1" x="4989"/>
        <item m="1" x="4752"/>
        <item m="1" x="2337"/>
        <item m="1" x="266"/>
        <item m="1" x="851"/>
        <item m="1" x="200"/>
        <item m="1" x="385"/>
        <item m="1" x="276"/>
        <item m="1" x="836"/>
        <item m="1" x="246"/>
        <item m="1" x="1195"/>
        <item m="1" x="1369"/>
        <item m="1" x="325"/>
        <item m="1" x="2343"/>
        <item m="1" x="2028"/>
        <item m="1" x="496"/>
        <item m="1" x="993"/>
        <item m="1" x="3891"/>
        <item m="1" x="850"/>
        <item m="1" x="3966"/>
        <item m="1" x="2206"/>
        <item m="1" x="303"/>
        <item m="1" x="173"/>
        <item m="1" x="635"/>
        <item m="1" x="4628"/>
        <item m="1" x="2452"/>
        <item m="1" x="1552"/>
        <item m="1" x="1734"/>
        <item m="1" x="2597"/>
        <item m="1" x="630"/>
        <item m="1" x="869"/>
        <item m="1" x="588"/>
        <item m="1" x="4892"/>
        <item m="1" x="857"/>
        <item m="1" x="1367"/>
        <item m="1" x="4543"/>
        <item m="1" x="1185"/>
        <item m="1" x="5153"/>
        <item m="1" x="221"/>
        <item m="1" x="405"/>
        <item m="1" x="2925"/>
        <item m="1" x="3640"/>
        <item m="1" x="3771"/>
        <item m="1" x="3046"/>
        <item m="1" x="3201"/>
        <item m="1" x="3949"/>
        <item m="1" x="3105"/>
        <item m="1" x="2231"/>
        <item m="1" x="3112"/>
        <item m="1" x="542"/>
        <item m="1" x="3944"/>
        <item m="1" x="1383"/>
        <item m="1" x="657"/>
        <item m="1" x="1570"/>
        <item m="1" x="2926"/>
        <item m="1" x="4804"/>
        <item m="1" x="147"/>
        <item m="1" x="2005"/>
        <item m="1" x="3047"/>
        <item m="1" x="672"/>
        <item m="1" x="576"/>
        <item m="1" x="1773"/>
        <item m="1" x="1572"/>
        <item m="1" x="2804"/>
        <item m="1" x="3900"/>
        <item m="1" x="5095"/>
        <item m="1" x="2379"/>
        <item m="1" x="5016"/>
        <item m="1" x="287"/>
        <item m="1" x="2757"/>
        <item m="1" x="2935"/>
        <item m="1" x="1713"/>
        <item m="1" x="2366"/>
        <item m="1" x="2619"/>
        <item m="1" x="1969"/>
        <item m="1" x="2635"/>
        <item m="1" x="1384"/>
        <item m="1" x="238"/>
        <item m="1" x="749"/>
        <item m="1" x="324"/>
        <item m="1" x="3029"/>
        <item m="1" x="5000"/>
        <item m="1" x="4565"/>
        <item m="1" x="634"/>
        <item m="1" x="3988"/>
        <item m="1" x="3821"/>
        <item m="1" x="2740"/>
        <item m="1" x="3474"/>
        <item m="1" x="4045"/>
        <item m="1" x="917"/>
        <item m="1" x="872"/>
        <item m="1" x="2252"/>
        <item m="1" x="3146"/>
        <item m="1" x="1191"/>
        <item m="1" x="3673"/>
        <item m="1" x="2673"/>
        <item m="1" x="3305"/>
        <item m="1" x="1904"/>
        <item m="1" x="1996"/>
        <item m="1" x="1407"/>
        <item m="1" x="1553"/>
        <item m="1" x="1073"/>
        <item m="1" x="794"/>
        <item m="1" x="1408"/>
        <item m="1" x="252"/>
        <item m="1" x="1486"/>
        <item m="1" x="3324"/>
        <item m="1" x="5035"/>
        <item m="1" x="3068"/>
        <item m="1" x="1019"/>
        <item m="1" x="3093"/>
        <item m="1" x="2943"/>
        <item m="1" x="3838"/>
        <item m="1" x="2380"/>
        <item m="1" x="1231"/>
        <item m="1" x="1022"/>
        <item m="1" x="5093"/>
        <item m="1" x="3901"/>
        <item m="1" x="3202"/>
        <item m="1" x="1592"/>
        <item m="1" x="1571"/>
        <item m="1" x="1735"/>
        <item m="1" x="1893"/>
        <item m="1" x="2036"/>
        <item m="1" x="2213"/>
        <item m="1" x="1050"/>
        <item m="1" x="1417"/>
        <item m="1" x="1600"/>
        <item m="1" x="1756"/>
        <item m="1" x="2238"/>
        <item m="1" x="2367"/>
        <item m="1" x="2500"/>
        <item m="1" x="2620"/>
        <item m="1" x="2247"/>
        <item m="1" x="2069"/>
        <item m="1" x="3994"/>
        <item m="1" x="962"/>
        <item m="1" x="2249"/>
        <item m="1" x="3375"/>
        <item m="1" x="2357"/>
        <item m="1" x="1924"/>
        <item m="1" x="2045"/>
        <item m="1" x="2248"/>
        <item m="1" x="2733"/>
        <item m="1" x="3118"/>
        <item m="1" x="2348"/>
        <item m="1" x="2268"/>
        <item m="1" x="696"/>
        <item m="1" x="562"/>
        <item m="1" x="2151"/>
        <item m="1" x="363"/>
        <item m="1" x="2521"/>
        <item m="1" x="3335"/>
        <item m="1" x="2791"/>
        <item m="1" x="1216"/>
        <item m="1" x="1398"/>
        <item m="1" x="1616"/>
        <item m="1" x="3185"/>
        <item m="1" x="1049"/>
        <item m="1" x="2954"/>
        <item m="1" x="1757"/>
        <item m="1" x="2651"/>
        <item m="1" x="4164"/>
        <item m="1" x="3624"/>
        <item m="1" x="1430"/>
        <item m="1" x="4867"/>
        <item m="1" x="2501"/>
        <item m="1" x="3426"/>
        <item m="1" x="1900"/>
        <item m="1" x="3492"/>
        <item m="1" x="4037"/>
        <item m="1" x="3503"/>
        <item m="1" x="3659"/>
        <item m="1" x="2666"/>
        <item m="1" x="2509"/>
        <item m="1" x="5127"/>
        <item m="1" x="1311"/>
        <item m="1" x="2700"/>
        <item m="1" x="3078"/>
        <item m="1" x="3227"/>
        <item m="1" x="2046"/>
        <item m="1" x="1908"/>
        <item m="1" x="3460"/>
        <item m="1" x="879"/>
        <item m="1" x="2969"/>
        <item m="1" x="2812"/>
        <item m="1" x="1264"/>
        <item m="1" x="3872"/>
        <item m="1" x="1916"/>
        <item m="1" x="2801"/>
        <item m="1" x="2955"/>
        <item m="1" x="497"/>
        <item m="1" x="4461"/>
        <item m="1" x="4191"/>
        <item m="1" x="4508"/>
        <item m="1" x="1764"/>
        <item m="1" x="378"/>
        <item m="1" x="282"/>
        <item m="1" x="3066"/>
        <item m="1" x="4065"/>
        <item m="1" x="3590"/>
        <item m="1" x="4087"/>
        <item m="1" x="4776"/>
        <item m="1" x="2267"/>
        <item m="1" x="4726"/>
        <item m="1" x="1925"/>
        <item m="1" x="498"/>
        <item m="1" x="858"/>
        <item m="1" x="3379"/>
        <item x="38"/>
        <item m="1" x="1249"/>
        <item m="1" x="1603"/>
        <item m="1" x="3103"/>
        <item m="1" x="3286"/>
        <item m="1" x="406"/>
        <item m="1" x="525"/>
        <item m="1" x="3405"/>
        <item m="1" x="3241"/>
        <item m="1" x="1097"/>
        <item m="1" x="1933"/>
        <item m="1" x="3886"/>
        <item m="1" x="4040"/>
        <item m="1" x="3912"/>
        <item m="1" x="4121"/>
        <item m="1" x="902"/>
        <item m="1" x="2983"/>
        <item m="1" x="3079"/>
        <item m="1" x="2545"/>
        <item m="1" x="2970"/>
        <item m="1" x="748"/>
        <item m="1" x="1110"/>
        <item m="1" x="3228"/>
        <item m="1" x="3699"/>
        <item m="1" x="1447"/>
        <item m="1" x="3522"/>
        <item m="1" x="1543"/>
        <item m="1" x="4520"/>
        <item m="1" x="2537"/>
        <item m="1" x="978"/>
        <item m="1" x="884"/>
        <item m="1" x="606"/>
        <item m="1" x="3303"/>
        <item m="1" x="3597"/>
        <item m="1" x="2528"/>
        <item m="1" x="258"/>
        <item m="1" x="4965"/>
        <item m="1" x="1208"/>
        <item m="1" x="3523"/>
        <item m="1" x="889"/>
        <item m="1" x="2434"/>
        <item m="1" x="2575"/>
        <item m="1" x="3938"/>
        <item m="1" x="2159"/>
        <item m="1" x="1535"/>
        <item m="1" x="1645"/>
        <item m="1" x="3125"/>
        <item m="1" x="1439"/>
        <item m="1" x="919"/>
        <item m="1" x="339"/>
        <item m="1" x="2995"/>
        <item m="1" x="2562"/>
        <item m="1" x="1601"/>
        <item m="1" x="429"/>
        <item m="1" x="3094"/>
        <item m="1" x="3397"/>
        <item m="1" x="2667"/>
        <item m="1" x="4393"/>
        <item m="1" x="2117"/>
        <item m="1" x="2181"/>
        <item m="1" x="2557"/>
        <item m="1" x="2682"/>
        <item m="1" x="1926"/>
        <item m="1" x="1814"/>
        <item m="1" x="2697"/>
        <item m="1" x="4819"/>
        <item m="1" x="2026"/>
        <item m="1" x="1813"/>
        <item m="1" x="3246"/>
        <item m="1" x="5058"/>
        <item m="1" x="3918"/>
        <item m="1" x="5111"/>
        <item m="1" x="318"/>
        <item m="1" x="2835"/>
        <item m="1" x="4525"/>
        <item m="1" x="3150"/>
        <item m="1" x="4631"/>
        <item m="1" x="5129"/>
        <item m="1" x="2535"/>
        <item m="1" x="1358"/>
        <item m="1" x="942"/>
        <item m="1" x="1928"/>
        <item m="1" x="2403"/>
        <item m="1" x="927"/>
        <item m="1" x="3013"/>
        <item m="1" x="3113"/>
        <item m="1" x="2988"/>
        <item m="1" x="2845"/>
        <item m="1" x="3120"/>
        <item m="1" x="503"/>
        <item m="1" x="1737"/>
        <item m="1" x="4465"/>
        <item m="1" x="250"/>
        <item m="1" x="218"/>
        <item m="1" x="2094"/>
        <item m="1" x="2271"/>
        <item m="1" x="2259"/>
        <item m="1" x="2410"/>
        <item m="1" x="2956"/>
        <item m="1" x="534"/>
        <item m="1" x="4709"/>
        <item m="1" x="1948"/>
        <item m="1" x="2095"/>
        <item m="1" x="2428"/>
        <item m="1" x="1708"/>
        <item m="1" x="3762"/>
        <item m="1" x="750"/>
        <item m="1" x="1949"/>
        <item m="1" x="4736"/>
        <item m="1" x="2977"/>
        <item m="1" x="3719"/>
        <item m="1" x="2064"/>
        <item m="1" x="2536"/>
        <item m="1" x="3547"/>
        <item m="1" x="1448"/>
        <item m="1" x="1131"/>
        <item m="1" x="2132"/>
        <item m="1" x="2683"/>
        <item m="1" x="3323"/>
        <item m="1" x="1028"/>
        <item m="1" x="3423"/>
        <item m="1" x="4069"/>
        <item m="1" x="1377"/>
        <item m="1" x="4939"/>
        <item m="1" x="450"/>
        <item m="1" x="789"/>
        <item m="1" x="1157"/>
        <item m="1" x="3406"/>
        <item m="1" x="3396"/>
        <item m="1" x="4281"/>
        <item m="1" x="4420"/>
        <item m="1" x="319"/>
        <item m="1" x="4610"/>
        <item m="1" x="4724"/>
        <item m="1" x="3161"/>
        <item m="1" x="1779"/>
        <item m="1" x="3003"/>
        <item m="1" x="1005"/>
        <item m="1" x="4763"/>
        <item m="1" x="798"/>
        <item m="1" x="1378"/>
        <item m="1" x="3723"/>
        <item m="1" x="3930"/>
        <item m="1" x="4277"/>
        <item m="1" x="1051"/>
        <item m="1" x="5108"/>
        <item m="1" x="3216"/>
        <item m="1" x="3572"/>
        <item m="1" x="3738"/>
        <item m="1" x="1100"/>
        <item m="1" x="299"/>
        <item m="1" x="985"/>
        <item m="1" x="3260"/>
        <item m="1" x="1017"/>
        <item m="1" x="561"/>
        <item m="1" x="3931"/>
        <item m="1" x="4075"/>
        <item m="1" x="1705"/>
        <item m="1" x="1201"/>
        <item m="1" x="4454"/>
        <item m="1" x="164"/>
        <item m="1" x="1487"/>
        <item m="1" x="799"/>
        <item m="1" x="1347"/>
        <item m="1" x="4443"/>
        <item m="1" x="1016"/>
        <item m="1" x="2665"/>
        <item m="1" x="2556"/>
        <item m="1" x="3186"/>
        <item m="1" x="1155"/>
        <item m="1" x="3020"/>
        <item m="1" x="3447"/>
        <item m="1" x="1390"/>
        <item m="1" x="3921"/>
        <item m="1" x="4469"/>
        <item m="1" x="4056"/>
        <item m="1" x="4592"/>
        <item m="1" x="4089"/>
        <item m="1" x="3018"/>
        <item m="1" x="330"/>
        <item m="1" x="800"/>
        <item m="1" x="2399"/>
        <item m="1" x="920"/>
        <item m="1" x="4479"/>
        <item m="1" x="639"/>
        <item m="1" x="640"/>
        <item m="1" x="4979"/>
        <item m="1" x="1215"/>
        <item m="1" x="4621"/>
        <item m="1" x="4772"/>
        <item m="1" x="4462"/>
        <item m="1" x="5112"/>
        <item m="1" x="826"/>
        <item m="1" x="1731"/>
        <item m="1" x="494"/>
        <item m="1" x="2235"/>
        <item m="1" x="2873"/>
        <item m="1" x="4235"/>
        <item m="1" x="5099"/>
        <item m="1" x="4192"/>
        <item m="1" x="4096"/>
        <item m="1" x="1940"/>
        <item m="1" x="3048"/>
        <item m="1" x="3204"/>
        <item m="1" x="3040"/>
        <item m="1" x="487"/>
        <item m="1" x="4798"/>
        <item m="1" x="473"/>
        <item x="67"/>
        <item m="1" x="300"/>
        <item m="1" x="1548"/>
        <item m="1" x="654"/>
        <item m="1" x="4292"/>
        <item m="1" x="301"/>
        <item m="1" x="975"/>
        <item m="1" x="5118"/>
        <item m="1" x="367"/>
        <item m="1" x="305"/>
        <item m="1" x="3084"/>
        <item m="1" x="4086"/>
        <item m="1" x="3614"/>
        <item m="1" x="4102"/>
        <item m="1" x="2284"/>
        <item m="1" x="1286"/>
        <item m="1" x="4992"/>
        <item m="1" x="1919"/>
        <item m="1" x="4097"/>
        <item m="1" x="4303"/>
        <item m="1" x="4444"/>
        <item m="1" x="4622"/>
        <item m="1" x="5103"/>
        <item m="1" x="158"/>
        <item m="1" x="2701"/>
        <item m="1" x="3419"/>
        <item m="1" x="4236"/>
        <item m="1" x="4672"/>
        <item m="1" x="3219"/>
        <item m="1" x="3055"/>
        <item m="1" x="317"/>
        <item m="1" x="188"/>
        <item m="1" x="831"/>
        <item m="1" x="4296"/>
        <item m="1" x="157"/>
        <item m="1" x="5145"/>
        <item m="1" x="488"/>
        <item m="1" x="641"/>
        <item m="1" x="4981"/>
        <item m="1" x="655"/>
        <item m="1" x="1202"/>
        <item m="1" x="3878"/>
        <item m="1" x="1122"/>
        <item m="1" x="1404"/>
        <item m="1" x="1578"/>
        <item m="1" x="1742"/>
        <item m="1" x="2222"/>
        <item m="1" x="3772"/>
        <item m="1" x="3989"/>
        <item m="1" x="4980"/>
        <item m="1" x="5119"/>
        <item m="1" x="278"/>
        <item m="1" x="346"/>
        <item m="1" x="2017"/>
        <item m="1" x="633"/>
        <item m="1" x="3623"/>
        <item m="1" x="159"/>
        <item m="1" x="4178"/>
        <item m="1" x="4962"/>
        <item m="1" x="1950"/>
        <item m="1" x="5135"/>
        <item m="1" x="1034"/>
        <item m="1" x="3937"/>
        <item m="1" x="5128"/>
        <item x="30"/>
        <item m="1" x="3605"/>
        <item m="1" x="430"/>
        <item m="1" x="3652"/>
        <item x="39"/>
        <item m="1" x="4464"/>
        <item m="1" x="3724"/>
        <item m="1" x="4445"/>
        <item m="1" x="4623"/>
        <item m="1" x="3467"/>
        <item m="1" x="3789"/>
        <item m="1" x="3806"/>
        <item m="1" x="3971"/>
        <item m="1" x="4583"/>
        <item m="1" x="647"/>
        <item m="1" x="1573"/>
        <item m="1" x="3143"/>
        <item m="1" x="4304"/>
        <item m="1" x="208"/>
        <item m="1" x="3494"/>
        <item m="1" x="204"/>
        <item m="1" x="189"/>
        <item m="1" x="4499"/>
        <item m="1" x="870"/>
        <item m="1" x="1061"/>
        <item m="1" x="1839"/>
        <item m="1" x="832"/>
        <item m="1" x="3626"/>
        <item m="1" x="4317"/>
        <item m="1" x="5009"/>
        <item m="1" x="4324"/>
        <item m="1" x="4810"/>
        <item m="1" x="4982"/>
        <item m="1" x="5136"/>
        <item m="1" x="1400"/>
        <item m="1" x="766"/>
        <item m="1" x="5151"/>
        <item m="1" x="2555"/>
        <item m="1" x="3854"/>
        <item m="1" x="963"/>
        <item m="1" x="1956"/>
        <item m="1" x="4809"/>
        <item m="1" x="4487"/>
        <item m="1" x="4204"/>
        <item m="1" x="739"/>
        <item m="1" x="350"/>
        <item m="1" x="338"/>
        <item m="1" x="4483"/>
        <item m="1" x="1148"/>
        <item m="1" x="3861"/>
        <item m="1" x="1351"/>
        <item m="1" x="3203"/>
        <item m="1" x="3475"/>
        <item m="1" x="3825"/>
        <item m="1" x="4662"/>
        <item m="1" x="4293"/>
        <item m="1" x="628"/>
        <item m="1" x="1891"/>
        <item m="1" x="3171"/>
        <item m="1" x="161"/>
        <item m="1" x="1912"/>
        <item m="1" x="2236"/>
        <item m="1" x="2914"/>
        <item m="1" x="3038"/>
        <item m="1" x="3180"/>
        <item m="1" x="3458"/>
        <item m="1" x="3192"/>
        <item m="1" x="3316"/>
        <item m="1" x="3468"/>
        <item m="1" x="3620"/>
        <item m="1" x="3790"/>
        <item m="1" x="3962"/>
        <item m="1" x="4108"/>
        <item m="1" x="4458"/>
        <item m="1" x="4637"/>
        <item m="1" x="4128"/>
        <item m="1" x="4316"/>
        <item m="1" x="3791"/>
        <item m="1" x="2349"/>
        <item m="1" x="4632"/>
        <item m="1" x="3963"/>
        <item m="1" x="4278"/>
        <item m="1" x="4984"/>
        <item m="1" x="261"/>
        <item m="1" x="880"/>
        <item m="1" x="1177"/>
        <item m="1" x="3306"/>
        <item m="1" x="4951"/>
        <item m="1" x="4109"/>
        <item m="1" x="4983"/>
        <item m="1" x="4349"/>
        <item m="1" x="701"/>
        <item m="1" x="4797"/>
        <item m="1" x="3641"/>
        <item m="1" x="4821"/>
        <item m="1" x="2272"/>
        <item m="1" x="1622"/>
        <item m="1" x="5015"/>
        <item m="1" x="3740"/>
        <item m="1" x="3439"/>
        <item m="1" x="702"/>
        <item m="1" x="1617"/>
        <item m="1" x="2681"/>
        <item m="1" x="4167"/>
        <item m="1" x="1103"/>
        <item m="1" x="896"/>
        <item m="1" x="727"/>
        <item x="68"/>
        <item m="1" x="4845"/>
        <item m="1" x="1068"/>
        <item m="1" x="3609"/>
        <item m="1" x="5126"/>
        <item m="1" x="3240"/>
        <item m="1" x="3593"/>
        <item m="1" x="3764"/>
        <item m="1" x="1173"/>
        <item m="1" x="224"/>
        <item m="1" x="2529"/>
        <item m="1" x="107"/>
        <item m="1" x="1067"/>
        <item m="1" x="511"/>
        <item m="1" x="1608"/>
        <item m="1" x="2360"/>
        <item m="1" x="368"/>
        <item m="1" x="5137"/>
        <item m="1" x="580"/>
        <item m="1" x="1512"/>
        <item m="1" x="827"/>
        <item m="1" x="728"/>
        <item m="1" x="2285"/>
        <item m="1" x="4850"/>
        <item m="1" x="1196"/>
        <item m="1" x="1092"/>
        <item m="1" x="96"/>
        <item m="1" x="1284"/>
        <item m="1" x="1455"/>
        <item m="1" x="4985"/>
        <item m="1" x="4332"/>
        <item m="1" x="860"/>
        <item m="1" x="1259"/>
        <item m="1" x="1595"/>
        <item m="1" x="1930"/>
        <item m="1" x="3826"/>
        <item m="1" x="4702"/>
        <item m="1" x="1150"/>
        <item m="1" x="151"/>
        <item m="1" x="4073"/>
        <item m="1" x="4107"/>
        <item m="1" x="2792"/>
        <item x="14"/>
        <item m="1" x="740"/>
        <item m="1" x="1337"/>
        <item m="1" x="2177"/>
        <item m="1" x="4698"/>
        <item m="1" x="369"/>
        <item m="1" x="1966"/>
        <item m="1" x="2101"/>
        <item m="1" x="1978"/>
        <item m="1" x="2824"/>
        <item m="1" x="383"/>
        <item m="1" x="4825"/>
        <item m="1" x="1113"/>
        <item m="1" x="231"/>
        <item m="1" x="1318"/>
        <item m="1" x="1493"/>
        <item m="1" x="2287"/>
        <item m="1" x="2838"/>
        <item m="1" x="232"/>
        <item x="61"/>
        <item x="62"/>
        <item m="1" x="170"/>
        <item m="1" x="897"/>
        <item m="1" x="885"/>
        <item m="1" x="703"/>
        <item m="1" x="1638"/>
        <item m="1" x="691"/>
        <item m="1" x="1831"/>
        <item m="1" x="2539"/>
        <item m="1" x="2807"/>
        <item m="1" x="3425"/>
        <item m="1" x="331"/>
        <item m="1" x="3104"/>
        <item m="1" x="4101"/>
        <item m="1" x="3637"/>
        <item m="1" x="2304"/>
        <item m="1" x="242"/>
        <item m="1" x="578"/>
        <item m="1" x="121"/>
        <item m="1" x="5150"/>
        <item m="1" x="5026"/>
        <item m="1" x="4262"/>
        <item m="1" x="4678"/>
        <item m="1" x="1475"/>
        <item m="1" x="2137"/>
        <item x="37"/>
        <item m="1" x="3763"/>
        <item m="1" x="389"/>
        <item m="1" x="4734"/>
        <item m="1" x="1574"/>
        <item m="1" x="3435"/>
        <item m="1" x="3728"/>
        <item m="1" x="4933"/>
        <item m="1" x="5090"/>
        <item m="1" x="2124"/>
        <item m="1" x="1844"/>
        <item m="1" x="4905"/>
        <item m="1" x="3389"/>
        <item m="1" x="1141"/>
        <item m="1" x="2957"/>
        <item m="1" x="1671"/>
        <item m="1" x="97"/>
        <item m="1" x="4318"/>
        <item m="1" x="2816"/>
        <item m="1" x="4252"/>
        <item m="1" x="4433"/>
        <item m="1" x="4416"/>
        <item m="1" x="4594"/>
        <item m="1" x="1127"/>
        <item m="1" x="1163"/>
        <item m="1" x="2113"/>
        <item m="1" x="2540"/>
        <item m="1" x="1525"/>
        <item m="1" x="673"/>
        <item m="1" x="2686"/>
        <item m="1" x="944"/>
        <item m="1" x="2548"/>
        <item m="1" x="1504"/>
        <item m="1" x="2288"/>
        <item m="1" x="2007"/>
        <item m="1" x="3792"/>
        <item m="1" x="4076"/>
        <item m="1" x="2155"/>
        <item m="1" x="4053"/>
        <item m="1" x="1162"/>
        <item m="1" x="1078"/>
        <item m="1" x="1721"/>
        <item m="1" x="2573"/>
        <item x="69"/>
        <item m="1" x="4846"/>
        <item m="1" x="3393"/>
        <item m="1" x="3924"/>
        <item m="1" x="4319"/>
        <item m="1" x="1069"/>
        <item m="1" x="2585"/>
        <item m="1" x="2708"/>
        <item m="1" x="2876"/>
        <item m="1" x="2192"/>
        <item m="1" x="4986"/>
        <item m="1" x="3851"/>
        <item m="1" x="4179"/>
        <item m="1" x="4350"/>
        <item m="1" x="4826"/>
        <item m="1" x="408"/>
        <item m="1" x="2653"/>
        <item m="1" x="3622"/>
        <item m="1" x="772"/>
        <item m="1" x="1648"/>
        <item m="1" x="1821"/>
        <item m="1" x="2447"/>
        <item m="1" x="2676"/>
        <item m="1" x="1879"/>
        <item m="1" x="3646"/>
        <item m="1" x="3537"/>
        <item m="1" x="938"/>
        <item m="1" x="1308"/>
        <item m="1" x="1990"/>
        <item m="1" x="5049"/>
        <item m="1" x="2849"/>
        <item m="1" x="3307"/>
        <item m="1" x="2587"/>
        <item m="1" x="2716"/>
        <item m="1" x="82"/>
        <item m="1" x="1822"/>
        <item m="1" x="986"/>
        <item m="1" x="1999"/>
        <item m="1" x="2570"/>
        <item m="1" x="2696"/>
        <item m="1" x="805"/>
        <item m="1" x="4871"/>
        <item m="1" x="1746"/>
        <item m="1" x="3136"/>
        <item m="1" x="2877"/>
        <item x="65"/>
        <item m="1" x="3584"/>
        <item m="1" x="2455"/>
        <item m="1" x="3011"/>
        <item m="1" x="4526"/>
        <item m="1" x="2727"/>
        <item m="1" x="2709"/>
        <item m="1" x="2296"/>
        <item m="1" x="2311"/>
        <item m="1" x="1442"/>
        <item m="1" x="2112"/>
        <item m="1" x="3708"/>
        <item m="1" x="3715"/>
        <item m="1" x="3904"/>
        <item m="1" x="3287"/>
        <item m="1" x="4263"/>
        <item m="1" x="4411"/>
        <item m="1" x="3144"/>
        <item m="1" x="2307"/>
        <item m="1" x="1359"/>
        <item m="1" x="3280"/>
        <item m="1" x="2915"/>
        <item m="1" x="767"/>
        <item m="1" x="2878"/>
        <item m="1" x="965"/>
        <item m="1" x="1220"/>
        <item m="1" x="4857"/>
        <item m="1" x="3229"/>
        <item m="1" x="3564"/>
        <item m="1" x="3272"/>
        <item m="1" x="2030"/>
        <item m="1" x="4141"/>
        <item m="1" x="1151"/>
        <item m="1" x="1332"/>
        <item m="1" x="1505"/>
        <item m="1" x="1659"/>
        <item m="1" x="1832"/>
        <item m="1" x="1979"/>
        <item m="1" x="2138"/>
        <item m="1" x="3273"/>
        <item m="1" x="4789"/>
        <item m="1" x="3765"/>
        <item x="1"/>
        <item m="1" x="2599"/>
        <item m="1" x="886"/>
        <item x="8"/>
        <item m="1" x="3289"/>
        <item m="1" x="2292"/>
        <item m="1" x="3485"/>
        <item m="1" x="4279"/>
        <item m="1" x="3172"/>
        <item m="1" x="4790"/>
        <item x="31"/>
        <item m="1" x="2829"/>
        <item x="34"/>
        <item x="35"/>
        <item x="36"/>
        <item m="1" x="3408"/>
        <item m="1" x="4470"/>
        <item x="41"/>
        <item x="42"/>
        <item m="1" x="2962"/>
        <item m="1" x="2472"/>
        <item m="1" x="2589"/>
        <item m="1" x="2916"/>
        <item m="1" x="2637"/>
        <item m="1" x="2747"/>
        <item x="48"/>
        <item x="49"/>
        <item x="50"/>
        <item x="51"/>
        <item m="1" x="2227"/>
        <item m="1" x="3325"/>
        <item m="1" x="4882"/>
        <item m="1" x="108"/>
        <item m="1" x="3583"/>
        <item m="1" x="4973"/>
        <item m="1" x="1563"/>
        <item m="1" x="1697"/>
        <item x="56"/>
        <item m="1" x="4799"/>
        <item m="1" x="3595"/>
        <item x="64"/>
        <item x="66"/>
        <item m="1" x="2032"/>
        <item x="70"/>
        <item m="1" x="1887"/>
        <item m="1" x="2898"/>
        <item m="1" x="2515"/>
        <item m="1" x="2621"/>
        <item m="1" x="2928"/>
        <item m="1" x="658"/>
        <item m="1" x="2228"/>
        <item m="1" x="2917"/>
        <item m="1" x="3039"/>
        <item m="1" x="3607"/>
        <item m="1" x="3774"/>
        <item m="1" x="2195"/>
        <item x="0"/>
        <item m="1" x="2927"/>
        <item m="1" x="3436"/>
        <item m="1" x="2758"/>
        <item m="1" x="3027"/>
        <item m="1" x="2546"/>
        <item m="1" x="2608"/>
        <item m="1" x="3794"/>
        <item m="1" x="3288"/>
        <item m="1" x="3451"/>
        <item m="1" x="2503"/>
        <item m="1" x="1554"/>
        <item m="1" x="3326"/>
        <item m="1" x="3493"/>
        <item m="1" x="3153"/>
        <item m="1" x="835"/>
        <item m="1" x="1564"/>
        <item m="1" x="3182"/>
        <item m="1" x="4142"/>
        <item m="1" x="2322"/>
        <item m="1" x="2652"/>
        <item m="1" x="2767"/>
        <item m="1" x="1593"/>
        <item m="1" x="3662"/>
        <item m="1" x="3975"/>
        <item m="1" x="3996"/>
        <item m="1" x="1722"/>
        <item m="1" x="1287"/>
        <item m="1" x="1418"/>
        <item m="1" x="1585"/>
        <item m="1" x="1758"/>
        <item m="1" x="2250"/>
        <item m="1" x="2630"/>
        <item m="1" x="756"/>
        <item x="57"/>
        <item m="1" x="2484"/>
        <item m="1" x="2369"/>
        <item m="1" x="2929"/>
        <item m="1" x="2802"/>
        <item m="1" x="3141"/>
        <item m="1" x="2055"/>
        <item m="1" x="3940"/>
        <item m="1" x="2748"/>
        <item m="1" x="2866"/>
        <item m="1" x="1420"/>
        <item m="1" x="179"/>
        <item m="1" x="4112"/>
        <item m="1" x="4665"/>
        <item m="1" x="3515"/>
        <item m="1" x="2269"/>
        <item m="1" x="2643"/>
        <item m="1" x="2825"/>
        <item m="1" x="3159"/>
        <item m="1" x="2813"/>
        <item m="1" x="3840"/>
        <item m="1" x="3069"/>
        <item m="1" x="3676"/>
        <item m="1" x="2668"/>
        <item m="1" x="2794"/>
        <item x="47"/>
        <item m="1" x="288"/>
        <item m="1" x="2522"/>
        <item m="1" x="3606"/>
        <item m="1" x="3210"/>
        <item m="1" x="848"/>
        <item m="1" x="3183"/>
        <item m="1" x="3478"/>
        <item m="1" x="2510"/>
        <item m="1" x="1736"/>
        <item m="1" x="3632"/>
        <item m="1" x="4120"/>
        <item m="1" x="3841"/>
        <item m="1" x="3980"/>
        <item m="1" x="2215"/>
        <item m="1" x="2350"/>
        <item m="1" x="2216"/>
        <item m="1" x="1917"/>
        <item m="1" x="4842"/>
        <item x="79"/>
        <item m="1" x="1896"/>
        <item m="1" x="3064"/>
        <item m="1" x="2961"/>
        <item x="15"/>
        <item x="24"/>
        <item x="25"/>
        <item m="1" x="4511"/>
        <item m="1" x="2387"/>
        <item m="1" x="2590"/>
        <item m="1" x="2684"/>
        <item m="1" x="4154"/>
        <item m="1" x="2419"/>
        <item m="1" x="2907"/>
        <item m="1" x="4899"/>
        <item m="1" x="3401"/>
        <item m="1" x="4833"/>
        <item m="1" x="4683"/>
        <item m="1" x="2600"/>
        <item m="1" x="4548"/>
        <item m="1" x="1542"/>
        <item m="1" x="933"/>
        <item m="1" x="2275"/>
        <item m="1" x="602"/>
        <item m="1" x="2730"/>
        <item m="1" x="2897"/>
        <item m="1" x="3019"/>
        <item m="1" x="3160"/>
        <item m="1" x="3026"/>
        <item m="1" x="980"/>
        <item m="1" x="1353"/>
        <item m="1" x="3594"/>
        <item m="1" x="3308"/>
        <item m="1" x="3793"/>
        <item m="1" x="4131"/>
        <item m="1" x="3534"/>
        <item m="1" x="4629"/>
        <item m="1" x="4484"/>
        <item m="1" x="4999"/>
        <item m="1" x="1217"/>
        <item m="1" x="1939"/>
        <item m="1" x="4664"/>
        <item m="1" x="4306"/>
        <item m="1" x="3082"/>
        <item m="1" x="3218"/>
        <item m="1" x="4139"/>
        <item m="1" x="1618"/>
        <item m="1" x="3222"/>
        <item m="1" x="1690"/>
        <item m="1" x="2644"/>
        <item m="1" x="1780"/>
        <item m="1" x="415"/>
        <item m="1" x="3081"/>
        <item m="1" x="3663"/>
        <item m="1" x="3842"/>
        <item m="1" x="3997"/>
        <item m="1" x="4153"/>
        <item m="1" x="2516"/>
        <item m="1" x="2749"/>
        <item m="1" x="3070"/>
        <item m="1" x="3820"/>
        <item m="1" x="2814"/>
        <item x="2"/>
        <item x="3"/>
        <item x="5"/>
        <item x="9"/>
        <item x="10"/>
        <item x="11"/>
        <item x="16"/>
        <item x="17"/>
        <item x="18"/>
        <item x="19"/>
        <item m="1" x="3194"/>
        <item x="26"/>
        <item m="1" x="4823"/>
        <item x="32"/>
        <item m="1" x="2042"/>
        <item m="1" x="120"/>
        <item m="1" x="1291"/>
        <item m="1" x="1136"/>
        <item x="43"/>
        <item m="1" x="270"/>
        <item m="1" x="210"/>
        <item x="44"/>
        <item m="1" x="1111"/>
        <item m="1" x="2406"/>
        <item m="1" x="2715"/>
        <item m="1" x="2836"/>
        <item m="1" x="1635"/>
        <item m="1" x="1602"/>
        <item m="1" x="3687"/>
        <item m="1" x="3536"/>
        <item x="58"/>
        <item m="1" x="4909"/>
        <item x="71"/>
        <item m="1" x="4682"/>
        <item m="1" x="4369"/>
        <item m="1" x="4835"/>
        <item m="1" x="4379"/>
        <item m="1" x="4896"/>
        <item m="1" x="240"/>
        <item m="1" x="544"/>
        <item m="1" x="4866"/>
        <item m="1" x="3848"/>
        <item m="1" x="4436"/>
        <item m="1" x="4343"/>
        <item m="1" x="86"/>
        <item m="1" x="5097"/>
        <item m="1" x="4827"/>
        <item m="1" x="1456"/>
        <item m="1" x="3014"/>
        <item m="1" x="1582"/>
        <item m="1" x="2262"/>
        <item m="1" x="1415"/>
        <item m="1" x="458"/>
        <item m="1" x="1093"/>
        <item m="1" x="277"/>
        <item m="1" x="1596"/>
        <item m="1" x="1519"/>
        <item m="1" x="1426"/>
        <item m="1" x="844"/>
        <item m="1" x="1132"/>
        <item m="1" x="4705"/>
        <item m="1" x="5027"/>
        <item m="1" x="93"/>
        <item m="1" x="395"/>
        <item m="1" x="535"/>
        <item m="1" x="4559"/>
        <item m="1" x="4716"/>
        <item m="1" x="4877"/>
        <item m="1" x="5038"/>
        <item m="1" x="119"/>
        <item m="1" x="239"/>
        <item m="1" x="386"/>
        <item m="1" x="892"/>
        <item m="1" x="4910"/>
        <item m="1" x="3967"/>
        <item m="1" x="549"/>
        <item m="1" x="2720"/>
        <item m="1" x="1668"/>
        <item m="1" x="1817"/>
        <item m="1" x="1989"/>
        <item m="1" x="1658"/>
        <item m="1" x="5028"/>
        <item m="1" x="4365"/>
        <item m="1" x="3552"/>
        <item x="27"/>
        <item m="1" x="253"/>
        <item m="1" x="4717"/>
        <item m="1" x="5039"/>
        <item m="1" x="3004"/>
        <item m="1" x="2857"/>
        <item m="1" x="2000"/>
        <item m="1" x="3356"/>
        <item m="1" x="3689"/>
        <item m="1" x="1541"/>
        <item m="1" x="968"/>
        <item m="1" x="821"/>
        <item m="1" x="4864"/>
        <item m="1" x="3892"/>
        <item m="1" x="407"/>
        <item m="1" x="572"/>
        <item m="1" x="762"/>
        <item m="1" x="935"/>
        <item m="1" x="812"/>
        <item m="1" x="1499"/>
        <item m="1" x="2179"/>
        <item m="1" x="399"/>
        <item m="1" x="1409"/>
        <item m="1" x="2251"/>
        <item m="1" x="2937"/>
        <item m="1" x="3054"/>
        <item m="1" x="3808"/>
        <item m="1" x="2214"/>
        <item m="1" x="3679"/>
        <item m="1" x="1159"/>
        <item x="4"/>
        <item m="1" x="2777"/>
        <item x="20"/>
        <item m="1" x="3209"/>
        <item x="28"/>
        <item x="29"/>
        <item m="1" x="1020"/>
        <item m="1" x="4728"/>
        <item m="1" x="1609"/>
        <item m="1" x="5062"/>
        <item m="1" x="958"/>
        <item m="1" x="1656"/>
        <item m="1" x="171"/>
        <item m="1" x="737"/>
        <item m="1" x="1149"/>
        <item m="1" x="4706"/>
        <item m="1" x="3553"/>
        <item m="1" x="5045"/>
        <item m="1" x="3394"/>
        <item m="1" x="2504"/>
        <item m="1" x="2778"/>
        <item m="1" x="2153"/>
        <item m="1" x="4405"/>
        <item m="1" x="1500"/>
        <item x="59"/>
        <item x="60"/>
        <item m="1" x="3897"/>
        <item m="1" x="934"/>
        <item m="1" x="1657"/>
        <item m="1" x="4370"/>
        <item m="1" x="4571"/>
        <item m="1" x="2392"/>
        <item m="1" x="4274"/>
        <item m="1" x="1687"/>
        <item m="1" x="617"/>
        <item m="1" x="803"/>
        <item m="1" x="3427"/>
        <item m="1" x="2072"/>
        <item m="1" x="4681"/>
        <item m="1" x="792"/>
        <item m="1" x="1490"/>
        <item m="1" x="462"/>
        <item x="6"/>
        <item x="7"/>
        <item x="12"/>
        <item x="13"/>
        <item x="21"/>
        <item x="22"/>
        <item x="23"/>
        <item x="33"/>
        <item x="40"/>
        <item x="45"/>
        <item x="46"/>
        <item x="52"/>
        <item x="53"/>
        <item x="54"/>
        <item x="55"/>
        <item x="72"/>
        <item x="73"/>
        <item x="74"/>
        <item x="75"/>
        <item x="76"/>
        <item x="77"/>
        <item x="78"/>
        <item x="8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1847">
        <item n=" " x="0"/>
        <item m="1" x="101"/>
        <item x="20"/>
        <item m="1" x="1615"/>
        <item m="1" x="781"/>
        <item m="1" x="839"/>
        <item m="1" x="1712"/>
        <item m="1" x="1627"/>
        <item m="1" x="1022"/>
        <item m="1" x="351"/>
        <item m="1" x="770"/>
        <item m="1" x="1680"/>
        <item m="1" x="1738"/>
        <item m="1" x="37"/>
        <item m="1" x="40"/>
        <item m="1" x="1638"/>
        <item m="1" x="1574"/>
        <item m="1" x="675"/>
        <item m="1" x="1594"/>
        <item m="1" x="705"/>
        <item m="1" x="1552"/>
        <item m="1" x="652"/>
        <item m="1" x="755"/>
        <item m="1" x="1651"/>
        <item m="1" x="1616"/>
        <item m="1" x="783"/>
        <item m="1" x="73"/>
        <item m="1" x="1067"/>
        <item m="1" x="1704"/>
        <item m="1" x="39"/>
        <item m="1" x="809"/>
        <item m="1" x="1764"/>
        <item m="1" x="589"/>
        <item m="1" x="1065"/>
        <item m="1" x="835"/>
        <item m="1" x="1391"/>
        <item m="1" x="1591"/>
        <item m="1" x="1636"/>
        <item m="1" x="837"/>
        <item m="1" x="1729"/>
        <item m="1" x="753"/>
        <item m="1" x="932"/>
        <item m="1" x="1015"/>
        <item m="1" x="806"/>
        <item m="1" x="898"/>
        <item m="1" x="1767"/>
        <item x="25"/>
        <item m="1" x="855"/>
        <item m="1" x="825"/>
        <item m="1" x="1790"/>
        <item m="1" x="1827"/>
        <item m="1" x="728"/>
        <item m="1" x="1741"/>
        <item m="1" x="947"/>
        <item m="1" x="539"/>
        <item m="1" x="164"/>
        <item m="1" x="1709"/>
        <item m="1" x="908"/>
        <item m="1" x="740"/>
        <item m="1" x="130"/>
        <item m="1" x="1499"/>
        <item m="1" x="693"/>
        <item m="1" x="167"/>
        <item m="1" x="1026"/>
        <item m="1" x="102"/>
        <item m="1" x="987"/>
        <item m="1" x="1415"/>
        <item m="1" x="1446"/>
        <item m="1" x="1696"/>
        <item m="1" x="1189"/>
        <item m="1" x="1495"/>
        <item m="1" x="1354"/>
        <item m="1" x="1537"/>
        <item m="1" x="1518"/>
        <item m="1" x="544"/>
        <item m="1" x="1479"/>
        <item m="1" x="438"/>
        <item m="1" x="1452"/>
        <item m="1" x="410"/>
        <item m="1" x="1800"/>
        <item m="1" x="642"/>
        <item m="1" x="850"/>
        <item m="1" x="467"/>
        <item m="1" x="1475"/>
        <item m="1" x="471"/>
        <item m="1" x="1331"/>
        <item m="1" x="768"/>
        <item m="1" x="1296"/>
        <item m="1" x="1617"/>
        <item m="1" x="1115"/>
        <item m="1" x="395"/>
        <item m="1" x="849"/>
        <item m="1" x="281"/>
        <item m="1" x="278"/>
        <item m="1" x="1561"/>
        <item m="1" x="662"/>
        <item m="1" x="307"/>
        <item m="1" x="543"/>
        <item m="1" x="1451"/>
        <item m="1" x="1419"/>
        <item m="1" x="509"/>
        <item m="1" x="408"/>
        <item m="1" x="1389"/>
        <item m="1" x="629"/>
        <item m="1" x="931"/>
        <item m="1" x="782"/>
        <item m="1" x="357"/>
        <item m="1" x="559"/>
        <item m="1" x="1339"/>
        <item m="1" x="1659"/>
        <item m="1" x="1383"/>
        <item m="1" x="1138"/>
        <item m="1" x="687"/>
        <item m="1" x="1582"/>
        <item m="1" x="1700"/>
        <item m="1" x="1028"/>
        <item m="1" x="962"/>
        <item m="1" x="1288"/>
        <item m="1" x="500"/>
        <item m="1" x="1020"/>
        <item m="1" x="636"/>
        <item m="1" x="1388"/>
        <item m="1" x="337"/>
        <item m="1" x="930"/>
        <item m="1" x="997"/>
        <item m="1" x="619"/>
        <item m="1" x="974"/>
        <item m="1" x="1568"/>
        <item m="1" x="511"/>
        <item m="1" x="1423"/>
        <item m="1" x="498"/>
        <item m="1" x="465"/>
        <item m="1" x="519"/>
        <item m="1" x="440"/>
        <item m="1" x="418"/>
        <item m="1" x="1346"/>
        <item m="1" x="1608"/>
        <item m="1" x="1062"/>
        <item m="1" x="290"/>
        <item m="1" x="1234"/>
        <item m="1" x="252"/>
        <item m="1" x="444"/>
        <item m="1" x="1395"/>
        <item m="1" x="1613"/>
        <item m="1" x="572"/>
        <item m="1" x="1476"/>
        <item m="1" x="1742"/>
        <item m="1" x="686"/>
        <item m="1" x="1553"/>
        <item m="1" x="680"/>
        <item m="1" x="1637"/>
        <item m="1" x="1544"/>
        <item m="1" x="607"/>
        <item m="1" x="1533"/>
        <item m="1" x="764"/>
        <item m="1" x="1647"/>
        <item m="1" x="735"/>
        <item m="1" x="711"/>
        <item m="1" x="506"/>
        <item m="1" x="844"/>
        <item m="1" x="527"/>
        <item m="1" x="1438"/>
        <item m="1" x="489"/>
        <item m="1" x="1407"/>
        <item m="1" x="634"/>
        <item m="1" x="1542"/>
        <item m="1" x="605"/>
        <item m="1" x="1514"/>
        <item m="1" x="579"/>
        <item m="1" x="1487"/>
        <item m="1" x="556"/>
        <item m="1" x="1459"/>
        <item m="1" x="521"/>
        <item m="1" x="1433"/>
        <item m="1" x="664"/>
        <item m="1" x="1755"/>
        <item m="1" x="861"/>
        <item m="1" x="1733"/>
        <item m="1" x="832"/>
        <item m="1" x="1703"/>
        <item m="1" x="1198"/>
        <item m="1" x="1289"/>
        <item m="1" x="1522"/>
        <item m="1" x="497"/>
        <item m="1" x="1362"/>
        <item m="1" x="405"/>
        <item m="1" x="1335"/>
        <item m="1" x="377"/>
        <item m="1" x="1310"/>
        <item m="1" x="344"/>
        <item m="1" x="800"/>
        <item m="1" x="1279"/>
        <item m="1" x="1586"/>
        <item m="1" x="318"/>
        <item m="1" x="666"/>
        <item m="1" x="1564"/>
        <item m="1" x="1156"/>
        <item m="1" x="468"/>
        <item m="1" x="1414"/>
        <item m="1" x="1098"/>
        <item m="1" x="623"/>
        <item m="1" x="1599"/>
        <item m="1" x="869"/>
        <item m="1" x="464"/>
        <item m="1" x="112"/>
        <item m="1" x="590"/>
        <item m="1" x="1525"/>
        <item m="1" x="1122"/>
        <item m="1" x="505"/>
        <item m="1" x="1674"/>
        <item m="1" x="762"/>
        <item m="1" x="1754"/>
        <item m="1" x="374"/>
        <item m="1" x="1508"/>
        <item m="1" x="1531"/>
        <item m="1" x="621"/>
        <item m="1" x="1305"/>
        <item m="1" x="534"/>
        <item m="1" x="1360"/>
        <item m="1" x="1772"/>
        <item m="1" x="1646"/>
        <item m="1" x="906"/>
        <item m="1" x="1248"/>
        <item m="1" x="883"/>
        <item m="1" x="1332"/>
        <item m="1" x="402"/>
        <item m="1" x="525"/>
        <item m="1" x="990"/>
        <item m="1" x="1631"/>
        <item m="1" x="435"/>
        <item m="1" x="1731"/>
        <item m="1" x="830"/>
        <item m="1" x="1699"/>
        <item m="1" x="795"/>
        <item m="1" x="1695"/>
        <item m="1" x="206"/>
        <item m="1" x="1557"/>
        <item m="1" x="859"/>
        <item m="1" x="38"/>
        <item m="1" x="1313"/>
        <item m="1" x="846"/>
        <item m="1" x="914"/>
        <item m="1" x="1803"/>
        <item m="1" x="1448"/>
        <item m="1" x="179"/>
        <item m="1" x="70"/>
        <item m="1" x="658"/>
        <item m="1" x="967"/>
        <item m="1" x="694"/>
        <item m="1" x="1420"/>
        <item m="1" x="479"/>
        <item m="1" x="1443"/>
        <item m="1" x="427"/>
        <item m="1" x="103"/>
        <item m="1" x="730"/>
        <item m="1" x="1526"/>
        <item m="1" x="415"/>
        <item m="1" x="1821"/>
        <item m="1" x="1324"/>
        <item m="1" x="554"/>
        <item m="1" x="423"/>
        <item m="1" x="391"/>
        <item m="1" x="1351"/>
        <item m="1" x="244"/>
        <item m="1" x="1516"/>
        <item m="1" x="719"/>
        <item m="1" x="1670"/>
        <item m="1" x="934"/>
        <item m="1" x="1789"/>
        <item m="1" x="904"/>
        <item m="1" x="1769"/>
        <item m="1" x="880"/>
        <item m="1" x="1751"/>
        <item m="1" x="857"/>
        <item m="1" x="1727"/>
        <item m="1" x="827"/>
        <item m="1" x="834"/>
        <item m="1" x="1708"/>
        <item m="1" x="104"/>
        <item m="1" x="948"/>
        <item m="1" x="901"/>
        <item m="1" x="596"/>
        <item m="1" x="1328"/>
        <item m="1" x="1749"/>
        <item m="1" x="853"/>
        <item m="1" x="1357"/>
        <item m="1" x="432"/>
        <item m="1" x="656"/>
        <item m="1" x="1725"/>
        <item m="1" x="991"/>
        <item m="1" x="421"/>
        <item m="1" x="1157"/>
        <item m="1" x="854"/>
        <item m="1" x="449"/>
        <item m="1" x="874"/>
        <item m="1" x="1822"/>
        <item m="1" x="238"/>
        <item m="1" x="226"/>
        <item m="1" x="691"/>
        <item m="1" x="1766"/>
        <item m="1" x="877"/>
        <item m="1" x="570"/>
        <item m="1" x="1504"/>
        <item m="1" x="364"/>
        <item m="1" x="496"/>
        <item m="1" x="460"/>
        <item m="1" x="960"/>
        <item m="1" x="1834"/>
        <item m="1" x="324"/>
        <item m="1" x="682"/>
        <item m="1" x="1578"/>
        <item m="1" x="1413"/>
        <item m="1" x="953"/>
        <item m="1" x="208"/>
        <item m="1" x="1369"/>
        <item m="1" x="517"/>
        <item m="1" x="1497"/>
        <item m="1" x="564"/>
        <item m="1" x="429"/>
        <item m="1" x="356"/>
        <item m="1" x="542"/>
        <item m="1" x="1449"/>
        <item m="1" x="929"/>
        <item m="1" x="985"/>
        <item m="1" x="239"/>
        <item m="1" x="587"/>
        <item m="1" x="699"/>
        <item m="1" x="183"/>
        <item m="1" x="1550"/>
        <item m="1" x="1826"/>
        <item m="1" x="966"/>
        <item m="1" x="424"/>
        <item m="1" x="574"/>
        <item m="1" x="454"/>
        <item m="1" x="772"/>
        <item m="1" x="1802"/>
        <item m="1" x="1469"/>
        <item m="1" x="1653"/>
        <item m="1" x="96"/>
        <item m="1" x="935"/>
        <item m="1" x="214"/>
        <item m="1" x="745"/>
        <item m="1" x="562"/>
        <item m="1" x="632"/>
        <item m="1" x="1541"/>
        <item m="1" x="1463"/>
        <item m="1" x="412"/>
        <item m="1" x="1634"/>
        <item m="1" x="320"/>
        <item m="1" x="493"/>
        <item m="1" x="1384"/>
        <item m="1" x="456"/>
        <item m="1" x="1410"/>
        <item m="1" x="581"/>
        <item m="1" x="430"/>
        <item m="1" x="1441"/>
        <item m="1" x="1490"/>
        <item m="1" x="413"/>
        <item m="1" x="1761"/>
        <item m="1" x="340"/>
        <item m="1" x="1521"/>
        <item m="1" x="984"/>
        <item m="1" x="651"/>
        <item m="1" x="633"/>
        <item m="1" x="1431"/>
        <item m="1" x="1628"/>
        <item m="1" x="792"/>
        <item m="1" x="742"/>
        <item m="1" x="723"/>
        <item m="1" x="69"/>
        <item m="1" x="401"/>
        <item m="1" x="1592"/>
        <item m="1" x="1329"/>
        <item m="1" x="399"/>
        <item m="1" x="1801"/>
        <item m="1" x="926"/>
        <item m="1" x="1784"/>
        <item m="1" x="899"/>
        <item m="1" x="1763"/>
        <item m="1" x="875"/>
        <item m="1" x="1747"/>
        <item m="1" x="203"/>
        <item m="1" x="531"/>
        <item m="1" x="1705"/>
        <item m="1" x="803"/>
        <item m="1" x="1675"/>
        <item m="1" x="765"/>
        <item m="1" x="1648"/>
        <item m="1" x="736"/>
        <item m="1" x="1623"/>
        <item m="1" x="712"/>
        <item m="1" x="1601"/>
        <item m="1" x="860"/>
        <item m="1" x="1732"/>
        <item m="1" x="831"/>
        <item m="1" x="314"/>
        <item m="1" x="799"/>
        <item m="1" x="526"/>
        <item m="1" x="67"/>
        <item m="1" x="523"/>
        <item m="1" x="508"/>
        <item m="1" x="560"/>
        <item m="1" x="1462"/>
        <item m="1" x="1555"/>
        <item m="1" x="798"/>
        <item m="1" x="1672"/>
        <item m="1" x="760"/>
        <item m="1" x="1643"/>
        <item m="1" x="488"/>
        <item m="1" x="1437"/>
        <item m="1" x="732"/>
        <item m="1" x="1620"/>
        <item m="1" x="709"/>
        <item m="1" x="1597"/>
        <item m="1" x="679"/>
        <item m="1" x="93"/>
        <item m="1" x="1576"/>
        <item m="1" x="1673"/>
        <item m="1" x="1406"/>
        <item m="1" x="828"/>
        <item m="1" x="713"/>
        <item m="1" x="392"/>
        <item m="1" x="963"/>
        <item m="1" x="458"/>
        <item m="1" x="923"/>
        <item m="1" x="1719"/>
        <item m="1" x="838"/>
        <item m="1" x="97"/>
        <item m="1" x="476"/>
        <item m="1" x="593"/>
        <item m="1" x="1319"/>
        <item m="1" x="196"/>
        <item m="1" x="1017"/>
        <item m="1" x="583"/>
        <item m="1" x="240"/>
        <item m="1" x="1164"/>
        <item m="1" x="268"/>
        <item m="1" x="1612"/>
        <item m="1" x="233"/>
        <item m="1" x="348"/>
        <item m="1" x="380"/>
        <item m="1" x="1588"/>
        <item m="1" x="669"/>
        <item m="1" x="695"/>
        <item m="1" x="463"/>
        <item m="1" x="501"/>
        <item m="1" x="1549"/>
        <item m="1" x="725"/>
        <item m="1" x="1786"/>
        <item m="1" x="1645"/>
        <item m="1" x="95"/>
        <item m="1" x="1366"/>
        <item m="1" x="704"/>
        <item m="1" x="872"/>
        <item m="1" x="407"/>
        <item m="1" x="897"/>
        <item m="1" x="683"/>
        <item m="1" x="1600"/>
        <item m="1" x="609"/>
        <item m="1" x="1056"/>
        <item m="1" x="1697"/>
        <item m="1" x="793"/>
        <item m="1" x="1668"/>
        <item m="1" x="758"/>
        <item m="1" x="761"/>
        <item m="1" x="1507"/>
        <item m="1" x="1753"/>
        <item m="1" x="882"/>
        <item m="1" x="1621"/>
        <item m="1" x="733"/>
        <item m="1" x="1348"/>
        <item m="1" x="1635"/>
        <item m="1" x="639"/>
        <item m="1" x="1342"/>
        <item m="1" x="323"/>
        <item m="1" x="1567"/>
        <item m="1" x="533"/>
        <item m="1" x="151"/>
        <item m="1" x="1603"/>
        <item m="1" x="174"/>
        <item m="1" x="1127"/>
        <item m="1" x="134"/>
        <item m="1" x="1093"/>
        <item m="1" x="327"/>
        <item m="1" x="1265"/>
        <item m="1" x="287"/>
        <item m="1" x="1230"/>
        <item m="1" x="248"/>
        <item m="1" x="1194"/>
        <item m="1" x="210"/>
        <item m="1" x="1160"/>
        <item m="1" x="171"/>
        <item m="1" x="1124"/>
        <item m="1" x="363"/>
        <item m="1" x="1294"/>
        <item m="1" x="325"/>
        <item m="1" x="1262"/>
        <item m="1" x="286"/>
        <item m="1" x="1228"/>
        <item m="1" x="246"/>
        <item m="1" x="1191"/>
        <item m="1" x="1159"/>
        <item m="1" x="1322"/>
        <item m="1" x="361"/>
        <item m="1" x="1292"/>
        <item m="1" x="858"/>
        <item m="1" x="1730"/>
        <item m="1" x="829"/>
        <item m="1" x="1261"/>
        <item m="1" x="285"/>
        <item m="1" x="1227"/>
        <item m="1" x="245"/>
        <item m="1" x="1190"/>
        <item m="1" x="125"/>
        <item m="1" x="1593"/>
        <item m="1" x="1632"/>
        <item m="1" x="746"/>
        <item m="1" x="1656"/>
        <item m="1" x="604"/>
        <item m="1" x="1379"/>
        <item m="1" x="1119"/>
        <item m="1" x="353"/>
        <item m="1" x="1644"/>
        <item m="1" x="688"/>
        <item m="1" x="451"/>
        <item m="1" x="1016"/>
        <item m="1" x="89"/>
        <item m="1" x="777"/>
        <item m="1" x="301"/>
        <item m="1" x="744"/>
        <item m="1" x="1724"/>
        <item m="1" x="1519"/>
        <item m="1" x="1570"/>
        <item m="1" x="119"/>
        <item m="1" x="1527"/>
        <item m="1" x="566"/>
        <item m="1" x="536"/>
        <item m="1" x="129"/>
        <item m="1" x="1807"/>
        <item m="1" x="928"/>
        <item m="1" x="1785"/>
        <item m="1" x="900"/>
        <item m="1" x="1765"/>
        <item m="1" x="1005"/>
        <item m="1" x="788"/>
        <item m="1" x="1609"/>
        <item m="1" x="1545"/>
        <item m="1" x="774"/>
        <item m="1" x="720"/>
        <item m="1" x="1666"/>
        <item m="1" x="358"/>
        <item m="1" x="159"/>
        <item m="1" x="1223"/>
        <item m="1" x="1694"/>
        <item m="1" x="826"/>
        <item m="1" x="1726"/>
        <item x="23"/>
        <item m="1" x="1403"/>
        <item m="1" x="57"/>
        <item m="1" x="1045"/>
        <item m="1" x="876"/>
        <item m="1" x="1748"/>
        <item m="1" x="852"/>
        <item m="1" x="824"/>
        <item m="1" x="1745"/>
        <item m="1" x="72"/>
        <item m="1" x="1066"/>
        <item m="1" x="978"/>
        <item m="1" x="637"/>
        <item m="1" x="1841"/>
        <item m="1" x="1117"/>
        <item m="1" x="1154"/>
        <item m="1" x="689"/>
        <item m="1" x="123"/>
        <item m="1" x="1781"/>
        <item m="1" x="1663"/>
        <item m="1" x="856"/>
        <item m="1" x="1698"/>
        <item m="1" x="794"/>
        <item m="1" x="1669"/>
        <item m="1" x="759"/>
        <item m="1" x="1642"/>
        <item m="1" x="903"/>
        <item m="1" x="1768"/>
        <item m="1" x="879"/>
        <item m="1" x="1750"/>
        <item m="1" x="1559"/>
        <item m="1" x="1707"/>
        <item m="1" x="1690"/>
        <item m="1" x="748"/>
        <item m="1" x="1176"/>
        <item m="1" x="667"/>
        <item m="1" x="469"/>
        <item m="1" x="470"/>
        <item m="1" x="643"/>
        <item m="1" x="644"/>
        <item m="1" x="588"/>
        <item m="1" x="1212"/>
        <item m="1" x="223"/>
        <item m="1" x="692"/>
        <item m="1" x="1587"/>
        <item m="1" x="1528"/>
        <item m="1" x="548"/>
        <item m="1" x="60"/>
        <item m="1" x="1686"/>
        <item m="1" x="1092"/>
        <item m="1" x="891"/>
        <item m="1" x="1565"/>
        <item m="1" x="965"/>
        <item m="1" x="1825"/>
        <item m="1" x="1538"/>
        <item m="1" x="187"/>
        <item m="1" x="1762"/>
        <item m="1" x="99"/>
        <item m="1" x="927"/>
        <item m="1" x="155"/>
        <item m="1" x="1069"/>
        <item m="1" x="1752"/>
        <item m="1" x="499"/>
        <item m="1" x="68"/>
        <item m="1" x="282"/>
        <item m="1" x="916"/>
        <item m="1" x="1145"/>
        <item m="1" x="816"/>
        <item m="1" x="1466"/>
        <item m="1" x="94"/>
        <item m="1" x="92"/>
        <item m="1" x="1150"/>
        <item m="1" x="1025"/>
        <item m="1" x="989"/>
        <item m="1" x="83"/>
        <item m="1" x="1080"/>
        <item m="1" x="117"/>
        <item m="1" x="1110"/>
        <item m="1" x="272"/>
        <item m="1" x="1036"/>
        <item m="1" x="1218"/>
        <item m="1" x="1371"/>
        <item m="1" x="137"/>
        <item m="1" x="1135"/>
        <item m="1" x="182"/>
        <item m="1" x="1172"/>
        <item m="1" x="219"/>
        <item m="1" x="1207"/>
        <item m="1" x="260"/>
        <item m="1" x="1242"/>
        <item m="1" x="299"/>
        <item m="1" x="821"/>
        <item m="1" x="1368"/>
        <item m="1" x="515"/>
        <item m="1" x="1474"/>
        <item m="1" x="230"/>
        <item m="1" x="194"/>
        <item m="1" x="871"/>
        <item m="1" x="1743"/>
        <item m="1" x="200"/>
        <item m="1" x="1185"/>
        <item m="1" x="235"/>
        <item m="1" x="1002"/>
        <item m="1" x="53"/>
        <item m="1" x="1040"/>
        <item m="1" x="1084"/>
        <item m="1" x="86"/>
        <item m="1" x="106"/>
        <item m="1" x="1099"/>
        <item m="1" x="1139"/>
        <item m="1" x="507"/>
        <item m="1" x="1182"/>
        <item m="1" x="1096"/>
        <item m="1" x="1572"/>
        <item m="1" x="1055"/>
        <item m="1" x="672"/>
        <item m="1" x="141"/>
        <item m="1" x="1682"/>
        <item m="1" x="1551"/>
        <item m="1" x="1562"/>
        <item m="1" x="647"/>
        <item m="1" x="1622"/>
        <item m="1" x="149"/>
        <item m="1" x="1300"/>
        <item m="1" x="243"/>
        <item m="1" x="805"/>
        <item m="1" x="483"/>
        <item m="1" x="338"/>
        <item m="1" x="1073"/>
        <item m="1" x="111"/>
        <item m="1" x="204"/>
        <item m="1" x="611"/>
        <item m="1" x="670"/>
        <item m="1" x="1393"/>
        <item m="1" x="698"/>
        <item m="1" x="1192"/>
        <item m="1" x="306"/>
        <item m="1" x="1274"/>
        <item m="1" x="1795"/>
        <item m="1" x="294"/>
        <item m="1" x="789"/>
        <item m="1" x="1721"/>
        <item m="1" x="317"/>
        <item m="1" x="255"/>
        <item m="1" x="1303"/>
        <item m="1" x="1804"/>
        <item m="1" x="1472"/>
        <item m="1" x="1417"/>
        <item m="1" x="309"/>
        <item m="1" x="812"/>
        <item m="1" x="1358"/>
        <item m="1" x="1523"/>
        <item m="1" x="1777"/>
        <item m="1" x="90"/>
        <item m="1" x="276"/>
        <item m="1" x="1797"/>
        <item m="1" x="1780"/>
        <item m="1" x="142"/>
        <item m="1" x="981"/>
        <item m="1" x="188"/>
        <item m="1" x="1140"/>
        <item m="1" x="1815"/>
        <item m="1" x="1100"/>
        <item m="1" x="346"/>
        <item m="1" x="939"/>
        <item m="1" x="1744"/>
        <item m="1" x="1106"/>
        <item m="1" x="224"/>
        <item m="1" x="1177"/>
        <item m="1" x="1213"/>
        <item m="1" x="266"/>
        <item m="1" x="1247"/>
        <item m="1" x="950"/>
        <item m="1" x="513"/>
        <item m="1" x="673"/>
        <item m="1" x="371"/>
        <item m="1" x="1169"/>
        <item m="1" x="1148"/>
        <item m="1" x="217"/>
        <item m="1" x="62"/>
        <item m="1" x="1583"/>
        <item m="1" x="1238"/>
        <item m="1" x="100"/>
        <item m="1" x="1095"/>
        <item m="1" x="205"/>
        <item m="1" x="1090"/>
        <item m="1" x="334"/>
        <item m="1" x="1114"/>
        <item m="1" x="180"/>
        <item m="1" x="1133"/>
        <item m="1" x="136"/>
        <item m="1" x="1064"/>
        <item m="1" x="913"/>
        <item m="1" x="1735"/>
        <item m="1" x="773"/>
        <item m="1" x="1571"/>
        <item m="1" x="419"/>
        <item m="1" x="1046"/>
        <item m="1" x="59"/>
        <item m="1" x="1008"/>
        <item m="1" x="1843"/>
        <item m="1" x="980"/>
        <item m="1" x="1813"/>
        <item m="1" x="945"/>
        <item m="1" x="1793"/>
        <item m="1" x="912"/>
        <item m="1" x="124"/>
        <item m="1" x="1085"/>
        <item m="1" x="88"/>
        <item m="1" x="1044"/>
        <item m="1" x="56"/>
        <item m="1" x="1004"/>
        <item m="1" x="1840"/>
        <item m="1" x="977"/>
        <item m="1" x="1810"/>
        <item m="1" x="942"/>
        <item m="1" x="158"/>
        <item m="1" x="1116"/>
        <item m="1" x="1641"/>
        <item m="1" x="731"/>
        <item m="1" x="1619"/>
        <item m="1" x="708"/>
        <item m="1" x="1595"/>
        <item m="1" x="645"/>
        <item m="1" x="1494"/>
        <item m="1" x="565"/>
        <item m="1" x="1464"/>
        <item m="1" x="1166"/>
        <item m="1" x="213"/>
        <item m="1" x="1200"/>
        <item m="1" x="254"/>
        <item m="1" x="1236"/>
        <item m="1" x="292"/>
        <item m="1" x="1271"/>
        <item m="1" x="491"/>
        <item m="1" x="957"/>
        <item m="1" x="697"/>
        <item m="1" x="1758"/>
        <item m="1" x="1775"/>
        <item m="1" x="890"/>
        <item m="1" x="1773"/>
        <item m="1" x="865"/>
        <item m="1" x="1842"/>
        <item m="1" x="58"/>
        <item m="1" x="979"/>
        <item m="1" x="1812"/>
        <item m="1" x="944"/>
        <item m="1" x="1007"/>
        <item m="1" x="911"/>
        <item m="1" x="887"/>
        <item m="1" x="1043"/>
        <item m="1" x="87"/>
        <item m="1" x="55"/>
        <item m="1" x="976"/>
        <item m="1" x="1839"/>
        <item m="1" x="472"/>
        <item m="1" x="1427"/>
        <item m="1" x="178"/>
        <item m="1" x="1589"/>
        <item m="1" x="1131"/>
        <item m="1" x="1203"/>
        <item m="1" x="650"/>
        <item m="1" x="807"/>
        <item m="1" x="537"/>
        <item m="1" x="925"/>
        <item m="1" x="1798"/>
        <item m="1" x="329"/>
        <item m="1" x="1573"/>
        <item m="1" x="738"/>
        <item m="1" x="279"/>
        <item m="1" x="441"/>
        <item m="1" x="663"/>
        <item m="1" x="1569"/>
        <item m="1" x="36"/>
        <item m="1" x="1715"/>
        <item m="1" x="1779"/>
        <item m="1" x="1604"/>
        <item m="1" x="1625"/>
        <item m="1" x="988"/>
        <item m="1" x="215"/>
        <item m="1" x="1820"/>
        <item m="1" x="943"/>
        <item m="1" x="863"/>
        <item m="1" x="475"/>
        <item m="1" x="671"/>
        <item m="1" x="955"/>
        <item m="1" x="1011"/>
        <item m="1" x="640"/>
        <item m="1" x="1728"/>
        <item m="1" x="1809"/>
        <item m="1" x="893"/>
        <item m="1" x="1783"/>
        <item m="1" x="396"/>
        <item m="1" x="1326"/>
        <item m="1" x="368"/>
        <item m="1" x="1298"/>
        <item m="1" x="122"/>
        <item m="1" x="1054"/>
        <item m="1" x="1267"/>
        <item m="1" x="815"/>
        <item m="1" x="312"/>
        <item m="1" x="1251"/>
        <item m="1" x="271"/>
        <item m="1" x="1083"/>
        <item m="1" x="161"/>
        <item m="1" x="51"/>
        <item m="1" x="743"/>
        <item m="1" x="1654"/>
        <item m="1" x="1584"/>
        <item m="1" x="1283"/>
        <item m="1" x="717"/>
        <item m="1" x="1000"/>
        <item m="1" x="1618"/>
        <item m="1" x="250"/>
        <item m="1" x="288"/>
        <item m="1" x="1232"/>
        <item m="1" x="1074"/>
        <item m="1" x="1217"/>
        <item m="1" x="1823"/>
        <item m="1" x="1718"/>
        <item m="1" x="1170"/>
        <item m="1" x="1196"/>
        <item m="1" x="1817"/>
        <item m="1" x="1039"/>
        <item m="1" x="1629"/>
        <item m="1" x="85"/>
        <item m="1" x="584"/>
        <item m="1" x="1492"/>
        <item m="1" x="1444"/>
        <item m="1" x="535"/>
        <item m="1" x="1180"/>
        <item m="1" x="190"/>
        <item m="1" x="1142"/>
        <item m="1" x="379"/>
        <item m="1" x="1833"/>
        <item m="1" x="1312"/>
        <item m="1" x="350"/>
        <item m="1" x="1282"/>
        <item m="1" x="1792"/>
        <item m="1" x="941"/>
        <item m="1" x="1606"/>
        <item m="1" x="121"/>
        <item m="1" x="910"/>
        <item m="1" x="228"/>
        <item m="1" x="610"/>
        <item m="1" x="1818"/>
        <item m="1" x="674"/>
        <item m="1" x="304"/>
        <item m="1" x="1246"/>
        <item m="1" x="1710"/>
        <item m="1" x="836"/>
        <item m="1" x="769"/>
        <item m="1" x="1678"/>
        <item m="1" x="808"/>
        <item m="1" x="1835"/>
        <item m="1" x="1253"/>
        <item m="1" x="1806"/>
        <item m="1" x="972"/>
        <item m="1" x="938"/>
        <item m="1" x="387"/>
        <item m="1" x="65"/>
        <item m="1" x="696"/>
        <item m="1" x="516"/>
        <item m="1" x="814"/>
        <item m="1" x="1129"/>
        <item m="1" x="946"/>
        <item m="1" x="133"/>
        <item m="1" x="1168"/>
        <item m="1" x="177"/>
        <item m="1" x="1079"/>
        <item m="1" x="1661"/>
        <item m="1" x="345"/>
        <item m="1" x="964"/>
        <item m="1" x="1278"/>
        <item m="1" x="343"/>
        <item m="1" x="1309"/>
        <item m="1" x="376"/>
        <item m="1" x="1334"/>
        <item m="1" x="404"/>
        <item m="1" x="1175"/>
        <item m="1" x="264"/>
        <item m="1" x="1211"/>
        <item m="1" x="222"/>
        <item m="1" x="685"/>
        <item m="1" x="1650"/>
        <item m="1" x="116"/>
        <item m="1" x="1662"/>
        <item m="1" x="477"/>
        <item m="1" x="1470"/>
        <item m="1" x="919"/>
        <item m="1" x="779"/>
        <item m="1" x="310"/>
        <item m="1" x="1520"/>
        <item m="1" x="585"/>
        <item m="1" x="1493"/>
        <item m="1" x="434"/>
        <item m="1" x="1206"/>
        <item m="1" x="258"/>
        <item m="1" x="1034"/>
        <item m="1" x="563"/>
        <item m="1" x="1398"/>
        <item m="1" x="43"/>
        <item m="1" x="1770"/>
        <item m="1" x="1381"/>
        <item m="1" x="47"/>
        <item m="1" x="1401"/>
        <item m="1" x="81"/>
        <item m="1" x="1241"/>
        <item m="1" x="153"/>
        <item m="1" x="207"/>
        <item m="1" x="1846"/>
        <item m="1" x="34"/>
        <item m="1" x="1130"/>
        <item m="1" x="551"/>
        <item m="1" x="1273"/>
        <item m="1" x="336"/>
        <item m="1" x="459"/>
        <item m="1" x="819"/>
        <item m="1" x="1575"/>
        <item m="1" x="280"/>
        <item m="1" x="1285"/>
        <item m="1" x="958"/>
        <item m="1" x="895"/>
        <item m="1" x="917"/>
        <item m="1" x="1094"/>
        <item m="1" x="1021"/>
        <item m="1" x="293"/>
        <item m="1" x="1237"/>
        <item m="1" x="646"/>
        <item m="1" x="653"/>
        <item m="1" x="983"/>
        <item m="1" x="862"/>
        <item m="1" x="1605"/>
        <item m="1" x="1626"/>
        <item m="1" x="739"/>
        <item m="1" x="1736"/>
        <item m="1" x="995"/>
        <item m="1" x="1386"/>
        <item m="1" x="298"/>
        <item m="1" x="956"/>
        <item m="1" x="1832"/>
        <item m="1" x="431"/>
        <item m="1" x="1260"/>
        <item m="1" x="1014"/>
        <item m="1" x="578"/>
        <item m="1" x="734"/>
        <item m="1" x="1269"/>
        <item m="1" x="331"/>
        <item m="1" x="1302"/>
        <item m="1" x="370"/>
        <item m="1" x="398"/>
        <item m="1" x="1356"/>
        <item m="1" x="492"/>
        <item m="1" x="971"/>
        <item m="1" x="192"/>
        <item m="1" x="1513"/>
        <item m="1" x="1355"/>
        <item m="1" x="397"/>
        <item m="1" x="1327"/>
        <item m="1" x="369"/>
        <item m="1" x="1301"/>
        <item m="1" x="330"/>
        <item m="1" x="1268"/>
        <item m="1" x="289"/>
        <item m="1" x="1233"/>
        <item m="1" x="455"/>
        <item m="1" x="1382"/>
        <item m="1" x="428"/>
        <item m="1" x="1353"/>
        <item m="1" x="1756"/>
        <item m="1" x="394"/>
        <item m="1" x="1325"/>
        <item m="1" x="1215"/>
        <item m="1" x="1295"/>
        <item m="1" x="1061"/>
        <item m="1" x="71"/>
        <item m="1" x="365"/>
        <item m="1" x="1425"/>
        <item m="1" x="1089"/>
        <item m="1" x="98"/>
        <item m="1" x="715"/>
        <item m="1" x="1225"/>
        <item m="1" x="1264"/>
        <item m="1" x="326"/>
        <item m="1" x="1496"/>
        <item m="1" x="569"/>
        <item m="1" x="66"/>
        <item m="1" x="277"/>
        <item m="1" x="480"/>
        <item m="1" x="1013"/>
        <item m="1" x="613"/>
        <item m="1" x="802"/>
        <item m="1" x="504"/>
        <item m="1" x="532"/>
        <item m="1" x="845"/>
        <item m="1" x="884"/>
        <item m="1" x="437"/>
        <item m="1" x="1706"/>
        <item m="1" x="1676"/>
        <item m="1" x="804"/>
        <item m="1" x="766"/>
        <item m="1" x="1486"/>
        <item m="1" x="1845"/>
        <item m="1" x="547"/>
        <item m="1" x="1340"/>
        <item m="1" x="721"/>
        <item m="1" x="1392"/>
        <item m="1" x="982"/>
        <item m="1" x="487"/>
        <item m="1" x="1665"/>
        <item m="1" x="1671"/>
        <item m="1" x="1108"/>
        <item m="1" x="452"/>
        <item m="1" x="1455"/>
        <item m="1" x="1687"/>
        <item m="1" x="1816"/>
        <item m="1" x="1405"/>
        <item m="1" x="450"/>
        <item m="1" x="1378"/>
        <item m="1" x="422"/>
        <item m="1" x="494"/>
        <item m="1" x="1442"/>
        <item m="1" x="1411"/>
        <item m="1" x="485"/>
        <item m="1" x="714"/>
        <item m="1" x="630"/>
        <item m="1" x="211"/>
        <item m="1" x="592"/>
        <item m="1" x="283"/>
        <item m="1" x="1581"/>
        <item m="1" x="1171"/>
        <item m="1" x="1701"/>
        <item m="1" x="1539"/>
        <item m="1" x="818"/>
        <item m="1" x="63"/>
        <item m="1" x="602"/>
        <item m="1" x="1424"/>
        <item m="1" x="625"/>
        <item m="1" x="1363"/>
        <item m="1" x="443"/>
        <item m="1" x="907"/>
        <item m="1" x="1457"/>
        <item m="1" x="417"/>
        <item m="1" x="389"/>
        <item m="1" x="1536"/>
        <item m="1" x="1720"/>
        <item m="1" x="1293"/>
        <item m="1" x="1509"/>
        <item m="1" x="1649"/>
        <item m="1" x="737"/>
        <item m="1" x="1201"/>
        <item m="1" x="1624"/>
        <item m="1" x="573"/>
        <item m="1" x="870"/>
        <item m="1" x="360"/>
        <item m="1" x="1323"/>
        <item m="1" x="390"/>
        <item m="1" x="1350"/>
        <item m="1" x="77"/>
        <item m="1" x="265"/>
        <item m="1" x="1560"/>
        <item m="1" x="1477"/>
        <item m="1" x="362"/>
        <item m="1" x="1782"/>
        <item m="1" x="1500"/>
        <item m="1" x="628"/>
        <item m="1" x="886"/>
        <item m="1" x="600"/>
        <item m="1" x="550"/>
        <item m="1" x="1483"/>
        <item m="1" x="512"/>
        <item m="1" x="575"/>
        <item m="1" x="447"/>
        <item m="1" x="1375"/>
        <item m="1" x="1510"/>
        <item m="1" x="661"/>
        <item m="1" x="1321"/>
        <item m="1" x="1343"/>
        <item m="1" x="1155"/>
        <item m="1" x="1259"/>
        <item m="1" x="1345"/>
        <item m="1" x="1400"/>
        <item m="1" x="482"/>
        <item m="1" x="1430"/>
        <item x="12"/>
        <item m="1" x="1390"/>
        <item m="1" x="473"/>
        <item m="1" x="518"/>
        <item m="1" x="920"/>
        <item m="1" x="951"/>
        <item m="1" x="1458"/>
        <item m="1" x="1402"/>
        <item m="1" x="251"/>
        <item m="1" x="173"/>
        <item m="1" x="1197"/>
        <item m="1" x="1163"/>
        <item m="1" x="1053"/>
        <item m="1" x="1126"/>
        <item m="1" x="1830"/>
        <item m="1" x="1511"/>
        <item m="1" x="1256"/>
        <item m="1" x="843"/>
        <item m="1" x="1123"/>
        <item m="1" x="595"/>
        <item m="1" x="520"/>
        <item m="1" x="1432"/>
        <item m="1" x="484"/>
        <item m="1" x="555"/>
        <item m="1" x="659"/>
        <item m="1" x="1734"/>
        <item m="1" x="354"/>
        <item m="1" x="654"/>
        <item m="1" x="64"/>
        <item m="1" x="366"/>
        <item m="1" x="1370"/>
        <item m="1" x="445"/>
        <item m="1" x="1396"/>
        <item m="1" x="478"/>
        <item m="1" x="1422"/>
        <item m="1" x="510"/>
        <item m="1" x="1456"/>
        <item m="1" x="549"/>
        <item m="1" x="416"/>
        <item m="1" x="1453"/>
        <item m="1" x="1480"/>
        <item m="1" x="545"/>
        <item m="1" x="1524"/>
        <item m="1" x="1307"/>
        <item m="1" x="1078"/>
        <item m="1" x="842"/>
        <item m="1" x="242"/>
        <item m="1" x="1152"/>
        <item m="1" x="425"/>
        <item m="1" x="80"/>
        <item m="1" x="1505"/>
        <item m="1" x="1558"/>
        <item m="1" x="597"/>
        <item m="1" x="1532"/>
        <item m="1" x="622"/>
        <item m="1" x="710"/>
        <item m="1" x="1118"/>
        <item m="1" x="49"/>
        <item m="1" x="998"/>
        <item m="1" x="961"/>
        <item m="1" x="1837"/>
        <item m="1" x="684"/>
        <item m="1" x="157"/>
        <item m="1" x="1112"/>
        <item m="1" x="145"/>
        <item m="1" x="1037"/>
        <item m="1" x="84"/>
        <item m="1" x="1081"/>
        <item m="1" x="118"/>
        <item m="1" x="615"/>
        <item m="1" x="833"/>
        <item m="1" x="915"/>
        <item m="1" x="1113"/>
        <item m="1" x="1473"/>
        <item m="1" x="896"/>
        <item m="1" x="546"/>
        <item m="1" x="1404"/>
        <item m="1" x="1607"/>
        <item m="1" x="524"/>
        <item m="1" x="641"/>
        <item m="1" x="1547"/>
        <item m="1" x="608"/>
        <item m="1" x="1517"/>
        <item m="1" x="582"/>
        <item m="1" x="1491"/>
        <item m="1" x="561"/>
        <item m="1" x="528"/>
        <item m="1" x="1439"/>
        <item m="1" x="668"/>
        <item m="1" x="1566"/>
        <item m="1" x="635"/>
        <item m="1" x="1543"/>
        <item m="1" x="606"/>
        <item m="1" x="1515"/>
        <item m="1" x="580"/>
        <item m="1" x="1488"/>
        <item m="1" x="557"/>
        <item m="1" x="1460"/>
        <item m="1" x="690"/>
        <item m="1" x="1585"/>
        <item m="1" x="665"/>
        <item m="1" x="385"/>
        <item m="1" x="1563"/>
        <item m="1" x="1799"/>
        <item m="1" x="724"/>
        <item m="1" x="568"/>
        <item m="1" x="411"/>
        <item m="1" x="166"/>
        <item m="1" x="1454"/>
        <item m="1" x="1167"/>
        <item m="1" x="1722"/>
        <item m="1" x="176"/>
        <item m="1" x="1471"/>
        <item m="1" x="1577"/>
        <item m="1" x="681"/>
        <item m="1" x="1598"/>
        <item m="1" x="655"/>
        <item m="1" x="540"/>
        <item m="1" x="676"/>
        <item m="1" x="1554"/>
        <item m="1" x="1677"/>
        <item m="1" x="197"/>
        <item m="1" x="1052"/>
        <item m="1" x="700"/>
        <item m="1" x="780"/>
        <item m="1" x="616"/>
        <item m="1" x="1436"/>
        <item m="1" x="878"/>
        <item m="1" x="1530"/>
        <item m="1" x="706"/>
        <item m="1" x="648"/>
        <item m="1" x="1580"/>
        <item m="1" x="1778"/>
        <item m="1" x="1760"/>
        <item m="1" x="113"/>
        <item m="1" x="892"/>
        <item m="1" x="1087"/>
        <item m="1" x="1075"/>
        <item m="1" x="78"/>
        <item m="1" x="1503"/>
        <item m="1" x="1091"/>
        <item m="1" x="1063"/>
        <item x="5"/>
        <item x="33"/>
        <item m="1" x="316"/>
        <item m="1" x="1012"/>
        <item m="1" x="631"/>
        <item m="1" x="1481"/>
        <item m="1" x="52"/>
        <item m="1" x="1001"/>
        <item m="1" x="1836"/>
        <item m="1" x="973"/>
        <item m="1" x="199"/>
        <item m="1" x="1149"/>
        <item m="1" x="154"/>
        <item m="1" x="1031"/>
        <item m="1" x="82"/>
        <item m="1" x="1035"/>
        <item m="1" x="48"/>
        <item m="1" x="996"/>
        <item m="1" x="229"/>
        <item m="1" x="1181"/>
        <item m="1" x="193"/>
        <item m="1" x="1144"/>
        <item m="1" x="148"/>
        <item m="1" x="1105"/>
        <item m="1" x="269"/>
        <item m="1" x="442"/>
        <item m="1" x="502"/>
        <item m="1" x="677"/>
        <item m="1" x="867"/>
        <item m="1" x="729"/>
        <item m="1" x="140"/>
        <item m="1" x="227"/>
        <item m="1" x="1548"/>
        <item m="1" x="1216"/>
        <item m="1" x="110"/>
        <item m="1" x="801"/>
        <item m="1" x="785"/>
        <item m="1" x="1702"/>
        <item m="1" x="797"/>
        <item m="1" x="189"/>
        <item m="1" x="46"/>
        <item m="1" x="1033"/>
        <item m="1" x="1141"/>
        <item m="1" x="1445"/>
        <item m="1" x="594"/>
        <item m="1" x="847"/>
        <item m="1" x="1535"/>
        <item m="1" x="1667"/>
        <item m="1" x="757"/>
        <item m="1" x="1006"/>
        <item m="1" x="1534"/>
        <item m="1" x="1692"/>
        <item m="1" x="530"/>
        <item m="1" x="1316"/>
        <item m="1" x="457"/>
        <item m="1" x="1717"/>
        <item m="1" x="921"/>
        <item m="1" x="1018"/>
        <item m="1" x="598"/>
        <item m="1" x="1330"/>
        <item m="1" x="400"/>
        <item m="1" x="1359"/>
        <item m="1" x="1387"/>
        <item m="1" x="372"/>
        <item m="1" x="433"/>
        <item m="1" x="538"/>
        <item m="1" x="1304"/>
        <item m="1" x="495"/>
        <item m="1" x="335"/>
        <item m="1" x="1272"/>
        <item m="1" x="1435"/>
        <item m="1" x="1412"/>
        <item m="1" x="591"/>
        <item m="1" x="1546"/>
        <item m="1" x="1240"/>
        <item m="1" x="296"/>
        <item m="1" x="1276"/>
        <item m="1" x="341"/>
        <item m="1" x="1097"/>
        <item m="1" x="138"/>
        <item m="1" x="1136"/>
        <item m="1" x="184"/>
        <item m="1" x="1173"/>
        <item m="1" x="220"/>
        <item m="1" x="1209"/>
        <item m="1" x="1244"/>
        <item m="1" x="262"/>
        <item m="1" x="302"/>
        <item m="1" x="1070"/>
        <item m="1" x="107"/>
        <item m="1" x="1101"/>
        <item m="1" x="143"/>
        <item m="1" x="1179"/>
        <item m="1" x="256"/>
        <item m="1" x="1204"/>
        <item m="1" x="1844"/>
        <item m="1" x="1811"/>
        <item m="1" x="1540"/>
        <item m="1" x="603"/>
        <item m="1" x="1512"/>
        <item m="1" x="576"/>
        <item m="1" x="1484"/>
        <item m="1" x="716"/>
        <item m="1" x="409"/>
        <item m="1" x="1664"/>
        <item m="1" x="767"/>
        <item m="1" x="752"/>
        <item m="1" x="873"/>
        <item m="1" x="918"/>
        <item m="1" x="218"/>
        <item m="1" x="638"/>
        <item m="1" x="1072"/>
        <item m="1" x="1679"/>
        <item m="1" x="162"/>
        <item m="1" x="1655"/>
        <item m="1" x="1385"/>
        <item m="1" x="1291"/>
        <item m="1" x="359"/>
        <item m="1" x="790"/>
        <item m="1" x="841"/>
        <item m="1" x="61"/>
        <item m="1" x="1746"/>
        <item m="1" x="848"/>
        <item m="1" x="1740"/>
        <item m="1" x="373"/>
        <item m="1" x="1829"/>
        <item m="1" x="1394"/>
        <item m="1" x="1010"/>
        <item m="1" x="1788"/>
        <item m="1" x="902"/>
        <item m="1" x="702"/>
        <item m="1" x="1048"/>
        <item m="1" x="1257"/>
        <item m="1" x="393"/>
        <item m="1" x="1596"/>
        <item m="1" x="1047"/>
        <item m="1" x="1478"/>
        <item m="1" x="1380"/>
        <item m="1" x="1657"/>
        <item m="1" x="275"/>
        <item m="1" x="1640"/>
        <item m="1" x="44"/>
        <item m="1" x="1059"/>
        <item m="1" x="529"/>
        <item m="1" x="1299"/>
        <item m="1" x="490"/>
        <item m="1" x="1440"/>
        <item m="1" x="1408"/>
        <item m="1" x="453"/>
        <item m="1" x="426"/>
        <item m="1" x="1352"/>
        <item m="1" x="315"/>
        <item m="1" x="1286"/>
        <item m="1" x="756"/>
        <item m="1" x="851"/>
        <item m="1" x="786"/>
        <item m="1" x="817"/>
        <item m="1" x="1776"/>
        <item m="1" x="1183"/>
        <item m="1" x="195"/>
        <item m="1" x="522"/>
        <item m="1" x="231"/>
        <item m="1" x="486"/>
        <item m="1" x="784"/>
        <item m="1" x="273"/>
        <item m="1" x="313"/>
        <item m="1" x="1252"/>
        <item m="1" x="466"/>
        <item m="1" x="558"/>
        <item m="1" x="1461"/>
        <item m="1" x="1219"/>
        <item m="1" x="1434"/>
        <item m="1" x="322"/>
        <item m="1" x="284"/>
        <item m="1" x="1221"/>
        <item m="1" x="236"/>
        <item m="1" x="1186"/>
        <item m="1" x="201"/>
        <item m="1" x="1151"/>
        <item m="1" x="156"/>
        <item m="1" x="1111"/>
        <item m="1" x="355"/>
        <item m="1" x="352"/>
        <item m="1" x="381"/>
        <item m="1" x="1314"/>
        <item m="1" x="614"/>
        <item m="1" x="618"/>
        <item m="1" x="541"/>
        <item m="1" x="703"/>
        <item m="1" x="868"/>
        <item m="1" x="1146"/>
        <item m="1" x="1468"/>
        <item m="1" x="1610"/>
        <item m="1" x="707"/>
        <item m="1" x="308"/>
        <item m="1" x="1255"/>
        <item m="1" x="1338"/>
        <item m="1" x="128"/>
        <item m="1" x="1590"/>
        <item m="1" x="1249"/>
        <item m="1" x="267"/>
        <item m="1" x="657"/>
        <item m="1" x="420"/>
        <item m="1" x="1376"/>
        <item m="1" x="384"/>
        <item m="1" x="796"/>
        <item m="1" x="1489"/>
        <item m="1" x="1485"/>
        <item m="1" x="726"/>
        <item m="1" x="439"/>
        <item m="1" x="627"/>
        <item m="1" x="448"/>
        <item m="1" x="1214"/>
        <item m="1" x="225"/>
        <item m="1" x="1819"/>
        <item m="1" x="1284"/>
        <item m="1" x="1229"/>
        <item m="1" x="1178"/>
        <item m="1" x="406"/>
        <item m="1" x="1336"/>
        <item m="1" x="378"/>
        <item m="1" x="1311"/>
        <item m="1" x="347"/>
        <item m="1" x="1280"/>
        <item m="1" x="300"/>
        <item m="1" x="1243"/>
        <item m="1" x="261"/>
        <item m="1" x="1208"/>
        <item m="1" x="436"/>
        <item m="1" x="1361"/>
        <item m="1" x="403"/>
        <item m="1" x="1333"/>
        <item m="1" x="375"/>
        <item m="1" x="552"/>
        <item m="1" x="1714"/>
        <item m="1" x="1347"/>
        <item m="1" x="577"/>
        <item m="1" x="474"/>
        <item m="1" x="571"/>
        <item m="1" x="1088"/>
        <item m="1" x="76"/>
        <item m="1" x="881"/>
        <item m="1" x="1771"/>
        <item m="1" x="905"/>
        <item m="1" x="1465"/>
        <item m="1" x="775"/>
        <item m="1" x="503"/>
        <item m="1" x="1602"/>
        <item m="1" x="1364"/>
        <item m="1" x="514"/>
        <item m="1" x="994"/>
        <item m="1" x="970"/>
        <item m="1" x="1222"/>
        <item m="1" x="1365"/>
        <item m="1" x="321"/>
        <item m="1" x="237"/>
        <item m="1" x="332"/>
        <item m="1" x="1426"/>
        <item m="1" x="936"/>
        <item m="1" x="620"/>
        <item m="1" x="1397"/>
        <item m="1" x="1050"/>
        <item m="1" x="1306"/>
        <item m="1" x="339"/>
        <item m="1" x="1275"/>
        <item m="1" x="295"/>
        <item m="1" x="1239"/>
        <item m="1" x="462"/>
        <item m="1" x="1042"/>
        <item m="1" x="54"/>
        <item m="1" x="1003"/>
        <item m="1" x="1838"/>
        <item m="1" x="975"/>
        <item m="1" x="1808"/>
        <item m="1" x="940"/>
        <item m="1" x="1791"/>
        <item m="1" x="909"/>
        <item m="1" x="481"/>
        <item m="1" x="120"/>
        <item m="1" x="383"/>
        <item m="1" x="749"/>
        <item m="1" x="446"/>
        <item m="1" x="1082"/>
        <item m="1" x="811"/>
        <item m="1" x="1814"/>
        <item m="1" x="949"/>
        <item m="1" x="791"/>
        <item m="1" x="163"/>
        <item m="1" x="823"/>
        <item m="1" x="1689"/>
        <item m="1" x="181"/>
        <item m="1" x="1467"/>
        <item m="1" x="612"/>
        <item m="1" x="1691"/>
        <item m="1" x="165"/>
        <item m="1" x="660"/>
        <item m="1" x="751"/>
        <item m="1" x="1024"/>
        <item m="1" x="382"/>
        <item m="1" x="1418"/>
        <item m="1" x="305"/>
        <item m="1" x="1038"/>
        <item m="1" x="1121"/>
        <item m="1" x="1716"/>
        <item m="1" x="1794"/>
        <item m="1" x="727"/>
        <item m="1" x="172"/>
        <item m="1" x="922"/>
        <item m="1" x="1193"/>
        <item m="1" x="1450"/>
        <item m="1" x="1315"/>
        <item m="1" x="247"/>
        <item m="1" x="126"/>
        <item m="1" x="750"/>
        <item m="1" x="1147"/>
        <item m="1" x="198"/>
        <item m="1" x="1184"/>
        <item m="1" x="232"/>
        <item m="1" x="461"/>
        <item m="1" x="1372"/>
        <item m="1" x="202"/>
        <item m="1" x="1220"/>
        <item m="1" x="624"/>
        <item m="1" x="1125"/>
        <item m="1" x="894"/>
        <item m="1" x="1337"/>
        <item m="1" x="1086"/>
        <item m="1" x="1107"/>
        <item m="1" x="933"/>
        <item m="1" x="150"/>
        <item m="1" x="952"/>
        <item m="1" x="1290"/>
        <item m="1" x="114"/>
        <item m="1" x="1374"/>
        <item m="1" x="1693"/>
        <item m="1" x="787"/>
        <item m="1" x="234"/>
        <item m="1" x="1421"/>
        <item m="1" x="1009"/>
        <item m="1" x="91"/>
        <item m="1" x="1723"/>
        <item m="1" x="42"/>
        <item m="1" x="822"/>
        <item m="1" x="1805"/>
        <item m="1" x="937"/>
        <item m="1" x="152"/>
        <item m="1" x="1683"/>
        <item m="1" x="1501"/>
        <item m="1" x="1660"/>
        <item m="1" x="1153"/>
        <item m="1" x="1506"/>
        <item m="1" x="1796"/>
        <item m="1" x="1317"/>
        <item m="1" x="1077"/>
        <item m="1" x="1614"/>
        <item m="1" x="1688"/>
        <item m="1" x="1579"/>
        <item m="1" x="127"/>
        <item m="1" x="388"/>
        <item m="1" x="1187"/>
        <item m="1" x="1134"/>
        <item m="1" x="1109"/>
        <item m="1" x="115"/>
        <item m="1" x="778"/>
        <item m="1" x="1428"/>
        <item m="1" x="954"/>
        <item m="1" x="626"/>
        <item m="1" x="1224"/>
        <item m="1" x="1076"/>
        <item m="1" x="1824"/>
        <item m="1" x="311"/>
        <item m="1" x="1132"/>
        <item m="1" x="209"/>
        <item m="1" x="701"/>
        <item m="1" x="1367"/>
        <item m="1" x="1349"/>
        <item m="1" x="999"/>
        <item m="1" x="763"/>
        <item m="1" x="1416"/>
        <item m="1" x="1158"/>
        <item m="1" x="386"/>
        <item m="1" x="1320"/>
        <item x="26"/>
        <item m="1" x="50"/>
        <item m="1" x="131"/>
        <item m="1" x="168"/>
        <item m="1" x="1120"/>
        <item m="1" x="414"/>
        <item m="1" x="1341"/>
        <item m="1" x="1104"/>
        <item m="1" x="147"/>
        <item x="6"/>
        <item m="1" x="109"/>
        <item m="1" x="599"/>
        <item m="1" x="1639"/>
        <item m="1" x="1254"/>
        <item m="1" x="1556"/>
        <item m="1" x="319"/>
        <item m="1" x="1258"/>
        <item m="1" x="1188"/>
        <item m="1" x="1058"/>
        <item m="1" x="1399"/>
        <item m="1" x="986"/>
        <item m="1" x="35"/>
        <item m="1" x="1019"/>
        <item m="1" x="79"/>
        <item m="1" x="1032"/>
        <item m="1" x="45"/>
        <item m="1" x="993"/>
        <item m="1" x="1831"/>
        <item m="1" x="969"/>
        <item m="1" x="1030"/>
        <item m="1" x="1684"/>
        <item m="1" x="1051"/>
        <item m="1" x="1711"/>
        <item m="1" x="678"/>
        <item m="1" x="1049"/>
        <item m="1" x="191"/>
        <item m="1" x="169"/>
        <item m="1" x="1409"/>
        <item m="1" x="1344"/>
        <item m="1" x="617"/>
        <item m="1" x="1250"/>
        <item m="1" x="586"/>
        <item m="1" x="754"/>
        <item m="1" x="1057"/>
        <item m="1" x="1373"/>
        <item m="1" x="1143"/>
        <item m="1" x="146"/>
        <item m="1" x="1103"/>
        <item m="1" x="108"/>
        <item m="1" x="1071"/>
        <item m="1" x="75"/>
        <item m="1" x="1029"/>
        <item m="1" x="270"/>
        <item m="1" x="105"/>
        <item x="1"/>
        <item m="1" x="139"/>
        <item x="8"/>
        <item x="13"/>
        <item x="14"/>
        <item x="15"/>
        <item x="28"/>
        <item x="16"/>
        <item x="17"/>
        <item x="19"/>
        <item x="21"/>
        <item x="22"/>
        <item m="1" x="186"/>
        <item x="27"/>
        <item m="1" x="144"/>
        <item m="1" x="1685"/>
        <item m="1" x="776"/>
        <item m="1" x="1787"/>
        <item m="1" x="1226"/>
        <item m="1" x="1102"/>
        <item m="1" x="259"/>
        <item m="1" x="74"/>
        <item m="1" x="1027"/>
        <item m="1" x="813"/>
        <item x="7"/>
        <item m="1" x="1068"/>
        <item m="1" x="1287"/>
        <item m="1" x="170"/>
        <item m="1" x="303"/>
        <item m="1" x="1308"/>
        <item m="1" x="1498"/>
        <item m="1" x="1658"/>
        <item m="1" x="601"/>
        <item m="1" x="1137"/>
        <item m="1" x="1377"/>
        <item m="1" x="241"/>
        <item m="1" x="820"/>
        <item m="1" x="41"/>
        <item m="1" x="216"/>
        <item m="1" x="1202"/>
        <item m="1" x="1023"/>
        <item m="1" x="349"/>
        <item m="1" x="1281"/>
        <item m="1" x="1210"/>
        <item m="1" x="1245"/>
        <item m="1" x="263"/>
        <item m="1" x="1277"/>
        <item m="1" x="342"/>
        <item m="1" x="1060"/>
        <item x="9"/>
        <item x="10"/>
        <item m="1" x="924"/>
        <item m="1" x="649"/>
        <item m="1" x="959"/>
        <item m="1" x="567"/>
        <item m="1" x="132"/>
        <item m="1" x="553"/>
        <item m="1" x="297"/>
        <item m="1" x="1429"/>
        <item m="1" x="221"/>
        <item m="1" x="1611"/>
        <item m="1" x="722"/>
        <item m="1" x="1633"/>
        <item m="1" x="747"/>
        <item m="1" x="1447"/>
        <item m="1" x="992"/>
        <item x="2"/>
        <item x="4"/>
        <item x="18"/>
        <item m="1" x="1529"/>
        <item m="1" x="1828"/>
        <item m="1" x="160"/>
        <item m="1" x="1041"/>
        <item m="1" x="274"/>
        <item m="1" x="135"/>
        <item m="1" x="333"/>
        <item m="1" x="1270"/>
        <item m="1" x="291"/>
        <item m="1" x="1235"/>
        <item m="1" x="253"/>
        <item m="1" x="1199"/>
        <item m="1" x="212"/>
        <item m="1" x="1165"/>
        <item m="1" x="175"/>
        <item m="1" x="1128"/>
        <item m="1" x="367"/>
        <item m="1" x="1297"/>
        <item m="1" x="328"/>
        <item m="1" x="1266"/>
        <item m="1" x="1231"/>
        <item m="1" x="249"/>
        <item m="1" x="1630"/>
        <item m="1" x="718"/>
        <item m="1" x="1759"/>
        <item m="1" x="866"/>
        <item m="1" x="1739"/>
        <item m="1" x="840"/>
        <item m="1" x="1713"/>
        <item m="1" x="810"/>
        <item m="1" x="1681"/>
        <item m="1" x="771"/>
        <item m="1" x="1652"/>
        <item m="1" x="741"/>
        <item m="1" x="1774"/>
        <item m="1" x="888"/>
        <item m="1" x="1195"/>
        <item m="1" x="1502"/>
        <item m="1" x="257"/>
        <item m="1" x="1757"/>
        <item m="1" x="1174"/>
        <item m="1" x="185"/>
        <item m="1" x="864"/>
        <item m="1" x="1161"/>
        <item m="1" x="889"/>
        <item m="1" x="1737"/>
        <item x="11"/>
        <item m="1" x="1205"/>
        <item m="1" x="1482"/>
        <item m="1" x="885"/>
        <item m="1" x="968"/>
        <item m="1" x="1162"/>
        <item m="1" x="1318"/>
        <item m="1" x="1263"/>
        <item x="3"/>
        <item x="24"/>
        <item x="29"/>
        <item x="30"/>
        <item x="31"/>
        <item x="3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axis="axisRow" compact="0" outline="0" showAll="0" defaultSubtotal="0">
      <items count="2657">
        <item m="1" x="1091"/>
        <item m="1" x="1329"/>
        <item x="64"/>
        <item m="1" x="2068"/>
        <item x="66"/>
        <item x="36"/>
        <item x="34"/>
        <item m="1" x="2240"/>
        <item m="1" x="2544"/>
        <item m="1" x="1987"/>
        <item x="32"/>
        <item m="1" x="1956"/>
        <item m="1" x="1299"/>
        <item x="49"/>
        <item x="56"/>
        <item x="51"/>
        <item m="1" x="1520"/>
        <item m="1" x="694"/>
        <item m="1" x="437"/>
        <item x="63"/>
        <item m="1" x="573"/>
        <item m="1" x="1401"/>
        <item m="1" x="1720"/>
        <item x="23"/>
        <item m="1" x="1702"/>
        <item m="1" x="2001"/>
        <item x="60"/>
        <item m="1" x="1076"/>
        <item m="1" x="2608"/>
        <item m="1" x="1368"/>
        <item m="1" x="2433"/>
        <item x="35"/>
        <item x="42"/>
        <item m="1" x="2356"/>
        <item m="1" x="663"/>
        <item m="1" x="1693"/>
        <item m="1" x="2438"/>
        <item m="1" x="446"/>
        <item x="38"/>
        <item m="1" x="2186"/>
        <item m="1" x="1930"/>
        <item x="48"/>
        <item m="1" x="2056"/>
        <item x="8"/>
        <item m="1" x="2059"/>
        <item m="1" x="2362"/>
        <item x="21"/>
        <item m="1" x="786"/>
        <item m="1" x="2043"/>
        <item m="1" x="2562"/>
        <item m="1" x="1931"/>
        <item m="1" x="357"/>
        <item m="1" x="475"/>
        <item x="22"/>
        <item m="1" x="2019"/>
        <item m="1" x="348"/>
        <item m="1" x="649"/>
        <item m="1" x="1278"/>
        <item m="1" x="574"/>
        <item m="1" x="889"/>
        <item m="1" x="1070"/>
        <item m="1" x="1205"/>
        <item m="1" x="1885"/>
        <item m="1" x="2161"/>
        <item m="1" x="1682"/>
        <item m="1" x="347"/>
        <item m="1" x="188"/>
        <item m="1" x="1269"/>
        <item m="1" x="2238"/>
        <item m="1" x="2250"/>
        <item m="1" x="1719"/>
        <item m="1" x="908"/>
        <item m="1" x="2424"/>
        <item m="1" x="795"/>
        <item m="1" x="1627"/>
        <item m="1" x="1802"/>
        <item m="1" x="1711"/>
        <item m="1" x="325"/>
        <item m="1" x="2465"/>
        <item m="1" x="2288"/>
        <item m="1" x="1542"/>
        <item m="1" x="525"/>
        <item m="1" x="794"/>
        <item m="1" x="560"/>
        <item m="1" x="1712"/>
        <item m="1" x="2314"/>
        <item m="1" x="1164"/>
        <item m="1" x="2174"/>
        <item m="1" x="1406"/>
        <item m="1" x="1014"/>
        <item m="1" x="1175"/>
        <item m="1" x="612"/>
        <item m="1" x="2469"/>
        <item m="1" x="2057"/>
        <item m="1" x="1024"/>
        <item m="1" x="2419"/>
        <item m="1" x="2210"/>
        <item m="1" x="435"/>
        <item m="1" x="919"/>
        <item m="1" x="1381"/>
        <item m="1" x="127"/>
        <item m="1" x="1953"/>
        <item m="1" x="1830"/>
        <item m="1" x="662"/>
        <item m="1" x="890"/>
        <item m="1" x="2371"/>
        <item m="1" x="2481"/>
        <item m="1" x="1053"/>
        <item m="1" x="2493"/>
        <item m="1" x="159"/>
        <item m="1" x="1369"/>
        <item m="1" x="1912"/>
        <item m="1" x="1396"/>
        <item x="54"/>
        <item m="1" x="433"/>
        <item m="1" x="2154"/>
        <item m="1" x="2599"/>
        <item m="1" x="1507"/>
        <item m="1" x="1117"/>
        <item m="1" x="902"/>
        <item x="79"/>
        <item x="4"/>
        <item m="1" x="1563"/>
        <item m="1" x="2478"/>
        <item m="1" x="1906"/>
        <item m="1" x="297"/>
        <item x="11"/>
        <item m="1" x="1717"/>
        <item m="1" x="1600"/>
        <item m="1" x="1946"/>
        <item m="1" x="2613"/>
        <item m="1" x="1566"/>
        <item m="1" x="1239"/>
        <item m="1" x="2006"/>
        <item m="1" x="1033"/>
        <item m="1" x="1840"/>
        <item x="37"/>
        <item m="1" x="1480"/>
        <item m="1" x="1051"/>
        <item m="1" x="1137"/>
        <item m="1" x="1128"/>
        <item m="1" x="1559"/>
        <item m="1" x="294"/>
        <item m="1" x="331"/>
        <item m="1" x="97"/>
        <item m="1" x="338"/>
        <item m="1" x="175"/>
        <item m="1" x="2276"/>
        <item m="1" x="645"/>
        <item m="1" x="1308"/>
        <item m="1" x="169"/>
        <item m="1" x="2592"/>
        <item m="1" x="2411"/>
        <item m="1" x="669"/>
        <item m="1" x="1590"/>
        <item m="1" x="431"/>
        <item m="1" x="1335"/>
        <item m="1" x="899"/>
        <item m="1" x="1432"/>
        <item m="1" x="1375"/>
        <item m="1" x="89"/>
        <item m="1" x="2560"/>
        <item m="1" x="1733"/>
        <item m="1" x="485"/>
        <item m="1" x="2381"/>
        <item m="1" x="1522"/>
        <item m="1" x="757"/>
        <item m="1" x="315"/>
        <item m="1" x="2479"/>
        <item m="1" x="1538"/>
        <item m="1" x="1926"/>
        <item m="1" x="1223"/>
        <item m="1" x="449"/>
        <item m="1" x="2122"/>
        <item m="1" x="2351"/>
        <item m="1" x="317"/>
        <item m="1" x="2112"/>
        <item m="1" x="1124"/>
        <item m="1" x="1495"/>
        <item m="1" x="2120"/>
        <item m="1" x="1624"/>
        <item m="1" x="1290"/>
        <item m="1" x="1611"/>
        <item m="1" x="599"/>
        <item m="1" x="2224"/>
        <item m="1" x="2555"/>
        <item m="1" x="412"/>
        <item m="1" x="488"/>
        <item m="1" x="791"/>
        <item m="1" x="2489"/>
        <item m="1" x="332"/>
        <item m="1" x="410"/>
        <item m="1" x="664"/>
        <item m="1" x="1736"/>
        <item m="1" x="1677"/>
        <item m="1" x="1212"/>
        <item m="1" x="2310"/>
        <item m="1" x="360"/>
        <item m="1" x="630"/>
        <item m="1" x="482"/>
        <item m="1" x="2145"/>
        <item m="1" x="785"/>
        <item m="1" x="1728"/>
        <item m="1" x="748"/>
        <item m="1" x="2595"/>
        <item m="1" x="474"/>
        <item m="1" x="2292"/>
        <item m="1" x="203"/>
        <item m="1" x="832"/>
        <item m="1" x="784"/>
        <item m="1" x="1193"/>
        <item m="1" x="2046"/>
        <item m="1" x="570"/>
        <item m="1" x="458"/>
        <item m="1" x="359"/>
        <item m="1" x="85"/>
        <item m="1" x="850"/>
        <item m="1" x="1276"/>
        <item m="1" x="214"/>
        <item m="1" x="393"/>
        <item m="1" x="920"/>
        <item m="1" x="1988"/>
        <item m="1" x="572"/>
        <item m="1" x="556"/>
        <item m="1" x="1441"/>
        <item m="1" x="1466"/>
        <item m="1" x="1469"/>
        <item m="1" x="1656"/>
        <item m="1" x="305"/>
        <item m="1" x="2641"/>
        <item m="1" x="1015"/>
        <item m="1" x="550"/>
        <item m="1" x="2206"/>
        <item m="1" x="923"/>
        <item m="1" x="2492"/>
        <item m="1" x="1185"/>
        <item m="1" x="2170"/>
        <item m="1" x="1937"/>
        <item m="1" x="686"/>
        <item m="1" x="719"/>
        <item m="1" x="1378"/>
        <item m="1" x="1271"/>
        <item m="1" x="120"/>
        <item m="1" x="2445"/>
        <item m="1" x="199"/>
        <item m="1" x="1389"/>
        <item m="1" x="409"/>
        <item m="1" x="701"/>
        <item m="1" x="927"/>
        <item m="1" x="2593"/>
        <item m="1" x="2408"/>
        <item m="1" x="844"/>
        <item m="1" x="1006"/>
        <item m="1" x="917"/>
        <item m="1" x="2425"/>
        <item m="1" x="1350"/>
        <item m="1" x="2382"/>
        <item m="1" x="823"/>
        <item m="1" x="831"/>
        <item m="1" x="1379"/>
        <item m="1" x="591"/>
        <item m="1" x="559"/>
        <item m="1" x="1203"/>
        <item m="1" x="1536"/>
        <item m="1" x="1661"/>
        <item m="1" x="1261"/>
        <item m="1" x="2342"/>
        <item m="1" x="2515"/>
        <item m="1" x="2519"/>
        <item m="1" x="1872"/>
        <item m="1" x="1039"/>
        <item m="1" x="1530"/>
        <item m="1" x="811"/>
        <item m="1" x="2639"/>
        <item m="1" x="1046"/>
        <item m="1" x="1476"/>
        <item m="1" x="713"/>
        <item m="1" x="90"/>
        <item m="1" x="2410"/>
        <item m="1" x="705"/>
        <item m="1" x="1121"/>
        <item m="1" x="2486"/>
        <item m="1" x="1177"/>
        <item x="39"/>
        <item m="1" x="1778"/>
        <item m="1" x="753"/>
        <item m="1" x="1479"/>
        <item m="1" x="1793"/>
        <item m="1" x="1348"/>
        <item m="1" x="885"/>
        <item m="1" x="1086"/>
        <item x="50"/>
        <item m="1" x="2106"/>
        <item m="1" x="1211"/>
        <item m="1" x="369"/>
        <item m="1" x="802"/>
        <item m="1" x="982"/>
        <item m="1" x="521"/>
        <item m="1" x="1880"/>
        <item m="1" x="2628"/>
        <item m="1" x="424"/>
        <item m="1" x="1011"/>
        <item m="1" x="1862"/>
        <item m="1" x="1761"/>
        <item m="1" x="1959"/>
        <item m="1" x="2553"/>
        <item m="1" x="211"/>
        <item m="1" x="2307"/>
        <item m="1" x="1082"/>
        <item m="1" x="1606"/>
        <item m="1" x="2470"/>
        <item m="1" x="1063"/>
        <item m="1" x="1866"/>
        <item m="1" x="937"/>
        <item m="1" x="1436"/>
        <item m="1" x="1964"/>
        <item m="1" x="147"/>
        <item m="1" x="430"/>
        <item m="1" x="2018"/>
        <item m="1" x="252"/>
        <item m="1" x="328"/>
        <item m="1" x="2037"/>
        <item m="1" x="1341"/>
        <item m="1" x="254"/>
        <item m="1" x="846"/>
        <item m="1" x="1038"/>
        <item m="1" x="2207"/>
        <item m="1" x="483"/>
        <item m="1" x="1371"/>
        <item m="1" x="1311"/>
        <item m="1" x="2459"/>
        <item m="1" x="2458"/>
        <item m="1" x="1300"/>
        <item m="1" x="620"/>
        <item m="1" x="442"/>
        <item m="1" x="1279"/>
        <item m="1" x="1745"/>
        <item m="1" x="1955"/>
        <item m="1" x="1424"/>
        <item m="1" x="1548"/>
        <item m="1" x="427"/>
        <item m="1" x="2309"/>
        <item m="1" x="2526"/>
        <item m="1" x="1357"/>
        <item m="1" x="2203"/>
        <item m="1" x="83"/>
        <item m="1" x="1126"/>
        <item m="1" x="1523"/>
        <item m="1" x="2581"/>
        <item m="1" x="1973"/>
        <item m="1" x="1671"/>
        <item m="1" x="1753"/>
        <item m="1" x="600"/>
        <item m="1" x="2151"/>
        <item m="1" x="1982"/>
        <item m="1" x="739"/>
        <item m="1" x="1529"/>
        <item m="1" x="1722"/>
        <item m="1" x="837"/>
        <item m="1" x="892"/>
        <item m="1" x="2358"/>
        <item m="1" x="958"/>
        <item x="33"/>
        <item m="1" x="2369"/>
        <item m="1" x="1224"/>
        <item m="1" x="1179"/>
        <item m="1" x="820"/>
        <item m="1" x="387"/>
        <item m="1" x="303"/>
        <item m="1" x="2569"/>
        <item m="1" x="2173"/>
        <item m="1" x="1426"/>
        <item m="1" x="467"/>
        <item m="1" x="2609"/>
        <item m="1" x="1155"/>
        <item m="1" x="1134"/>
        <item m="1" x="759"/>
        <item m="1" x="1509"/>
        <item m="1" x="1779"/>
        <item m="1" x="1457"/>
        <item m="1" x="271"/>
        <item m="1" x="987"/>
        <item m="1" x="671"/>
        <item m="1" x="1433"/>
        <item m="1" x="1352"/>
        <item m="1" x="209"/>
        <item m="1" x="2582"/>
        <item m="1" x="2399"/>
        <item m="1" x="2536"/>
        <item m="1" x="2549"/>
        <item m="1" x="1782"/>
        <item m="1" x="1445"/>
        <item m="1" x="368"/>
        <item m="1" x="780"/>
        <item m="1" x="2437"/>
        <item m="1" x="1264"/>
        <item m="1" x="302"/>
        <item m="1" x="1237"/>
        <item m="1" x="1961"/>
        <item m="1" x="508"/>
        <item m="1" x="1518"/>
        <item m="1" x="1614"/>
        <item m="1" x="1192"/>
        <item m="1" x="967"/>
        <item m="1" x="590"/>
        <item m="1" x="1456"/>
        <item m="1" x="1766"/>
        <item m="1" x="1991"/>
        <item m="1" x="1238"/>
        <item m="1" x="1444"/>
        <item m="1" x="2525"/>
        <item m="1" x="382"/>
        <item m="1" x="979"/>
        <item m="1" x="948"/>
        <item m="1" x="809"/>
        <item m="1" x="284"/>
        <item m="1" x="659"/>
        <item m="1" x="2290"/>
        <item m="1" x="970"/>
        <item m="1" x="462"/>
        <item m="1" x="229"/>
        <item m="1" x="1975"/>
        <item m="1" x="1354"/>
        <item m="1" x="1282"/>
        <item m="1" x="704"/>
        <item m="1" x="2143"/>
        <item m="1" x="460"/>
        <item m="1" x="1668"/>
        <item m="1" x="441"/>
        <item m="1" x="397"/>
        <item m="1" x="2007"/>
        <item m="1" x="601"/>
        <item m="1" x="1770"/>
        <item m="1" x="2047"/>
        <item m="1" x="2160"/>
        <item m="1" x="1017"/>
        <item m="1" x="1811"/>
        <item m="1" x="534"/>
        <item x="13"/>
        <item m="1" x="1512"/>
        <item m="1" x="1477"/>
        <item x="47"/>
        <item m="1" x="426"/>
        <item m="1" x="2436"/>
        <item m="1" x="405"/>
        <item m="1" x="718"/>
        <item m="1" x="736"/>
        <item m="1" x="459"/>
        <item m="1" x="2380"/>
        <item m="1" x="2053"/>
        <item m="1" x="2142"/>
        <item m="1" x="2282"/>
        <item m="1" x="1326"/>
        <item m="1" x="2075"/>
        <item m="1" x="547"/>
        <item m="1" x="2413"/>
        <item m="1" x="2364"/>
        <item m="1" x="793"/>
        <item m="1" x="1374"/>
        <item m="1" x="1119"/>
        <item m="1" x="1251"/>
        <item m="1" x="2412"/>
        <item m="1" x="801"/>
        <item m="1" x="926"/>
        <item m="1" x="1052"/>
        <item m="1" x="2215"/>
        <item m="1" x="2476"/>
        <item m="1" x="528"/>
        <item m="1" x="2397"/>
        <item m="1" x="542"/>
        <item m="1" x="499"/>
        <item m="1" x="1104"/>
        <item m="1" x="1775"/>
        <item m="1" x="1739"/>
        <item m="1" x="1767"/>
        <item m="1" x="2194"/>
        <item m="1" x="2513"/>
        <item m="1" x="921"/>
        <item m="1" x="722"/>
        <item m="1" x="1762"/>
        <item m="1" x="1510"/>
        <item m="1" x="102"/>
        <item m="1" x="673"/>
        <item m="1" x="546"/>
        <item m="1" x="906"/>
        <item m="1" x="1118"/>
        <item m="1" x="652"/>
        <item m="1" x="2117"/>
        <item m="1" x="728"/>
        <item m="1" x="717"/>
        <item m="1" x="690"/>
        <item m="1" x="2394"/>
        <item m="1" x="2263"/>
        <item m="1" x="224"/>
        <item m="1" x="563"/>
        <item m="1" x="1868"/>
        <item m="1" x="2329"/>
        <item m="1" x="640"/>
        <item m="1" x="2221"/>
        <item m="1" x="2631"/>
        <item m="1" x="1812"/>
        <item m="1" x="2450"/>
        <item m="1" x="2373"/>
        <item m="1" x="122"/>
        <item m="1" x="2328"/>
        <item m="1" x="768"/>
        <item m="1" x="2233"/>
        <item m="1" x="960"/>
        <item m="1" x="1615"/>
        <item m="1" x="769"/>
        <item m="1" x="1392"/>
        <item m="1" x="1234"/>
        <item m="1" x="2256"/>
        <item m="1" x="422"/>
        <item m="1" x="2551"/>
        <item m="1" x="767"/>
        <item m="1" x="241"/>
        <item m="1" x="260"/>
        <item m="1" x="1402"/>
        <item m="1" x="2392"/>
        <item m="1" x="1012"/>
        <item m="1" x="1339"/>
        <item m="1" x="152"/>
        <item m="1" x="2455"/>
        <item m="1" x="298"/>
        <item m="1" x="1883"/>
        <item m="1" x="1654"/>
        <item m="1" x="2118"/>
        <item m="1" x="766"/>
        <item m="1" x="1904"/>
        <item m="1" x="110"/>
        <item m="1" x="2653"/>
        <item m="1" x="1202"/>
        <item m="1" x="733"/>
        <item m="1" x="2185"/>
        <item m="1" x="912"/>
        <item m="1" x="1567"/>
        <item m="1" x="2598"/>
        <item m="1" x="343"/>
        <item m="1" x="1755"/>
        <item m="1" x="2649"/>
        <item m="1" x="567"/>
        <item m="1" x="946"/>
        <item m="1" x="349"/>
        <item m="1" x="1451"/>
        <item m="1" x="1758"/>
        <item m="1" x="1434"/>
        <item m="1" x="1199"/>
        <item m="1" x="1952"/>
        <item m="1" x="581"/>
        <item m="1" x="1140"/>
        <item m="1" x="1810"/>
        <item m="1" x="232"/>
        <item m="1" x="2146"/>
        <item m="1" x="2168"/>
        <item m="1" x="374"/>
        <item m="1" x="1879"/>
        <item m="1" x="1040"/>
        <item m="1" x="484"/>
        <item m="1" x="193"/>
        <item m="1" x="217"/>
        <item m="1" x="2198"/>
        <item m="1" x="2401"/>
        <item m="1" x="2398"/>
        <item m="1" x="771"/>
        <item m="1" x="1882"/>
        <item m="1" x="105"/>
        <item m="1" x="580"/>
        <item m="1" x="1437"/>
        <item m="1" x="2391"/>
        <item m="1" x="2013"/>
        <item m="1" x="316"/>
        <item m="1" x="1122"/>
        <item m="1" x="656"/>
        <item m="1" x="622"/>
        <item m="1" x="755"/>
        <item m="1" x="2400"/>
        <item m="1" x="470"/>
        <item m="1" x="184"/>
        <item m="1" x="2272"/>
        <item m="1" x="644"/>
        <item m="1" x="2537"/>
        <item m="1" x="1804"/>
        <item m="1" x="726"/>
        <item m="1" x="568"/>
        <item m="1" x="1905"/>
        <item m="1" x="1740"/>
        <item m="1" x="2651"/>
        <item m="1" x="738"/>
        <item m="1" x="1284"/>
        <item m="1" x="1967"/>
        <item m="1" x="1514"/>
        <item m="1" x="383"/>
        <item m="1" x="334"/>
        <item m="1" x="1894"/>
        <item m="1" x="2546"/>
        <item m="1" x="978"/>
        <item m="1" x="2237"/>
        <item m="1" x="1834"/>
        <item m="1" x="642"/>
        <item m="1" x="142"/>
        <item m="1" x="400"/>
        <item m="1" x="1981"/>
        <item m="1" x="1985"/>
        <item m="1" x="1718"/>
        <item m="1" x="2004"/>
        <item m="1" x="2402"/>
        <item m="1" x="2417"/>
        <item m="1" x="1142"/>
        <item m="1" x="227"/>
        <item m="1" x="2488"/>
        <item m="1" x="413"/>
        <item m="1" x="526"/>
        <item m="1" x="842"/>
        <item m="1" x="308"/>
        <item m="1" x="1067"/>
        <item m="1" x="318"/>
        <item m="1" x="1699"/>
        <item m="1" x="2457"/>
        <item m="1" x="381"/>
        <item m="1" x="1678"/>
        <item m="1" x="404"/>
        <item m="1" x="2230"/>
        <item m="1" x="2647"/>
        <item m="1" x="763"/>
        <item m="1" x="2561"/>
        <item m="1" x="128"/>
        <item m="1" x="727"/>
        <item m="1" x="1596"/>
        <item m="1" x="2535"/>
        <item m="1" x="2497"/>
        <item m="1" x="1663"/>
        <item m="1" x="134"/>
        <item m="1" x="2015"/>
        <item m="1" x="219"/>
        <item m="1" x="507"/>
        <item m="1" x="363"/>
        <item m="1" x="1018"/>
        <item m="1" x="2406"/>
        <item m="1" x="1821"/>
        <item m="1" x="2249"/>
        <item m="1" x="2005"/>
        <item m="1" x="1792"/>
        <item m="1" x="1537"/>
        <item m="1" x="2096"/>
        <item m="1" x="1989"/>
        <item m="1" x="1744"/>
        <item m="1" x="420"/>
        <item m="1" x="191"/>
        <item m="1" x="1376"/>
        <item m="1" x="1366"/>
        <item m="1" x="111"/>
        <item m="1" x="984"/>
        <item m="1" x="977"/>
        <item m="1" x="2172"/>
        <item m="1" x="1706"/>
        <item m="1" x="1561"/>
        <item m="1" x="2333"/>
        <item m="1" x="235"/>
        <item m="1" x="1637"/>
        <item m="1" x="2242"/>
        <item m="1" x="2430"/>
        <item m="1" x="2352"/>
        <item m="1" x="634"/>
        <item m="1" x="1047"/>
        <item m="1" x="1593"/>
        <item m="1" x="668"/>
        <item m="1" x="2275"/>
        <item m="1" x="2259"/>
        <item m="1" x="1715"/>
        <item m="1" x="2507"/>
        <item m="1" x="618"/>
        <item m="1" x="263"/>
        <item m="1" x="1045"/>
        <item m="1" x="1178"/>
        <item m="1" x="1527"/>
        <item m="1" x="693"/>
        <item m="1" x="512"/>
        <item m="1" x="1865"/>
        <item m="1" x="1474"/>
        <item m="1" x="2114"/>
        <item m="1" x="2339"/>
        <item m="1" x="638"/>
        <item m="1" x="1591"/>
        <item m="1" x="237"/>
        <item m="1" x="758"/>
        <item m="1" x="2094"/>
        <item m="1" x="685"/>
        <item m="1" x="372"/>
        <item m="1" x="1573"/>
        <item m="1" x="1295"/>
        <item m="1" x="2171"/>
        <item m="1" x="324"/>
        <item m="1" x="1146"/>
        <item m="1" x="2131"/>
        <item m="1" x="2375"/>
        <item m="1" x="2343"/>
        <item m="1" x="1291"/>
        <item m="1" x="1807"/>
        <item m="1" x="2423"/>
        <item m="1" x="2022"/>
        <item m="1" x="1808"/>
        <item m="1" x="2627"/>
        <item m="1" x="2036"/>
        <item m="1" x="1420"/>
        <item m="1" x="121"/>
        <item m="1" x="2388"/>
        <item m="1" x="1081"/>
        <item m="1" x="1965"/>
        <item m="1" x="1851"/>
        <item m="1" x="146"/>
        <item m="1" x="1306"/>
        <item m="1" x="995"/>
        <item m="1" x="1819"/>
        <item m="1" x="1085"/>
        <item m="1" x="1215"/>
        <item m="1" x="314"/>
        <item m="1" x="2213"/>
        <item m="1" x="144"/>
        <item m="1" x="1640"/>
        <item m="1" x="380"/>
        <item m="1" x="99"/>
        <item m="1" x="231"/>
        <item m="1" x="81"/>
        <item m="1" x="1659"/>
        <item m="1" x="2494"/>
        <item m="1" x="208"/>
        <item m="1" x="1935"/>
        <item m="1" x="2123"/>
        <item m="1" x="709"/>
        <item m="1" x="2460"/>
        <item m="1" x="1074"/>
        <item m="1" x="861"/>
        <item m="1" x="893"/>
        <item m="1" x="300"/>
        <item m="1" x="1918"/>
        <item m="1" x="1404"/>
        <item m="1" x="1888"/>
        <item m="1" x="2214"/>
        <item m="1" x="1944"/>
        <item m="1" x="1854"/>
        <item m="1" x="2197"/>
        <item m="1" x="2490"/>
        <item m="1" x="1083"/>
        <item m="1" x="821"/>
        <item m="1" x="608"/>
        <item m="1" x="307"/>
        <item m="1" x="1077"/>
        <item m="1" x="1688"/>
        <item m="1" x="478"/>
        <item m="1" x="532"/>
        <item m="1" x="1003"/>
        <item m="1" x="1169"/>
        <item m="1" x="295"/>
        <item m="1" x="1116"/>
        <item m="1" x="959"/>
        <item m="1" x="1788"/>
        <item m="1" x="1795"/>
        <item m="1" x="945"/>
        <item m="1" x="1020"/>
        <item m="1" x="1867"/>
        <item m="1" x="1892"/>
        <item m="1" x="192"/>
        <item m="1" x="1586"/>
        <item m="1" x="1612"/>
        <item m="1" x="549"/>
        <item m="1" x="1435"/>
        <item m="1" x="804"/>
        <item m="1" x="1503"/>
        <item m="1" x="1095"/>
        <item m="1" x="1194"/>
        <item m="1" x="2472"/>
        <item m="1" x="1347"/>
        <item m="1" x="330"/>
        <item m="1" x="329"/>
        <item m="1" x="1497"/>
        <item m="1" x="2643"/>
        <item m="1" x="1806"/>
        <item m="1" x="776"/>
        <item m="1" x="592"/>
        <item m="1" x="2032"/>
        <item m="1" x="1997"/>
        <item m="1" x="479"/>
        <item m="1" x="1255"/>
        <item m="1" x="125"/>
        <item m="1" x="976"/>
        <item m="1" x="96"/>
        <item m="1" x="985"/>
        <item m="1" x="2209"/>
        <item m="1" x="2091"/>
        <item m="1" x="1044"/>
        <item m="1" x="1145"/>
        <item m="1" x="1620"/>
        <item m="1" x="724"/>
        <item m="1" x="813"/>
        <item m="1" x="2505"/>
        <item m="1" x="825"/>
        <item m="1" x="407"/>
        <item m="1" x="2463"/>
        <item m="1" x="115"/>
        <item m="1" x="901"/>
        <item m="1" x="168"/>
        <item m="1" x="2320"/>
        <item m="1" x="1535"/>
        <item m="1" x="1001"/>
        <item m="1" x="196"/>
        <item m="1" x="2568"/>
        <item m="1" x="2527"/>
        <item m="1" x="1292"/>
        <item m="1" x="2189"/>
        <item m="1" x="2390"/>
        <item m="1" x="389"/>
        <item m="1" x="657"/>
        <item m="1" x="1528"/>
        <item m="1" x="2374"/>
        <item m="1" x="2268"/>
        <item m="1" x="2532"/>
        <item m="1" x="558"/>
        <item m="1" x="854"/>
        <item m="1" x="2119"/>
        <item m="1" x="2193"/>
        <item m="1" x="1144"/>
        <item m="1" x="2414"/>
        <item m="1" x="2298"/>
        <item m="1" x="860"/>
        <item m="1" x="2067"/>
        <item m="1" x="2103"/>
        <item m="1" x="98"/>
        <item m="1" x="132"/>
        <item m="1" x="2218"/>
        <item m="1" x="1568"/>
        <item m="1" x="938"/>
        <item m="1" x="354"/>
        <item m="1" x="250"/>
        <item m="1" x="2223"/>
        <item m="1" x="2243"/>
        <item m="1" x="1472"/>
        <item m="1" x="1508"/>
        <item m="1" x="1863"/>
        <item m="1" x="1129"/>
        <item m="1" x="1870"/>
        <item m="1" x="1546"/>
        <item m="1" x="1328"/>
        <item m="1" x="2301"/>
        <item m="1" x="997"/>
        <item m="1" x="1050"/>
        <item m="1" x="1814"/>
        <item m="1" x="1602"/>
        <item m="1" x="2195"/>
        <item m="1" x="172"/>
        <item m="1" x="451"/>
        <item m="1" x="697"/>
        <item m="1" x="1632"/>
        <item m="1" x="710"/>
        <item m="1" x="2220"/>
        <item m="1" x="2073"/>
        <item m="1" x="1800"/>
        <item m="1" x="2633"/>
        <item m="1" x="712"/>
        <item m="1" x="1398"/>
        <item m="1" x="628"/>
        <item m="1" x="306"/>
        <item m="1" x="497"/>
        <item m="1" x="1403"/>
        <item m="1" x="646"/>
        <item m="1" x="163"/>
        <item m="1" x="2393"/>
        <item m="1" x="423"/>
        <item m="1" x="515"/>
        <item m="1" x="1288"/>
        <item m="1" x="1281"/>
        <item m="1" x="1022"/>
        <item m="1" x="428"/>
        <item m="1" x="2431"/>
        <item m="1" x="1057"/>
        <item m="1" x="261"/>
        <item m="1" x="2573"/>
        <item m="1" x="2579"/>
        <item m="1" x="162"/>
        <item m="1" x="277"/>
        <item m="1" x="1587"/>
        <item m="1" x="2379"/>
        <item m="1" x="996"/>
        <item m="1" x="1115"/>
        <item m="1" x="501"/>
        <item m="1" x="1605"/>
        <item m="1" x="2508"/>
        <item m="1" x="689"/>
        <item m="1" x="1465"/>
        <item m="1" x="375"/>
        <item m="1" x="2349"/>
        <item m="1" x="2335"/>
        <item m="1" x="1235"/>
        <item m="1" x="2303"/>
        <item m="1" x="1832"/>
        <item m="1" x="1181"/>
        <item m="1" x="1583"/>
        <item m="1" x="2158"/>
        <item m="1" x="457"/>
        <item m="1" x="566"/>
        <item m="1" x="1781"/>
        <item m="1" x="964"/>
        <item m="1" x="1150"/>
        <item m="1" x="1226"/>
        <item m="1" x="845"/>
        <item m="1" x="1488"/>
        <item m="1" x="621"/>
        <item m="1" x="1092"/>
        <item m="1" x="554"/>
        <item m="1" x="2624"/>
        <item m="1" x="1545"/>
        <item m="1" x="1130"/>
        <item m="1" x="1058"/>
        <item m="1" x="1797"/>
        <item m="1" x="1610"/>
        <item m="1" x="838"/>
        <item m="1" x="598"/>
        <item m="1" x="523"/>
        <item m="1" x="1232"/>
        <item m="1" x="940"/>
        <item m="1" x="1598"/>
        <item m="1" x="972"/>
        <item m="1" x="2149"/>
        <item m="1" x="603"/>
        <item m="1" x="2051"/>
        <item m="1" x="882"/>
        <item m="1" x="991"/>
        <item m="1" x="167"/>
        <item m="1" x="1794"/>
        <item m="1" x="1032"/>
        <item m="1" x="2295"/>
        <item m="1" x="2177"/>
        <item m="1" x="113"/>
        <item m="1" x="1703"/>
        <item m="1" x="1273"/>
        <item m="1" x="403"/>
        <item m="1" x="1737"/>
        <item m="1" x="320"/>
        <item m="1" x="1415"/>
        <item m="1" x="1886"/>
        <item m="1" x="1664"/>
        <item m="1" x="1458"/>
        <item m="1" x="807"/>
        <item m="1" x="1071"/>
        <item m="1" x="1296"/>
        <item m="1" x="1455"/>
        <item m="1" x="1572"/>
        <item m="1" x="198"/>
        <item m="1" x="2456"/>
        <item m="1" x="233"/>
        <item m="1" x="2605"/>
        <item m="1" x="2166"/>
        <item m="1" x="1504"/>
        <item m="1" x="2299"/>
        <item m="1" x="1447"/>
        <item m="1" x="2355"/>
        <item m="1" x="2071"/>
        <item m="1" x="1201"/>
        <item m="1" x="1021"/>
        <item m="1" x="1641"/>
        <item m="1" x="1773"/>
        <item m="1" x="871"/>
        <item m="1" x="2227"/>
        <item m="1" x="1803"/>
        <item m="1" x="764"/>
        <item m="1" x="605"/>
        <item m="1" x="2556"/>
        <item m="1" x="1087"/>
        <item m="1" x="257"/>
        <item m="1" x="1564"/>
        <item m="1" x="502"/>
        <item m="1" x="2025"/>
        <item m="1" x="157"/>
        <item m="1" x="164"/>
        <item m="1" x="754"/>
        <item m="1" x="1667"/>
        <item m="1" x="666"/>
        <item m="1" x="447"/>
        <item m="1" x="957"/>
        <item m="1" x="1648"/>
        <item m="1" x="1197"/>
        <item m="1" x="510"/>
        <item m="1" x="1996"/>
        <item m="1" x="961"/>
        <item m="1" x="1413"/>
        <item m="1" x="962"/>
        <item m="1" x="1540"/>
        <item m="1" x="2065"/>
        <item m="1" x="2522"/>
        <item m="1" x="1428"/>
        <item m="1" x="364"/>
        <item m="1" x="2281"/>
        <item m="1" x="1858"/>
        <item m="1" x="2543"/>
        <item m="1" x="155"/>
        <item m="1" x="2428"/>
        <item m="1" x="730"/>
        <item m="1" x="1747"/>
        <item m="1" x="133"/>
        <item m="1" x="1200"/>
        <item m="1" x="2232"/>
        <item m="1" x="82"/>
        <item m="1" x="340"/>
        <item m="1" x="1499"/>
        <item m="1" x="654"/>
        <item m="1" x="2169"/>
        <item m="1" x="2471"/>
        <item m="1" x="796"/>
        <item m="1" x="2418"/>
        <item m="1" x="339"/>
        <item m="1" x="92"/>
        <item m="1" x="688"/>
        <item m="1" x="1609"/>
        <item m="1" x="2325"/>
        <item m="1" x="1009"/>
        <item m="1" x="2441"/>
        <item m="1" x="2504"/>
        <item m="1" x="244"/>
        <item m="1" x="390"/>
        <item m="1" x="1425"/>
        <item m="1" x="1342"/>
        <item m="1" x="1588"/>
        <item m="1" x="2165"/>
        <item m="1" x="293"/>
        <item m="1" x="2101"/>
        <item m="1" x="1452"/>
        <item m="1" x="2338"/>
        <item m="1" x="2317"/>
        <item m="1" x="1645"/>
        <item m="1" x="2554"/>
        <item m="1" x="2611"/>
        <item m="1" x="1724"/>
        <item m="1" x="1842"/>
        <item m="1" x="1287"/>
        <item m="1" x="716"/>
        <item m="1" x="421"/>
        <item m="1" x="1787"/>
        <item m="1" x="301"/>
        <item m="1" x="1599"/>
        <item m="1" x="2449"/>
        <item m="1" x="1166"/>
        <item m="1" x="585"/>
        <item m="1" x="1625"/>
        <item m="1" x="183"/>
        <item m="1" x="287"/>
        <item m="1" x="1607"/>
        <item m="1" x="2461"/>
        <item m="1" x="2326"/>
        <item m="1" x="953"/>
        <item m="1" x="1969"/>
        <item m="1" x="1653"/>
        <item m="1" x="2319"/>
        <item m="1" x="2432"/>
        <item m="1" x="721"/>
        <item m="1" x="376"/>
        <item m="1" x="647"/>
        <item m="1" x="678"/>
        <item m="1" x="1351"/>
        <item m="1" x="1617"/>
        <item m="1" x="1831"/>
        <item m="1" x="707"/>
        <item m="1" x="1364"/>
        <item m="1" x="909"/>
        <item m="1" x="830"/>
        <item m="1" x="2009"/>
        <item m="1" x="1138"/>
        <item m="1" x="486"/>
        <item m="1" x="1330"/>
        <item m="1" x="2245"/>
        <item m="1" x="1305"/>
        <item m="1" x="1360"/>
        <item m="1" x="197"/>
        <item m="1" x="2387"/>
        <item m="1" x="1231"/>
        <item m="1" x="1285"/>
        <item m="1" x="1257"/>
        <item m="1" x="787"/>
        <item m="1" x="2246"/>
        <item m="1" x="1172"/>
        <item m="1" x="965"/>
        <item m="1" x="1340"/>
        <item m="1" x="366"/>
        <item m="1" x="2285"/>
        <item m="1" x="268"/>
        <item m="1" x="353"/>
        <item m="1" x="1310"/>
        <item m="1" x="1482"/>
        <item m="1" x="683"/>
        <item m="1" x="2300"/>
        <item m="1" x="2271"/>
        <item m="1" x="1127"/>
        <item m="1" x="2023"/>
        <item m="1" x="2054"/>
        <item m="1" x="1856"/>
        <item m="1" x="562"/>
        <item m="1" x="1927"/>
        <item m="1" x="1818"/>
        <item m="1" x="1361"/>
        <item m="1" x="1100"/>
        <item m="1" x="895"/>
        <item m="1" x="416"/>
        <item m="1" x="1187"/>
        <item m="1" x="135"/>
        <item m="1" x="1690"/>
        <item m="1" x="1188"/>
        <item m="1" x="1344"/>
        <item m="1" x="1919"/>
        <item m="1" x="266"/>
        <item m="1" x="672"/>
        <item m="1" x="1084"/>
        <item m="1" x="569"/>
        <item m="1" x="243"/>
        <item m="1" x="445"/>
        <item m="1" x="1709"/>
        <item m="1" x="1331"/>
        <item m="1" x="1984"/>
        <item m="1" x="1998"/>
        <item m="1" x="2655"/>
        <item m="1" x="1338"/>
        <item m="1" x="1446"/>
        <item m="1" x="520"/>
        <item m="1" x="1900"/>
        <item m="1" x="974"/>
        <item m="1" x="1686"/>
        <item m="1" x="2482"/>
        <item m="1" x="703"/>
        <item m="1" x="2346"/>
        <item m="1" x="1440"/>
        <item m="1" x="824"/>
        <item m="1" x="2656"/>
        <item m="1" x="867"/>
        <item m="1" x="2353"/>
        <item m="1" x="2473"/>
        <item m="1" x="1639"/>
        <item m="1" x="1759"/>
        <item m="1" x="1843"/>
        <item m="1" x="333"/>
        <item m="1" x="862"/>
        <item m="1" x="653"/>
        <item m="1" x="629"/>
        <item m="1" x="1314"/>
        <item m="1" x="1485"/>
        <item m="1" x="1780"/>
        <item m="1" x="2253"/>
        <item m="1" x="2384"/>
        <item m="1" x="2564"/>
        <item m="1" x="187"/>
        <item m="1" x="627"/>
        <item m="1" x="2144"/>
        <item m="1" x="265"/>
        <item m="1" x="535"/>
        <item m="1" x="2244"/>
        <item m="1" x="1783"/>
        <item m="1" x="1730"/>
        <item m="1" x="1505"/>
        <item m="1" x="1336"/>
        <item m="1" x="205"/>
        <item m="1" x="1093"/>
        <item m="1" x="2618"/>
        <item m="1" x="2650"/>
        <item m="1" x="1642"/>
        <item m="1" x="1478"/>
        <item m="1" x="1068"/>
        <item m="1" x="1218"/>
        <item m="1" x="2584"/>
        <item m="1" x="342"/>
        <item m="1" x="2336"/>
        <item m="1" x="2107"/>
        <item m="1" x="687"/>
        <item m="1" x="2321"/>
        <item m="1" x="1887"/>
        <item m="1" x="204"/>
        <item m="1" x="1978"/>
        <item m="1" x="761"/>
        <item m="1" x="2266"/>
        <item m="1" x="699"/>
        <item m="1" x="530"/>
        <item m="1" x="994"/>
        <item m="1" x="578"/>
        <item m="1" x="884"/>
        <item m="1" x="489"/>
        <item m="1" x="881"/>
        <item m="1" x="660"/>
        <item m="1" x="582"/>
        <item m="1" x="2072"/>
        <item m="1" x="1502"/>
        <item m="1" x="2367"/>
        <item m="1" x="1873"/>
        <item m="1" x="2485"/>
        <item m="1" x="840"/>
        <item m="1" x="1920"/>
        <item m="1" x="1675"/>
        <item m="1" x="691"/>
        <item m="1" x="190"/>
        <item m="1" x="2545"/>
        <item m="1" x="1322"/>
        <item m="1" x="1633"/>
        <item m="1" x="2625"/>
        <item x="14"/>
        <item m="1" x="1173"/>
        <item m="1" x="1247"/>
        <item m="1" x="2589"/>
        <item m="1" x="311"/>
        <item m="1" x="119"/>
        <item m="1" x="1334"/>
        <item m="1" x="1823"/>
        <item m="1" x="900"/>
        <item m="1" x="1608"/>
        <item m="1" x="2614"/>
        <item m="1" x="1993"/>
        <item m="1" x="171"/>
        <item m="1" x="1359"/>
        <item m="1" x="1634"/>
        <item m="1" x="455"/>
        <item m="1" x="1453"/>
        <item m="1" x="2097"/>
        <item m="1" x="1135"/>
        <item m="1" x="2184"/>
        <item m="1" x="531"/>
        <item m="1" x="2475"/>
        <item m="1" x="472"/>
        <item m="1" x="337"/>
        <item m="1" x="742"/>
        <item m="1" x="2226"/>
        <item m="1" x="1382"/>
        <item m="1" x="256"/>
        <item m="1" x="350"/>
        <item m="1" x="228"/>
        <item m="1" x="282"/>
        <item m="1" x="2011"/>
        <item m="1" x="1628"/>
        <item m="1" x="725"/>
        <item m="1" x="1333"/>
        <item m="1" x="408"/>
        <item m="1" x="1337"/>
        <item m="1" x="2045"/>
        <item m="1" x="2558"/>
        <item m="1" x="1805"/>
        <item m="1" x="2487"/>
        <item m="1" x="2136"/>
        <item m="1" x="749"/>
        <item m="1" x="1990"/>
        <item m="1" x="1217"/>
        <item m="1" x="2204"/>
        <item m="1" x="839"/>
        <item m="1" x="2077"/>
        <item m="1" x="1267"/>
        <item m="1" x="1938"/>
        <item m="1" x="594"/>
        <item m="1" x="1721"/>
        <item m="1" x="269"/>
        <item m="1" x="1107"/>
        <item m="1" x="829"/>
        <item m="1" x="2323"/>
        <item m="1" x="1979"/>
        <item m="1" x="633"/>
        <item m="1" x="1829"/>
        <item m="1" x="1460"/>
        <item m="1" x="2477"/>
        <item m="1" x="2147"/>
        <item m="1" x="1236"/>
        <item m="1" x="450"/>
        <item m="1" x="589"/>
        <item m="1" x="2208"/>
        <item m="1" x="2252"/>
        <item m="1" x="729"/>
        <item m="1" x="1399"/>
        <item m="1" x="500"/>
        <item m="1" x="2175"/>
        <item m="1" x="1776"/>
        <item m="1" x="1516"/>
        <item m="1" x="1877"/>
        <item m="1" x="367"/>
        <item m="1" x="1669"/>
        <item m="1" x="1571"/>
        <item m="1" x="1061"/>
        <item m="1" x="1731"/>
        <item m="1" x="1042"/>
        <item m="1" x="255"/>
        <item m="1" x="607"/>
        <item m="1" x="2099"/>
        <item m="1" x="2415"/>
        <item m="1" x="2596"/>
        <item m="1" x="345"/>
        <item m="1" x="1735"/>
        <item m="1" x="1041"/>
        <item m="1" x="394"/>
        <item m="1" x="740"/>
        <item m="1" x="1105"/>
        <item m="1" x="240"/>
        <item m="1" x="1837"/>
        <item m="1" x="468"/>
        <item m="1" x="1241"/>
        <item m="1" x="1242"/>
        <item m="1" x="1243"/>
        <item m="1" x="2031"/>
        <item m="1" x="1429"/>
        <item m="1" x="1816"/>
        <item m="1" x="1064"/>
        <item m="1" x="1227"/>
        <item m="1" x="2583"/>
        <item m="1" x="1073"/>
        <item m="1" x="604"/>
        <item m="1" x="2134"/>
        <item m="1" x="698"/>
        <item m="1" x="280"/>
        <item m="1" x="2435"/>
        <item m="1" x="1016"/>
        <item m="1" x="505"/>
        <item m="1" x="1302"/>
        <item m="1" x="930"/>
        <item m="1" x="772"/>
        <item m="1" x="2615"/>
        <item m="1" x="1525"/>
        <item m="1" x="1244"/>
        <item m="1" x="1423"/>
        <item m="1" x="2087"/>
        <item m="1" x="1827"/>
        <item m="1" x="2604"/>
        <item m="1" x="1470"/>
        <item m="1" x="226"/>
        <item m="1" x="865"/>
        <item m="1" x="752"/>
        <item m="1" x="619"/>
        <item m="1" x="815"/>
        <item m="1" x="2100"/>
        <item m="1" x="2629"/>
        <item m="1" x="2078"/>
        <item m="1" x="2389"/>
        <item m="1" x="2426"/>
        <item m="1" x="1826"/>
        <item m="1" x="276"/>
        <item m="1" x="904"/>
        <item m="1" x="267"/>
        <item m="1" x="1876"/>
        <item m="1" x="2110"/>
        <item m="1" x="2228"/>
        <item m="1" x="91"/>
        <item m="1" x="2262"/>
        <item m="1" x="1734"/>
        <item m="1" x="1158"/>
        <item m="1" x="2148"/>
        <item m="1" x="1139"/>
        <item m="1" x="2304"/>
        <item m="1" x="2180"/>
        <item m="1" x="1090"/>
        <item m="1" x="1519"/>
        <item m="1" x="1791"/>
        <item m="1" x="1584"/>
        <item m="1" x="1544"/>
        <item m="1" x="714"/>
        <item m="1" x="1161"/>
        <item m="1" x="777"/>
        <item m="1" x="1570"/>
        <item m="1" x="2597"/>
        <item m="1" x="251"/>
        <item m="1" x="1884"/>
        <item m="1" x="1358"/>
        <item m="1" x="1941"/>
        <item m="1" x="637"/>
        <item m="1" x="136"/>
        <item m="1" x="2327"/>
        <item m="1" x="1483"/>
        <item m="1" x="101"/>
        <item m="1" x="533"/>
        <item m="1" x="2150"/>
        <item m="1" x="1309"/>
        <item m="1" x="1945"/>
        <item m="1" x="1421"/>
        <item m="1" x="682"/>
        <item m="1" x="1714"/>
        <item m="1" x="200"/>
        <item m="1" x="1726"/>
        <item m="1" x="1467"/>
        <item m="1" x="1994"/>
        <item m="1" x="2084"/>
        <item m="1" x="990"/>
        <item m="1" x="2496"/>
        <item m="1" x="2291"/>
        <item m="1" x="2360"/>
        <item m="1" x="1165"/>
        <item m="1" x="606"/>
        <item m="1" x="418"/>
        <item m="1" x="1603"/>
        <item m="1" x="1916"/>
        <item m="1" x="236"/>
        <item m="1" x="2130"/>
        <item m="1" x="2135"/>
        <item m="1" x="1377"/>
        <item m="1" x="1268"/>
        <item m="1" x="1784"/>
        <item m="1" x="808"/>
        <item m="1" x="94"/>
        <item m="1" x="401"/>
        <item m="1" x="916"/>
        <item m="1" x="511"/>
        <item m="1" x="1725"/>
        <item m="1" x="1716"/>
        <item m="1" x="2105"/>
        <item m="1" x="436"/>
        <item m="1" x="1349"/>
        <item m="1" x="2405"/>
        <item m="1" x="1225"/>
        <item m="1" x="797"/>
        <item m="1" x="868"/>
        <item m="1" x="875"/>
        <item m="1" x="456"/>
        <item m="1" x="1924"/>
        <item m="1" x="336"/>
        <item m="1" x="1751"/>
        <item m="1" x="1220"/>
        <item m="1" x="696"/>
        <item m="1" x="2500"/>
        <item m="1" x="2518"/>
        <item m="1" x="2012"/>
        <item m="1" x="2612"/>
        <item m="1" x="2182"/>
        <item m="1" x="258"/>
        <item m="1" x="2010"/>
        <item m="1" x="1694"/>
        <item m="1" x="2205"/>
        <item m="1" x="2403"/>
        <item m="1" x="1393"/>
        <item m="1" x="911"/>
        <item m="1" x="988"/>
        <item m="1" x="877"/>
        <item m="1" x="650"/>
        <item m="1" x="480"/>
        <item m="1" x="1710"/>
        <item m="1" x="2188"/>
        <item m="1" x="2620"/>
        <item m="1" x="639"/>
        <item m="1" x="880"/>
        <item m="1" x="2528"/>
        <item m="1" x="2509"/>
        <item m="1" x="129"/>
        <item m="1" x="1547"/>
        <item m="1" x="1036"/>
        <item m="1" x="1252"/>
        <item m="1" x="279"/>
        <item m="1" x="1304"/>
        <item m="1" x="2636"/>
        <item m="1" x="1228"/>
        <item m="1" x="386"/>
        <item m="1" x="2248"/>
        <item m="1" x="1253"/>
        <item m="1" x="2337"/>
        <item m="1" x="1156"/>
        <item m="1" x="356"/>
        <item m="1" x="2115"/>
        <item m="1" x="469"/>
        <item m="1" x="1763"/>
        <item m="1" x="2422"/>
        <item m="1" x="2035"/>
        <item m="1" x="760"/>
        <item m="1" x="1698"/>
        <item m="1" x="398"/>
        <item m="1" x="185"/>
        <item m="1" x="897"/>
        <item m="1" x="859"/>
        <item m="1" x="2236"/>
        <item m="1" x="1029"/>
        <item m="1" x="1030"/>
        <item m="1" x="613"/>
        <item m="1" x="1317"/>
        <item m="1" x="1643"/>
        <item m="1" x="1960"/>
        <item m="1" x="1980"/>
        <item m="1" x="220"/>
        <item m="1" x="981"/>
        <item m="1" x="952"/>
        <item m="1" x="2531"/>
        <item m="1" x="1414"/>
        <item m="1" x="1929"/>
        <item m="1" x="1824"/>
        <item m="1" x="1700"/>
        <item m="1" x="1764"/>
        <item m="1" x="108"/>
        <item m="1" x="417"/>
        <item m="1" x="2452"/>
        <item m="1" x="2183"/>
        <item m="1" x="602"/>
        <item m="1" x="264"/>
        <item m="1" x="2534"/>
        <item m="1" x="1464"/>
        <item m="1" x="1031"/>
        <item m="1" x="2563"/>
        <item m="1" x="857"/>
        <item m="1" x="1418"/>
        <item m="1" x="2247"/>
        <item m="1" x="2429"/>
        <item m="1" x="1923"/>
        <item m="1" x="2443"/>
        <item m="1" x="2607"/>
        <item m="1" x="2344"/>
        <item m="1" x="1577"/>
        <item m="1" x="112"/>
        <item m="1" x="851"/>
        <item m="1" x="1416"/>
        <item m="1" x="2594"/>
        <item m="1" x="2345"/>
        <item m="1" x="1431"/>
        <item m="1" x="1367"/>
        <item m="1" x="2181"/>
        <item m="1" x="944"/>
        <item m="1" x="1147"/>
        <item m="1" x="2464"/>
        <item m="1" x="1195"/>
        <item m="1" x="2499"/>
        <item m="1" x="1222"/>
        <item m="1" x="2530"/>
        <item m="1" x="1266"/>
        <item m="1" x="471"/>
        <item m="1" x="827"/>
        <item m="1" x="1673"/>
        <item m="1" x="2644"/>
        <item m="1" x="779"/>
        <item m="1" x="778"/>
        <item m="1" x="2516"/>
        <item m="1" x="1007"/>
        <item m="1" x="939"/>
        <item m="1" x="1662"/>
        <item m="1" x="2404"/>
        <item m="1" x="1550"/>
        <item m="1" x="2506"/>
        <item m="1" x="1940"/>
        <item m="1" x="2155"/>
        <item m="1" x="2079"/>
        <item m="1" x="610"/>
        <item m="1" x="286"/>
        <item m="1" x="1557"/>
        <item m="1" x="814"/>
        <item m="1" x="1943"/>
        <item m="1" x="536"/>
        <item m="1" x="1207"/>
        <item m="1" x="2521"/>
        <item m="1" x="281"/>
        <item m="1" x="715"/>
        <item m="1" x="2626"/>
        <item m="1" x="373"/>
        <item m="1" x="140"/>
        <item m="1" x="855"/>
        <item m="1" x="2062"/>
        <item m="1" x="2060"/>
        <item m="1" x="2061"/>
        <item m="1" x="1962"/>
        <item m="1" x="2484"/>
        <item m="1" x="1171"/>
        <item m="1" x="973"/>
        <item m="1" x="2128"/>
        <item m="1" x="641"/>
        <item m="1" x="1372"/>
        <item m="1" x="2156"/>
        <item m="1" x="1562"/>
        <item m="1" x="2446"/>
        <item m="1" x="2283"/>
        <item m="1" x="1676"/>
        <item m="1" x="969"/>
        <item m="1" x="1754"/>
        <item m="1" x="259"/>
        <item m="1" x="798"/>
        <item m="1" x="1890"/>
        <item m="1" x="225"/>
        <item m="1" x="371"/>
        <item m="1" x="1162"/>
        <item m="1" x="914"/>
        <item m="1" x="1932"/>
        <item m="1" x="615"/>
        <item m="1" x="2565"/>
        <item m="1" x="577"/>
        <item m="1" x="1468"/>
        <item m="1" x="2495"/>
        <item m="1" x="1008"/>
        <item m="1" x="1297"/>
        <item m="1" x="2617"/>
        <item m="1" x="2313"/>
        <item x="57"/>
        <item m="1" x="1697"/>
        <item m="1" x="1909"/>
        <item m="1" x="2024"/>
        <item m="1" x="1113"/>
        <item m="1" x="2000"/>
        <item m="1" x="648"/>
        <item m="1" x="1430"/>
        <item m="1" x="1515"/>
        <item x="45"/>
        <item m="1" x="1902"/>
        <item m="1" x="614"/>
        <item m="1" x="1691"/>
        <item m="1" x="2124"/>
        <item m="1" x="2638"/>
        <item m="1" x="913"/>
        <item m="1" x="2029"/>
        <item m="1" x="1723"/>
        <item m="1" x="1750"/>
        <item m="1" x="377"/>
        <item m="1" x="2229"/>
        <item m="1" x="1324"/>
        <item m="1" x="1613"/>
        <item m="1" x="2462"/>
        <item m="1" x="1097"/>
        <item m="1" x="2634"/>
        <item m="1" x="1120"/>
        <item m="1" x="2083"/>
        <item m="1" x="2014"/>
        <item m="1" x="2092"/>
        <item m="1" x="1258"/>
        <item m="1" x="2603"/>
        <item m="1" x="504"/>
        <item m="1" x="1801"/>
        <item m="1" x="1133"/>
        <item m="1" x="1283"/>
        <item m="1" x="695"/>
        <item m="1" x="2468"/>
        <item m="1" x="2074"/>
        <item m="1" x="170"/>
        <item m="1" x="2632"/>
        <item m="1" x="1901"/>
        <item m="1" x="863"/>
        <item m="1" x="651"/>
        <item m="1" x="2621"/>
        <item m="1" x="1411"/>
        <item m="1" x="137"/>
        <item m="1" x="1844"/>
        <item m="1" x="1897"/>
        <item m="1" x="2646"/>
        <item m="1" x="1635"/>
        <item m="1" x="2163"/>
        <item m="1" x="165"/>
        <item m="1" x="1449"/>
        <item m="1" x="313"/>
        <item m="1" x="2212"/>
        <item m="1" x="1903"/>
        <item m="1" x="2028"/>
        <item m="1" x="1911"/>
        <item m="1" x="1972"/>
        <item m="1" x="2133"/>
        <item m="1" x="2416"/>
        <item m="1" x="513"/>
        <item m="1" x="1160"/>
        <item m="1" x="593"/>
        <item m="1" x="2454"/>
        <item m="1" x="770"/>
        <item m="1" x="1280"/>
        <item m="1" x="2365"/>
        <item m="1" x="177"/>
        <item m="1" x="643"/>
        <item m="1" x="1409"/>
        <item m="1" x="1789"/>
        <item m="1" x="873"/>
        <item m="1" x="1005"/>
        <item m="1" x="273"/>
        <item m="1" x="2368"/>
        <item m="1" x="812"/>
        <item m="1" x="1908"/>
        <item m="1" x="239"/>
        <item m="1" x="454"/>
        <item m="1" x="989"/>
        <item m="1" x="2637"/>
        <item m="1" x="743"/>
        <item m="1" x="723"/>
        <item m="1" x="1386"/>
        <item m="1" x="817"/>
        <item m="1" x="323"/>
        <item m="1" x="2294"/>
        <item m="1" x="1123"/>
        <item m="1" x="782"/>
        <item m="1" x="1385"/>
        <item m="1" x="1636"/>
        <item m="1" x="999"/>
        <item m="1" x="2491"/>
        <item m="1" x="1881"/>
        <item x="19"/>
        <item m="1" x="1565"/>
        <item m="1" x="2529"/>
        <item m="1" x="852"/>
        <item m="1" x="464"/>
        <item m="1" x="358"/>
        <item m="1" x="1019"/>
        <item m="1" x="1580"/>
        <item m="1" x="1259"/>
        <item m="1" x="1363"/>
        <item m="1" x="1631"/>
        <item m="1" x="933"/>
        <item m="1" x="278"/>
        <item m="1" x="1035"/>
        <item m="1" x="616"/>
        <item m="1" x="2048"/>
        <item m="1" x="362"/>
        <item m="1" x="1922"/>
        <item m="1" x="674"/>
        <item m="1" x="2376"/>
        <item m="1" x="789"/>
        <item m="1" x="180"/>
        <item m="1" x="1786"/>
        <item m="1" x="2588"/>
        <item m="1" x="1210"/>
        <item m="1" x="1681"/>
        <item m="1" x="1463"/>
        <item m="1" x="1983"/>
        <item m="1" x="545"/>
        <item m="1" x="1680"/>
        <item m="1" x="1704"/>
        <item m="1" x="552"/>
        <item m="1" x="195"/>
        <item m="1" x="215"/>
        <item m="1" x="2567"/>
        <item m="1" x="1727"/>
        <item m="1" x="2308"/>
        <item m="1" x="2600"/>
        <item m="1" x="894"/>
        <item m="1" x="1079"/>
        <item m="1" x="2501"/>
        <item m="1" x="154"/>
        <item m="1" x="1270"/>
        <item m="1" x="2176"/>
        <item m="1" x="1646"/>
        <item m="1" x="246"/>
        <item m="1" x="1850"/>
        <item m="1" x="1298"/>
        <item m="1" x="230"/>
        <item m="1" x="1037"/>
        <item m="1" x="2211"/>
        <item m="1" x="1581"/>
        <item m="1" x="2524"/>
        <item m="1" x="2539"/>
        <item m="1" x="1925"/>
        <item m="1" x="1230"/>
        <item m="1" x="476"/>
        <item m="1" x="1815"/>
        <item m="1" x="1132"/>
        <item m="1" x="822"/>
        <item m="1" x="655"/>
        <item m="1" x="1913"/>
        <item m="1" x="1532"/>
        <item m="1" x="702"/>
        <item m="1" x="762"/>
        <item m="1" x="2427"/>
        <item m="1" x="954"/>
        <item m="1" x="1025"/>
        <item m="1" x="1968"/>
        <item m="1" x="1601"/>
        <item m="1" x="1861"/>
        <item m="1" x="1860"/>
        <item m="1" x="1345"/>
        <item m="1" x="951"/>
        <item m="1" x="874"/>
        <item m="1" x="361"/>
        <item m="1" x="1163"/>
        <item m="1" x="1592"/>
        <item m="1" x="2421"/>
        <item m="1" x="145"/>
        <item m="1" x="2152"/>
        <item m="1" x="2439"/>
        <item m="1" x="2602"/>
        <item m="1" x="658"/>
        <item m="1" x="2273"/>
        <item m="1" x="406"/>
        <item m="1" x="2566"/>
        <item m="1" x="310"/>
        <item m="1" x="1949"/>
        <item m="1" x="1191"/>
        <item m="1" x="291"/>
        <item m="1" x="123"/>
        <item m="1" x="1752"/>
        <item m="1" x="1108"/>
        <item m="1" x="283"/>
        <item m="1" x="676"/>
        <item m="1" x="1390"/>
        <item m="1" x="2052"/>
        <item m="1" x="1696"/>
        <item m="1" x="1419"/>
        <item m="1" x="1847"/>
        <item m="1" x="2591"/>
        <item m="1" x="636"/>
        <item m="1" x="1950"/>
        <item m="1" x="2222"/>
        <item m="1" x="1262"/>
        <item m="1" x="2357"/>
        <item m="1" x="2058"/>
        <item m="1" x="670"/>
        <item m="1" x="1316"/>
        <item m="1" x="2331"/>
        <item m="1" x="1683"/>
        <item m="1" x="117"/>
        <item m="1" x="1462"/>
        <item m="1" x="2474"/>
        <item m="1" x="1186"/>
        <item m="1" x="218"/>
        <item m="1" x="2033"/>
        <item m="1" x="609"/>
        <item m="1" x="289"/>
        <item m="1" x="2502"/>
        <item m="1" x="1695"/>
        <item m="1" x="2255"/>
        <item m="1" x="2318"/>
        <item m="1" x="1555"/>
        <item m="1" x="1143"/>
        <item m="1" x="2350"/>
        <item m="1" x="143"/>
        <item m="1" x="1272"/>
        <item m="1" x="537"/>
        <item m="1" x="2409"/>
        <item m="1" x="432"/>
        <item m="1" x="1936"/>
        <item m="1" x="1623"/>
        <item m="1" x="1658"/>
        <item m="1" x="2017"/>
        <item m="1" x="2642"/>
        <item m="1" x="2289"/>
        <item m="1" x="1771"/>
        <item m="1" x="1293"/>
        <item m="1" x="924"/>
        <item m="1" x="1798"/>
        <item m="1" x="806"/>
        <item m="1" x="661"/>
        <item m="1" x="2257"/>
        <item m="1" x="744"/>
        <item m="1" x="1651"/>
        <item m="1" x="896"/>
        <item m="1" x="1878"/>
        <item m="1" x="2076"/>
        <item m="1" x="321"/>
        <item m="1" x="2570"/>
        <item m="1" x="596"/>
        <item m="1" x="1541"/>
        <item m="1" x="465"/>
        <item m="1" x="1899"/>
        <item m="1" x="731"/>
        <item m="1" x="1323"/>
        <item m="1" x="517"/>
        <item m="1" x="1198"/>
        <item m="1" x="1312"/>
        <item m="1" x="936"/>
        <item m="1" x="1189"/>
        <item m="1" x="411"/>
        <item m="1" x="1065"/>
        <item m="1" x="626"/>
        <item m="1" x="2196"/>
        <item m="1" x="1517"/>
        <item m="1" x="775"/>
        <item m="1" x="2540"/>
        <item m="1" x="2044"/>
        <item m="1" x="106"/>
        <item m="1" x="130"/>
        <item m="1" x="2042"/>
        <item m="1" x="1307"/>
        <item m="1" x="1679"/>
        <item m="1" x="1353"/>
        <item m="1" x="737"/>
        <item m="1" x="539"/>
        <item m="1" x="473"/>
        <item m="1" x="1275"/>
        <item m="1" x="2552"/>
        <item m="1" x="1644"/>
        <item m="1" x="898"/>
        <item m="1" x="1174"/>
        <item m="1" x="290"/>
        <item m="1" x="1841"/>
        <item m="1" x="453"/>
        <item m="1" x="249"/>
        <item m="1" x="1394"/>
        <item m="1" x="1321"/>
        <item m="1" x="1838"/>
        <item m="1" x="2622"/>
        <item m="1" x="1427"/>
        <item m="1" x="2312"/>
        <item m="1" x="124"/>
        <item m="1" x="800"/>
        <item m="1" x="632"/>
        <item m="1" x="1889"/>
        <item m="1" x="487"/>
        <item m="1" x="1471"/>
        <item m="1" x="1585"/>
        <item m="1" x="1490"/>
        <item m="1" x="2359"/>
        <item m="1" x="1506"/>
        <item m="1" x="176"/>
        <item m="1" x="296"/>
        <item m="1" x="2088"/>
        <item m="1" x="548"/>
        <item m="1" x="1303"/>
        <item m="1" x="635"/>
        <item m="1" x="1249"/>
        <item m="1" x="983"/>
        <item m="1" x="213"/>
        <item m="1" x="2587"/>
        <item m="1" x="1248"/>
        <item m="1" x="2200"/>
        <item m="1" x="2332"/>
        <item m="1" x="138"/>
        <item m="1" x="2287"/>
        <item m="1" x="503"/>
        <item m="1" x="2542"/>
        <item m="1" x="2448"/>
        <item m="1" x="1111"/>
        <item m="1" x="1531"/>
        <item m="1" x="2503"/>
        <item m="1" x="493"/>
        <item m="1" x="495"/>
        <item m="1" x="963"/>
        <item m="1" x="2129"/>
        <item m="1" x="1604"/>
        <item m="1" x="370"/>
        <item m="1" x="747"/>
        <item m="1" x="2306"/>
        <item m="1" x="1576"/>
        <item m="1" x="322"/>
        <item m="1" x="1069"/>
        <item m="1" x="1582"/>
        <item m="1" x="1184"/>
        <item m="1" x="1836"/>
        <item m="1" x="104"/>
        <item m="1" x="1149"/>
        <item m="1" x="1898"/>
        <item m="1" x="788"/>
        <item m="1" x="1002"/>
        <item m="1" x="2093"/>
        <item m="1" x="2080"/>
        <item m="1" x="2601"/>
        <item m="1" x="2444"/>
        <item m="1" x="1240"/>
        <item m="1" x="1412"/>
        <item m="1" x="870"/>
        <item m="1" x="1072"/>
        <item m="1" x="595"/>
        <item m="1" x="494"/>
        <item m="1" x="925"/>
        <item m="1" x="2330"/>
        <item m="1" x="2514"/>
        <item m="1" x="402"/>
        <item m="1" x="2265"/>
        <item m="1" x="878"/>
        <item m="1" x="1921"/>
        <item m="1" x="2167"/>
        <item m="1" x="2520"/>
        <item m="1" x="2030"/>
        <item m="1" x="2082"/>
        <item m="1" x="1707"/>
        <item m="1" x="2316"/>
        <item m="1" x="971"/>
        <item m="1" x="1657"/>
        <item m="1" x="732"/>
        <item m="1" x="1492"/>
        <item m="1" x="150"/>
        <item m="1" x="2610"/>
        <item x="46"/>
        <item m="1" x="1790"/>
        <item m="1" x="706"/>
        <item m="1" x="774"/>
        <item m="1" x="2261"/>
        <item m="1" x="2063"/>
        <item m="1" x="335"/>
        <item m="1" x="2572"/>
        <item m="1" x="561"/>
        <item x="5"/>
        <item m="1" x="1370"/>
        <item m="1" x="1971"/>
        <item m="1" x="891"/>
        <item m="1" x="1088"/>
        <item m="1" x="2267"/>
        <item m="1" x="312"/>
        <item m="1" x="2070"/>
        <item m="1" x="750"/>
        <item m="1" x="2102"/>
        <item m="1" x="1768"/>
        <item m="1" x="781"/>
        <item m="1" x="1486"/>
        <item m="1" x="206"/>
        <item m="1" x="1027"/>
        <item m="1" x="1713"/>
        <item m="1" x="949"/>
        <item m="1" x="1618"/>
        <item m="1" x="929"/>
        <item m="1" x="835"/>
        <item m="1" x="2104"/>
        <item m="1" x="2270"/>
        <item m="1" x="2370"/>
        <item m="1" x="1558"/>
        <item m="1" x="388"/>
        <item m="1" x="624"/>
        <item m="1" x="1954"/>
        <item m="1" x="741"/>
        <item m="1" x="915"/>
        <item m="1" x="2041"/>
        <item m="1" x="2652"/>
        <item m="1" x="1501"/>
        <item m="1" x="179"/>
        <item m="1" x="1708"/>
        <item m="1" x="1313"/>
        <item m="1" x="1729"/>
        <item m="1" x="2055"/>
        <item m="1" x="448"/>
        <item m="1" x="216"/>
        <item m="1" x="934"/>
        <item m="1" x="1362"/>
        <item m="1" x="466"/>
        <item m="1" x="1075"/>
        <item m="1" x="1233"/>
        <item m="1" x="262"/>
        <item m="1" x="955"/>
        <item m="1" x="439"/>
        <item m="1" x="2116"/>
        <item m="1" x="597"/>
        <item m="1" x="1356"/>
        <item m="1" x="1325"/>
        <item m="1" x="1828"/>
        <item m="1" x="2109"/>
        <item m="1" x="557"/>
        <item m="1" x="463"/>
        <item m="1" x="1101"/>
        <item m="1" x="2616"/>
        <item m="1" x="524"/>
        <item m="1" x="611"/>
        <item m="1" x="1148"/>
        <item m="1" x="907"/>
        <item m="1" x="968"/>
        <item m="1" x="148"/>
        <item m="1" x="202"/>
        <item m="1" x="2064"/>
        <item m="1" x="1167"/>
        <item m="1" x="1043"/>
        <item m="1" x="1391"/>
        <item m="1" x="292"/>
        <item m="1" x="1010"/>
        <item m="1" x="2548"/>
        <item m="1" x="826"/>
        <item m="1" x="1649"/>
        <item m="1" x="309"/>
        <item m="1" x="1180"/>
        <item m="1" x="2606"/>
        <item m="1" x="1915"/>
        <item m="1" x="2086"/>
        <item m="1" x="565"/>
        <item m="1" x="392"/>
        <item m="1" x="680"/>
        <item m="1" x="2002"/>
        <item m="1" x="816"/>
        <item m="1" x="1475"/>
        <item m="1" x="2049"/>
        <item m="1" x="1674"/>
        <item m="1" x="1289"/>
        <item m="1" x="942"/>
        <item m="1" x="1208"/>
        <item m="1" x="1060"/>
        <item m="1" x="1976"/>
        <item m="1" x="2623"/>
        <item m="1" x="1852"/>
        <item m="1" x="1250"/>
        <item m="1" x="2557"/>
        <item m="1" x="905"/>
        <item m="1" x="1417"/>
        <item m="1" x="2034"/>
        <item m="1" x="2202"/>
        <item m="1" x="1553"/>
        <item m="1" x="734"/>
        <item m="1" x="1785"/>
        <item m="1" x="2191"/>
        <item m="1" x="1589"/>
        <item m="1" x="1743"/>
        <item m="1" x="1209"/>
        <item m="1" x="379"/>
        <item m="1" x="1839"/>
        <item m="1" x="1493"/>
        <item m="1" x="2027"/>
        <item m="1" x="1685"/>
        <item m="1" x="1096"/>
        <item m="1" x="1647"/>
        <item m="1" x="1756"/>
        <item m="1" x="1934"/>
        <item m="1" x="2264"/>
        <item m="1" x="444"/>
        <item m="1" x="506"/>
        <item m="1" x="1974"/>
        <item m="1" x="2645"/>
        <item m="1" x="2366"/>
        <item m="1" x="1957"/>
        <item m="1" x="2066"/>
        <item m="1" x="1869"/>
        <item m="1" x="1511"/>
        <item x="43"/>
        <item m="1" x="538"/>
        <item m="1" x="1294"/>
        <item m="1" x="818"/>
        <item m="1" x="2284"/>
        <item m="1" x="1125"/>
        <item m="1" x="1481"/>
        <item m="1" x="2258"/>
        <item m="1" x="1958"/>
        <item m="1" x="1496"/>
        <item m="1" x="496"/>
        <item m="1" x="1461"/>
        <item m="1" x="1055"/>
        <item m="1" x="1622"/>
        <item m="1" x="1048"/>
        <item m="1" x="491"/>
        <item m="1" x="805"/>
        <item m="1" x="95"/>
        <item m="1" x="1383"/>
        <item m="1" x="210"/>
        <item m="1" x="617"/>
        <item m="1" x="544"/>
        <item m="1" x="2113"/>
        <item m="1" x="440"/>
        <item m="1" x="490"/>
        <item m="1" x="2348"/>
        <item m="1" x="1301"/>
        <item m="1" x="1534"/>
        <item m="1" x="1666"/>
        <item m="1" x="584"/>
        <item m="1" x="1286"/>
        <item m="1" x="1443"/>
        <item m="1" x="509"/>
        <item m="1" x="80"/>
        <item m="1" x="2153"/>
        <item m="1" x="993"/>
        <item m="1" x="2559"/>
        <item m="1" x="2138"/>
        <item m="1" x="1332"/>
        <item m="1" x="2089"/>
        <item m="1" x="1103"/>
        <item m="1" x="304"/>
        <item m="1" x="1410"/>
        <item m="1" x="118"/>
        <item m="1" x="2162"/>
        <item m="1" x="2296"/>
        <item m="1" x="248"/>
        <item m="1" x="1629"/>
        <item m="1" x="588"/>
        <item m="1" x="1089"/>
        <item m="1" x="1219"/>
        <item m="1" x="1966"/>
        <item m="1" x="2235"/>
        <item m="1" x="1176"/>
        <item m="1" x="2192"/>
        <item m="1" x="194"/>
        <item m="1" x="2451"/>
        <item m="1" x="161"/>
        <item m="1" x="553"/>
        <item m="1" x="2095"/>
        <item m="1" x="2085"/>
        <item m="1" x="1000"/>
        <item m="1" x="2510"/>
        <item m="1" x="2466"/>
        <item m="1" x="2121"/>
        <item m="1" x="980"/>
        <item m="1" x="751"/>
        <item m="1" x="1835"/>
        <item m="1" x="1672"/>
        <item m="1" x="834"/>
        <item m="1" x="514"/>
        <item m="1" x="492"/>
        <item m="1" x="166"/>
        <item m="1" x="2467"/>
        <item m="1" x="864"/>
        <item m="1" x="1384"/>
        <item m="1" x="2396"/>
        <item m="1" x="2251"/>
        <item m="1" x="564"/>
        <item m="1" x="1450"/>
        <item m="1" x="1422"/>
        <item m="1" x="765"/>
        <item m="1" x="792"/>
        <item m="1" x="415"/>
        <item m="1" x="1494"/>
        <item m="1" x="2580"/>
        <item m="1" x="1442"/>
        <item m="1" x="2178"/>
        <item m="1" x="841"/>
        <item m="1" x="849"/>
        <item m="1" x="2341"/>
        <item m="1" x="1459"/>
        <item m="1" x="1387"/>
        <item m="1" x="2016"/>
        <item m="1" x="1318"/>
        <item m="1" x="1560"/>
        <item m="1" x="1597"/>
        <item m="1" x="2219"/>
        <item m="1" x="931"/>
        <item m="1" x="247"/>
        <item m="1" x="1034"/>
        <item m="1" x="1182"/>
        <item m="1" x="1213"/>
        <item m="1" x="928"/>
        <item m="1" x="1400"/>
        <item m="1" x="1183"/>
        <item m="1" x="1963"/>
        <item m="1" x="773"/>
        <item m="1" x="692"/>
        <item m="1" x="1630"/>
        <item m="1" x="2547"/>
        <item m="1" x="555"/>
        <item m="1" x="932"/>
        <item m="1" x="1741"/>
        <item m="1" x="2574"/>
        <item m="1" x="2280"/>
        <item m="1" x="2442"/>
        <item m="1" x="1896"/>
        <item m="1" x="586"/>
        <item m="1" x="272"/>
        <item m="1" x="443"/>
        <item m="1" x="1062"/>
        <item m="1" x="2234"/>
        <item m="1" x="2576"/>
        <item m="1" x="1265"/>
        <item m="1" x="1859"/>
        <item m="1" x="583"/>
        <item m="1" x="1023"/>
        <item m="1" x="2630"/>
        <item m="1" x="1168"/>
        <item m="1" x="883"/>
        <item m="1" x="2305"/>
        <item m="1" x="391"/>
        <item m="1" x="1549"/>
        <item m="1" x="131"/>
        <item m="1" x="2523"/>
        <item m="1" x="677"/>
        <item m="1" x="1098"/>
        <item m="1" x="1977"/>
        <item x="16"/>
        <item x="17"/>
        <item m="1" x="2038"/>
        <item m="1" x="2447"/>
        <item m="1" x="869"/>
        <item m="1" x="2483"/>
        <item m="1" x="2420"/>
        <item m="1" x="1796"/>
        <item m="1" x="2187"/>
        <item m="1" x="1928"/>
        <item m="1" x="2159"/>
        <item m="1" x="1152"/>
        <item x="0"/>
        <item m="1" x="2590"/>
        <item m="1" x="1655"/>
        <item m="1" x="1769"/>
        <item x="30"/>
        <item m="1" x="2340"/>
        <item m="1" x="429"/>
        <item m="1" x="178"/>
        <item m="1" x="1774"/>
        <item m="1" x="153"/>
        <item m="1" x="516"/>
        <item m="1" x="858"/>
        <item m="1" x="207"/>
        <item m="1" x="1196"/>
        <item x="67"/>
        <item m="1" x="2139"/>
        <item m="1" x="1380"/>
        <item m="1" x="270"/>
        <item m="1" x="681"/>
        <item m="1" x="419"/>
        <item m="1" x="576"/>
        <item m="1" x="1498"/>
        <item m="1" x="848"/>
        <item m="1" x="1388"/>
        <item m="1" x="1777"/>
        <item m="1" x="543"/>
        <item m="1" x="1521"/>
        <item m="1" x="2164"/>
        <item m="1" x="1170"/>
        <item m="1" x="1846"/>
        <item m="1" x="1845"/>
        <item m="1" x="1864"/>
        <item m="1" x="2386"/>
        <item m="1" x="522"/>
        <item m="1" x="2453"/>
        <item m="1" x="947"/>
        <item m="1" x="2434"/>
        <item m="1" x="2635"/>
        <item m="1" x="201"/>
        <item m="1" x="625"/>
        <item m="1" x="1102"/>
        <item m="1" x="1408"/>
        <item m="1" x="1670"/>
        <item m="1" x="1216"/>
        <item m="1" x="1552"/>
        <item m="1" x="1059"/>
        <item m="1" x="116"/>
        <item m="1" x="1554"/>
        <item m="1" x="2648"/>
        <item m="1" x="886"/>
        <item m="1" x="149"/>
        <item m="1" x="1484"/>
        <item m="1" x="1995"/>
        <item m="1" x="1917"/>
        <item m="1" x="156"/>
        <item m="1" x="1112"/>
        <item m="1" x="1154"/>
        <item m="1" x="173"/>
        <item m="1" x="1910"/>
        <item m="1" x="575"/>
        <item m="1" x="2008"/>
        <item m="1" x="623"/>
        <item m="1" x="1080"/>
        <item m="1" x="2239"/>
        <item m="1" x="2586"/>
        <item m="1" x="975"/>
        <item m="1" x="833"/>
        <item m="1" x="2361"/>
        <item m="1" x="87"/>
        <item m="1" x="2241"/>
        <item m="1" x="1986"/>
        <item m="1" x="2347"/>
        <item m="1" x="876"/>
        <item m="1" x="481"/>
        <item m="1" x="1687"/>
        <item m="1" x="1109"/>
        <item m="1" x="935"/>
        <item m="1" x="819"/>
        <item m="1" x="1524"/>
        <item m="1" x="1407"/>
        <item m="1" x="879"/>
        <item m="1" x="1004"/>
        <item m="1" x="1765"/>
        <item m="1" x="2654"/>
        <item m="1" x="1574"/>
        <item m="1" x="519"/>
        <item m="1" x="2274"/>
        <item m="1" x="352"/>
        <item m="1" x="285"/>
        <item m="1" x="2322"/>
        <item m="1" x="1914"/>
        <item m="1" x="2190"/>
        <item m="1" x="242"/>
        <item m="1" x="2372"/>
        <item m="1" x="2575"/>
        <item m="1" x="2619"/>
        <item m="1" x="1136"/>
        <item x="68"/>
        <item m="1" x="2050"/>
        <item m="1" x="2541"/>
        <item m="1" x="385"/>
        <item m="1" x="956"/>
        <item m="1" x="1026"/>
        <item m="1" x="1942"/>
        <item m="1" x="1813"/>
        <item m="1" x="1822"/>
        <item m="1" x="1833"/>
        <item m="1" x="950"/>
        <item m="1" x="355"/>
        <item m="1" x="1099"/>
        <item m="1" x="1500"/>
        <item m="1" x="1066"/>
        <item m="1" x="2126"/>
        <item m="1" x="2538"/>
        <item m="1" x="903"/>
        <item m="1" x="346"/>
        <item m="1" x="2098"/>
        <item m="1" x="461"/>
        <item m="1" x="93"/>
        <item m="1" x="2517"/>
        <item m="1" x="1049"/>
        <item m="1" x="1871"/>
        <item m="1" x="86"/>
        <item m="1" x="1939"/>
        <item x="55"/>
        <item m="1" x="2260"/>
        <item m="1" x="1054"/>
        <item m="1" x="174"/>
        <item x="61"/>
        <item x="62"/>
        <item m="1" x="679"/>
        <item m="1" x="665"/>
        <item m="1" x="708"/>
        <item m="1" x="186"/>
        <item m="1" x="395"/>
        <item m="1" x="326"/>
        <item m="1" x="1489"/>
        <item m="1" x="438"/>
        <item m="1" x="1665"/>
        <item m="1" x="2040"/>
        <item m="1" x="288"/>
        <item m="1" x="1343"/>
        <item m="1" x="2498"/>
        <item m="1" x="253"/>
        <item m="1" x="1619"/>
        <item m="1" x="1263"/>
        <item m="1" x="221"/>
        <item m="1" x="396"/>
        <item m="1" x="399"/>
        <item m="1" x="1114"/>
        <item m="1" x="1439"/>
        <item m="1" x="1855"/>
        <item m="1" x="2141"/>
        <item m="1" x="1153"/>
        <item m="1" x="238"/>
        <item m="1" x="2297"/>
        <item m="1" x="2550"/>
        <item m="1" x="1947"/>
        <item m="1" x="1246"/>
        <item m="1" x="799"/>
        <item m="1" x="856"/>
        <item m="1" x="756"/>
        <item x="69"/>
        <item m="1" x="1692"/>
        <item m="1" x="2640"/>
        <item m="1" x="2315"/>
        <item m="1" x="1131"/>
        <item m="1" x="327"/>
        <item m="1" x="810"/>
        <item m="1" x="2302"/>
        <item m="1" x="414"/>
        <item m="1" x="1454"/>
        <item m="1" x="274"/>
        <item m="1" x="2111"/>
        <item m="1" x="2069"/>
        <item m="1" x="1151"/>
        <item m="1" x="1106"/>
        <item m="1" x="540"/>
        <item m="1" x="529"/>
        <item m="1" x="872"/>
        <item m="1" x="212"/>
        <item m="1" x="2039"/>
        <item m="1" x="189"/>
        <item m="1" x="1848"/>
        <item m="1" x="1110"/>
        <item m="1" x="998"/>
        <item m="1" x="1660"/>
        <item m="1" x="425"/>
        <item x="65"/>
        <item m="1" x="1569"/>
        <item m="1" x="2003"/>
        <item m="1" x="1891"/>
        <item m="1" x="1013"/>
        <item m="1" x="1190"/>
        <item m="1" x="587"/>
        <item m="1" x="477"/>
        <item m="1" x="452"/>
        <item m="1" x="100"/>
        <item m="1" x="2378"/>
        <item m="1" x="1874"/>
        <item m="1" x="1621"/>
        <item m="1" x="1893"/>
        <item m="1" x="2278"/>
        <item m="1" x="2577"/>
        <item m="1" x="1141"/>
        <item m="1" x="2216"/>
        <item m="1" x="1616"/>
        <item m="1" x="1992"/>
        <item m="1" x="182"/>
        <item m="1" x="1245"/>
        <item m="1" x="1772"/>
        <item m="1" x="344"/>
        <item m="1" x="1204"/>
        <item m="1" x="2440"/>
        <item m="1" x="2269"/>
        <item x="1"/>
        <item m="1" x="1970"/>
        <item m="1" x="803"/>
        <item m="1" x="103"/>
        <item x="31"/>
        <item m="1" x="2578"/>
        <item x="41"/>
        <item m="1" x="1397"/>
        <item m="1" x="1448"/>
        <item m="1" x="2324"/>
        <item m="1" x="234"/>
        <item m="1" x="675"/>
        <item m="1" x="518"/>
        <item m="1" x="828"/>
        <item x="70"/>
        <item m="1" x="109"/>
        <item m="1" x="1539"/>
        <item m="1" x="2140"/>
        <item m="1" x="1799"/>
        <item m="1" x="1748"/>
        <item m="1" x="1395"/>
        <item m="1" x="1346"/>
        <item m="1" x="498"/>
        <item m="1" x="1056"/>
        <item m="1" x="2511"/>
        <item m="1" x="1319"/>
        <item m="1" x="1825"/>
        <item m="1" x="2286"/>
        <item m="1" x="1526"/>
        <item m="1" x="1760"/>
        <item m="1" x="1438"/>
        <item m="1" x="1551"/>
        <item m="1" x="434"/>
        <item m="1" x="2026"/>
        <item m="1" x="365"/>
        <item m="1" x="2277"/>
        <item m="1" x="1701"/>
        <item m="1" x="571"/>
        <item m="1" x="1260"/>
        <item m="1" x="700"/>
        <item m="1" x="2254"/>
        <item m="1" x="1028"/>
        <item m="1" x="1742"/>
        <item m="1" x="2179"/>
        <item m="1" x="1094"/>
        <item m="1" x="1948"/>
        <item m="1" x="986"/>
        <item m="1" x="275"/>
        <item m="1" x="941"/>
        <item m="1" x="720"/>
        <item m="1" x="1274"/>
        <item m="1" x="2395"/>
        <item m="1" x="2137"/>
        <item m="1" x="1809"/>
        <item x="15"/>
        <item x="24"/>
        <item x="25"/>
        <item m="1" x="1738"/>
        <item m="1" x="223"/>
        <item m="1" x="2354"/>
        <item m="1" x="1857"/>
        <item m="1" x="783"/>
        <item m="1" x="966"/>
        <item m="1" x="84"/>
        <item m="1" x="2585"/>
        <item m="1" x="2293"/>
        <item m="1" x="1757"/>
        <item m="1" x="1579"/>
        <item m="1" x="1626"/>
        <item m="1" x="847"/>
        <item m="1" x="1895"/>
        <item m="1" x="160"/>
        <item m="1" x="319"/>
        <item m="1" x="1638"/>
        <item m="1" x="1746"/>
        <item m="1" x="88"/>
        <item m="1" x="1373"/>
        <item m="1" x="299"/>
        <item m="1" x="114"/>
        <item m="1" x="2279"/>
        <item m="1" x="2512"/>
        <item m="1" x="2108"/>
        <item m="1" x="1277"/>
        <item m="1" x="1221"/>
        <item m="1" x="2081"/>
        <item m="1" x="341"/>
        <item m="1" x="2407"/>
        <item m="1" x="2311"/>
        <item m="1" x="527"/>
        <item m="1" x="1315"/>
        <item m="1" x="1684"/>
        <item m="1" x="2020"/>
        <item m="1" x="2363"/>
        <item m="1" x="551"/>
        <item m="1" x="1749"/>
        <item m="1" x="1652"/>
        <item x="2"/>
        <item x="3"/>
        <item x="9"/>
        <item x="10"/>
        <item x="18"/>
        <item x="26"/>
        <item m="1" x="1254"/>
        <item m="1" x="126"/>
        <item m="1" x="2533"/>
        <item m="1" x="1689"/>
        <item x="44"/>
        <item m="1" x="684"/>
        <item m="1" x="2157"/>
        <item m="1" x="2125"/>
        <item m="1" x="1732"/>
        <item x="58"/>
        <item m="1" x="790"/>
        <item x="71"/>
        <item m="1" x="992"/>
        <item m="1" x="1320"/>
        <item m="1" x="1556"/>
        <item m="1" x="2090"/>
        <item m="1" x="1595"/>
        <item m="1" x="1594"/>
        <item m="1" x="1817"/>
        <item m="1" x="378"/>
        <item m="1" x="1159"/>
        <item m="1" x="2571"/>
        <item m="1" x="1578"/>
        <item m="1" x="1214"/>
        <item m="1" x="1487"/>
        <item m="1" x="1473"/>
        <item m="1" x="922"/>
        <item m="1" x="1491"/>
        <item m="1" x="384"/>
        <item m="1" x="1206"/>
        <item m="1" x="141"/>
        <item m="1" x="853"/>
        <item m="1" x="2217"/>
        <item m="1" x="151"/>
        <item m="1" x="2377"/>
        <item m="1" x="2132"/>
        <item m="1" x="1575"/>
        <item m="1" x="1999"/>
        <item m="1" x="139"/>
        <item m="1" x="541"/>
        <item m="1" x="2334"/>
        <item m="1" x="1951"/>
        <item m="1" x="1705"/>
        <item m="1" x="1229"/>
        <item m="1" x="888"/>
        <item m="1" x="631"/>
        <item m="1" x="222"/>
        <item m="1" x="1907"/>
        <item m="1" x="1820"/>
        <item m="1" x="711"/>
        <item m="1" x="2383"/>
        <item m="1" x="735"/>
        <item m="1" x="2201"/>
        <item m="1" x="1078"/>
        <item m="1" x="1365"/>
        <item m="1" x="2199"/>
        <item m="1" x="2480"/>
        <item m="1" x="918"/>
        <item m="1" x="866"/>
        <item x="27"/>
        <item m="1" x="181"/>
        <item m="1" x="1849"/>
        <item m="1" x="1256"/>
        <item m="1" x="887"/>
        <item m="1" x="745"/>
        <item m="1" x="107"/>
        <item m="1" x="2385"/>
        <item m="1" x="1533"/>
        <item m="1" x="2231"/>
        <item m="1" x="1875"/>
        <item m="1" x="1513"/>
        <item m="1" x="158"/>
        <item m="1" x="667"/>
        <item m="1" x="2127"/>
        <item x="20"/>
        <item x="28"/>
        <item x="29"/>
        <item m="1" x="1933"/>
        <item m="1" x="1327"/>
        <item m="1" x="836"/>
        <item m="1" x="746"/>
        <item m="1" x="351"/>
        <item m="1" x="1355"/>
        <item m="1" x="843"/>
        <item m="1" x="1543"/>
        <item m="1" x="943"/>
        <item m="1" x="579"/>
        <item m="1" x="1157"/>
        <item x="59"/>
        <item m="1" x="1650"/>
        <item m="1" x="2225"/>
        <item m="1" x="1405"/>
        <item m="1" x="245"/>
        <item m="1" x="1853"/>
        <item m="1" x="2021"/>
        <item m="1" x="910"/>
        <item x="6"/>
        <item x="7"/>
        <item x="12"/>
        <item x="40"/>
        <item x="52"/>
        <item x="53"/>
        <item x="72"/>
        <item x="73"/>
        <item x="74"/>
        <item x="75"/>
        <item x="76"/>
        <item x="77"/>
        <item x="7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Tipo" compact="0" outline="0" showAll="0" insertBlankRow="1" sortType="ascending" defaultSubtotal="0"/>
    <pivotField name="Modalidad" axis="axisRow" compact="0" outline="0" showAll="0" nonAutoSortDefault="1" defaultSubtotal="0">
      <items count="4">
        <item x="1"/>
        <item n=" " x="2"/>
        <item x="3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2">
        <item n="B&amp;N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74">
        <item x="23"/>
        <item x="15"/>
        <item x="13"/>
        <item x="12"/>
        <item x="11"/>
        <item x="30"/>
        <item x="29"/>
        <item x="28"/>
        <item x="9"/>
        <item x="8"/>
        <item x="6"/>
        <item x="5"/>
        <item x="4"/>
        <item x="3"/>
        <item x="1"/>
        <item x="0"/>
        <item x="31"/>
        <item m="1" x="45"/>
        <item m="1" x="52"/>
        <item x="22"/>
        <item x="19"/>
        <item x="18"/>
        <item x="17"/>
        <item x="27"/>
        <item m="1" x="60"/>
        <item x="16"/>
        <item m="1" x="71"/>
        <item m="1" x="50"/>
        <item x="25"/>
        <item m="1" x="48"/>
        <item m="1" x="49"/>
        <item x="14"/>
        <item m="1" x="69"/>
        <item m="1" x="43"/>
        <item x="2"/>
        <item m="1" x="39"/>
        <item m="1" x="54"/>
        <item x="20"/>
        <item m="1" x="59"/>
        <item m="1" x="65"/>
        <item x="10"/>
        <item m="1" x="70"/>
        <item x="7"/>
        <item m="1" x="34"/>
        <item m="1" x="36"/>
        <item m="1" x="42"/>
        <item m="1" x="53"/>
        <item m="1" x="47"/>
        <item m="1" x="33"/>
        <item m="1" x="62"/>
        <item m="1" x="72"/>
        <item m="1" x="51"/>
        <item m="1" x="58"/>
        <item m="1" x="68"/>
        <item m="1" x="44"/>
        <item m="1" x="64"/>
        <item m="1" x="41"/>
        <item m="1" x="37"/>
        <item m="1" x="56"/>
        <item m="1" x="66"/>
        <item m="1" x="46"/>
        <item m="1" x="67"/>
        <item x="26"/>
        <item x="21"/>
        <item m="1" x="55"/>
        <item m="1" x="73"/>
        <item m="1" x="61"/>
        <item m="1" x="63"/>
        <item x="24"/>
        <item m="1" x="32"/>
        <item m="1" x="40"/>
        <item m="1" x="38"/>
        <item m="1" x="35"/>
        <item m="1" x="57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43">
        <item x="0"/>
        <item m="1" x="29"/>
        <item x="14"/>
        <item x="13"/>
        <item x="8"/>
        <item x="7"/>
        <item m="1" x="19"/>
        <item m="1" x="24"/>
        <item m="1" x="30"/>
        <item m="1" x="33"/>
        <item m="1" x="35"/>
        <item m="1" x="37"/>
        <item m="1" x="40"/>
        <item m="1" x="16"/>
        <item m="1" x="18"/>
        <item x="9"/>
        <item m="1" x="20"/>
        <item m="1" x="21"/>
        <item m="1" x="22"/>
        <item m="1" x="23"/>
        <item m="1" x="25"/>
        <item m="1" x="26"/>
        <item m="1" x="27"/>
        <item x="6"/>
        <item m="1" x="31"/>
        <item m="1" x="32"/>
        <item x="2"/>
        <item x="11"/>
        <item x="3"/>
        <item m="1" x="36"/>
        <item m="1" x="38"/>
        <item m="1" x="39"/>
        <item m="1" x="41"/>
        <item x="1"/>
        <item m="1" x="15"/>
        <item x="10"/>
        <item m="1" x="17"/>
        <item m="1" x="28"/>
        <item x="5"/>
        <item x="4"/>
        <item x="12"/>
        <item m="1" x="34"/>
        <item t="default"/>
      </items>
    </pivotField>
    <pivotField name="Imagen" axis="axisRow" compact="0" outline="0" showAll="0" defaultSubtotal="0">
      <items count="3">
        <item n=" " x="0"/>
        <item x="1"/>
        <item m="1" x="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defaultSubtotal="0">
      <items count="89">
        <item x="0"/>
        <item x="2"/>
        <item x="4"/>
        <item x="1"/>
        <item x="3"/>
        <item x="6"/>
        <item x="11"/>
        <item x="5"/>
        <item x="9"/>
        <item x="8"/>
        <item x="23"/>
        <item x="18"/>
        <item x="24"/>
        <item x="16"/>
        <item x="25"/>
        <item m="1" x="59"/>
        <item x="17"/>
        <item x="14"/>
        <item m="1" x="37"/>
        <item x="22"/>
        <item x="19"/>
        <item x="7"/>
        <item m="1" x="78"/>
        <item m="1" x="58"/>
        <item x="20"/>
        <item x="10"/>
        <item m="1" x="70"/>
        <item m="1" x="64"/>
        <item m="1" x="54"/>
        <item m="1" x="77"/>
        <item x="15"/>
        <item m="1" x="86"/>
        <item m="1" x="45"/>
        <item m="1" x="49"/>
        <item m="1" x="75"/>
        <item x="21"/>
        <item m="1" x="50"/>
        <item x="13"/>
        <item m="1" x="32"/>
        <item m="1" x="44"/>
        <item m="1" x="39"/>
        <item m="1" x="76"/>
        <item m="1" x="65"/>
        <item m="1" x="26"/>
        <item m="1" x="72"/>
        <item m="1" x="83"/>
        <item m="1" x="84"/>
        <item m="1" x="62"/>
        <item m="1" x="38"/>
        <item m="1" x="66"/>
        <item m="1" x="34"/>
        <item m="1" x="85"/>
        <item m="1" x="33"/>
        <item m="1" x="57"/>
        <item m="1" x="52"/>
        <item m="1" x="73"/>
        <item m="1" x="67"/>
        <item m="1" x="60"/>
        <item x="12"/>
        <item m="1" x="82"/>
        <item m="1" x="42"/>
        <item m="1" x="29"/>
        <item m="1" x="80"/>
        <item m="1" x="40"/>
        <item m="1" x="79"/>
        <item m="1" x="31"/>
        <item m="1" x="27"/>
        <item m="1" x="43"/>
        <item m="1" x="74"/>
        <item m="1" x="51"/>
        <item m="1" x="63"/>
        <item m="1" x="55"/>
        <item m="1" x="87"/>
        <item m="1" x="41"/>
        <item m="1" x="61"/>
        <item m="1" x="68"/>
        <item m="1" x="47"/>
        <item m="1" x="28"/>
        <item m="1" x="35"/>
        <item m="1" x="71"/>
        <item m="1" x="46"/>
        <item m="1" x="56"/>
        <item m="1" x="48"/>
        <item m="1" x="53"/>
        <item m="1" x="30"/>
        <item m="1" x="81"/>
        <item m="1" x="69"/>
        <item m="1" x="88"/>
        <item m="1" x="36"/>
      </items>
    </pivotField>
  </pivotFields>
  <rowFields count="11">
    <field x="0"/>
    <field x="12"/>
    <field x="10"/>
    <field x="4"/>
    <field x="13"/>
    <field x="16"/>
    <field x="18"/>
    <field x="9"/>
    <field x="7"/>
    <field x="3"/>
    <field x="1"/>
  </rowFields>
  <rowItems count="99">
    <i>
      <x/>
      <x v="2"/>
      <x v="21"/>
      <x v="2"/>
      <x/>
      <x/>
      <x v="20"/>
      <x v="1"/>
      <x v="1"/>
      <x v="2"/>
      <x v="5170"/>
    </i>
    <i t="default" r="1">
      <x v="2"/>
    </i>
    <i r="1">
      <x v="3"/>
      <x v="21"/>
      <x v="120"/>
      <x/>
      <x/>
      <x v="24"/>
      <x v="1"/>
      <x v="1"/>
      <x v="1283"/>
      <x v="4930"/>
    </i>
    <i t="default" r="1">
      <x v="3"/>
    </i>
    <i>
      <x v="9"/>
      <x/>
      <x v="16"/>
      <x v="2650"/>
      <x/>
      <x/>
      <x v="14"/>
      <x v="1"/>
      <x/>
      <x/>
      <x v="5163"/>
    </i>
    <i r="3">
      <x v="2651"/>
      <x/>
      <x/>
      <x v="24"/>
      <x v="1"/>
      <x/>
      <x/>
      <x v="5164"/>
    </i>
    <i r="3">
      <x v="2652"/>
      <x/>
      <x/>
      <x v="20"/>
      <x v="1"/>
      <x v="1"/>
      <x v="1843"/>
      <x v="5165"/>
    </i>
    <i r="3">
      <x v="2653"/>
      <x/>
      <x/>
      <x v="14"/>
      <x v="1"/>
      <x/>
      <x/>
      <x v="5166"/>
    </i>
    <i r="3">
      <x v="2654"/>
      <x/>
      <x/>
      <x v="7"/>
      <x/>
      <x v="1"/>
      <x v="1844"/>
      <x v="5167"/>
    </i>
    <i r="3">
      <x v="2655"/>
      <x/>
      <x/>
      <x v="20"/>
      <x v="1"/>
      <x v="1"/>
      <x v="1845"/>
      <x v="5168"/>
    </i>
    <i r="3">
      <x v="2656"/>
      <x/>
      <x/>
      <x v="20"/>
      <x v="1"/>
      <x v="1"/>
      <x v="1846"/>
      <x v="5169"/>
    </i>
    <i t="default" r="1">
      <x/>
    </i>
    <i>
      <x v="10"/>
      <x/>
      <x v="5"/>
      <x v="2245"/>
      <x/>
      <x/>
      <x v="11"/>
      <x/>
      <x/>
      <x/>
      <x v="4408"/>
    </i>
    <i r="3">
      <x v="2328"/>
      <x/>
      <x/>
      <x v="10"/>
      <x/>
      <x/>
      <x/>
      <x v="4579"/>
    </i>
    <i r="3">
      <x v="2393"/>
      <x/>
      <x/>
      <x v="20"/>
      <x/>
      <x/>
      <x/>
      <x v="4709"/>
    </i>
    <i r="3">
      <x v="2460"/>
      <x/>
      <x/>
      <x v="10"/>
      <x/>
      <x/>
      <x/>
      <x v="4839"/>
    </i>
    <i r="3">
      <x v="2559"/>
      <x/>
      <x/>
      <x v="11"/>
      <x/>
      <x/>
      <x/>
      <x v="5024"/>
    </i>
    <i r="2">
      <x v="6"/>
      <x v="4"/>
      <x/>
      <x/>
      <x v="11"/>
      <x/>
      <x v="1"/>
      <x v="1724"/>
      <x v="4837"/>
    </i>
    <i r="3">
      <x v="2419"/>
      <x/>
      <x/>
      <x v="11"/>
      <x/>
      <x/>
      <x v="46"/>
      <x v="4754"/>
    </i>
    <i r="2">
      <x v="7"/>
      <x v="2"/>
      <x/>
      <x/>
      <x v="12"/>
      <x/>
      <x v="1"/>
      <x v="1731"/>
      <x v="4836"/>
    </i>
    <i r="2">
      <x v="23"/>
      <x v="19"/>
      <x/>
      <x/>
      <x v="11"/>
      <x/>
      <x/>
      <x/>
      <x v="3957"/>
    </i>
    <i r="2">
      <x v="28"/>
      <x v="26"/>
      <x/>
      <x/>
      <x v="19"/>
      <x v="1"/>
      <x/>
      <x/>
      <x v="5131"/>
    </i>
    <i r="2">
      <x v="62"/>
      <x v="2359"/>
      <x/>
      <x/>
      <x v="10"/>
      <x/>
      <x/>
      <x/>
      <x v="4640"/>
    </i>
    <i r="3">
      <x v="2360"/>
      <x/>
      <x/>
      <x v="10"/>
      <x/>
      <x/>
      <x/>
      <x v="4641"/>
    </i>
    <i r="2">
      <x v="68"/>
      <x v="2636"/>
      <x/>
      <x/>
      <x v="20"/>
      <x/>
      <x/>
      <x/>
      <x v="5130"/>
    </i>
    <i t="default" r="1">
      <x/>
    </i>
    <i>
      <x v="11"/>
      <x/>
      <x v="20"/>
      <x v="291"/>
      <x/>
      <x/>
      <x v="11"/>
      <x v="1"/>
      <x v="1"/>
      <x v="1728"/>
      <x v="4823"/>
    </i>
    <i t="default" r="1">
      <x/>
    </i>
    <i r="1">
      <x v="4"/>
      <x v="19"/>
      <x v="113"/>
      <x/>
      <x/>
      <x v="24"/>
      <x/>
      <x v="1"/>
      <x v="46"/>
      <x v="5161"/>
    </i>
    <i t="default" r="1">
      <x v="4"/>
    </i>
    <i r="1">
      <x v="5"/>
      <x v="63"/>
      <x v="2649"/>
      <x/>
      <x v="1"/>
      <x v="20"/>
      <x/>
      <x v="1"/>
      <x v="1842"/>
      <x v="5160"/>
    </i>
    <i t="default" r="1">
      <x v="5"/>
    </i>
    <i r="1">
      <x v="15"/>
      <x v="19"/>
      <x v="2355"/>
      <x/>
      <x v="1"/>
      <x v="11"/>
      <x/>
      <x v="1"/>
      <x v="1664"/>
      <x v="5162"/>
    </i>
    <i t="default" r="1">
      <x v="15"/>
    </i>
    <i r="1">
      <x v="23"/>
      <x v="37"/>
      <x v="2648"/>
      <x/>
      <x/>
      <x v="17"/>
      <x v="1"/>
      <x v="1"/>
      <x v="556"/>
      <x v="5159"/>
    </i>
    <i t="default" r="1">
      <x v="23"/>
    </i>
    <i r="1">
      <x v="26"/>
      <x v="22"/>
      <x v="1946"/>
      <x/>
      <x/>
      <x v="30"/>
      <x v="1"/>
      <x v="2"/>
      <x/>
      <x v="5158"/>
    </i>
    <i t="default" r="1">
      <x v="26"/>
    </i>
    <i r="1">
      <x v="27"/>
      <x/>
      <x v="1576"/>
      <x v="1"/>
      <x/>
      <x v="35"/>
      <x v="1"/>
      <x v="2"/>
      <x/>
      <x v="4886"/>
    </i>
    <i t="default" r="1">
      <x v="27"/>
    </i>
    <i r="1">
      <x v="28"/>
      <x v="22"/>
      <x v="441"/>
      <x/>
      <x/>
      <x v="4"/>
      <x/>
      <x/>
      <x/>
      <x v="4911"/>
    </i>
    <i t="default" r="1">
      <x v="28"/>
    </i>
    <i r="1">
      <x v="33"/>
      <x v="22"/>
      <x v="1585"/>
      <x/>
      <x/>
      <x v="17"/>
      <x/>
      <x v="2"/>
      <x/>
      <x v="5157"/>
    </i>
    <i t="default" r="1">
      <x v="33"/>
    </i>
    <i r="1">
      <x v="35"/>
      <x/>
      <x v="14"/>
      <x v="1"/>
      <x v="1"/>
      <x v="17"/>
      <x v="1"/>
      <x v="1"/>
      <x v="2"/>
      <x v="4833"/>
    </i>
    <i t="default" r="1">
      <x v="35"/>
    </i>
    <i r="1">
      <x v="38"/>
      <x v="20"/>
      <x v="13"/>
      <x/>
      <x/>
      <x v="16"/>
      <x v="1"/>
      <x v="1"/>
      <x v="2"/>
      <x v="4822"/>
    </i>
    <i t="default" r="1">
      <x v="38"/>
    </i>
    <i r="1">
      <x v="39"/>
      <x v="20"/>
      <x v="15"/>
      <x/>
      <x/>
      <x v="16"/>
      <x v="1"/>
      <x v="1"/>
      <x v="1729"/>
      <x v="4824"/>
    </i>
    <i r="2">
      <x v="21"/>
      <x v="41"/>
      <x/>
      <x/>
      <x v="13"/>
      <x v="1"/>
      <x v="1"/>
      <x v="1727"/>
      <x v="4821"/>
    </i>
    <i t="default" r="1">
      <x v="39"/>
    </i>
    <i r="1">
      <x v="40"/>
      <x/>
      <x v="2557"/>
      <x/>
      <x v="1"/>
      <x v="17"/>
      <x v="1"/>
      <x v="1"/>
      <x v="2"/>
      <x v="5022"/>
    </i>
    <i t="default" r="1">
      <x v="40"/>
    </i>
    <i>
      <x v="12"/>
      <x/>
      <x v="1"/>
      <x v="32"/>
      <x/>
      <x/>
      <x v="3"/>
      <x/>
      <x v="1"/>
      <x v="1726"/>
      <x v="4814"/>
    </i>
    <i r="3">
      <x v="2080"/>
      <x/>
      <x/>
      <x v="21"/>
      <x/>
      <x v="1"/>
      <x v="1786"/>
      <x v="5010"/>
    </i>
    <i r="3">
      <x v="2452"/>
      <x/>
      <x/>
      <x v="3"/>
      <x/>
      <x v="1"/>
      <x v="1725"/>
      <x v="4813"/>
    </i>
    <i r="2">
      <x v="2"/>
      <x v="38"/>
      <x/>
      <x/>
      <x/>
      <x v="1"/>
      <x/>
      <x/>
      <x v="4200"/>
    </i>
    <i r="3">
      <x v="283"/>
      <x/>
      <x/>
      <x/>
      <x/>
      <x/>
      <x/>
      <x v="4476"/>
    </i>
    <i r="2">
      <x v="3"/>
      <x v="136"/>
      <x/>
      <x/>
      <x v="4"/>
      <x/>
      <x/>
      <x/>
      <x v="4666"/>
    </i>
    <i r="2">
      <x v="4"/>
      <x v="5"/>
      <x/>
      <x/>
      <x v="3"/>
      <x/>
      <x v="1"/>
      <x v="1723"/>
      <x v="4810"/>
    </i>
    <i r="3">
      <x v="6"/>
      <x/>
      <x/>
      <x v="3"/>
      <x/>
      <x v="1"/>
      <x v="1721"/>
      <x v="4808"/>
    </i>
    <i r="3">
      <x v="31"/>
      <x/>
      <x/>
      <x v="3"/>
      <x/>
      <x v="1"/>
      <x v="1722"/>
      <x v="4809"/>
    </i>
    <i r="2">
      <x v="8"/>
      <x v="10"/>
      <x/>
      <x/>
      <x v="6"/>
      <x/>
      <x/>
      <x v="1140"/>
      <x v="5005"/>
    </i>
    <i r="2">
      <x v="9"/>
      <x v="2450"/>
      <x/>
      <x/>
      <x/>
      <x/>
      <x/>
      <x/>
      <x v="4806"/>
    </i>
    <i r="2">
      <x v="10"/>
      <x v="2501"/>
      <x/>
      <x/>
      <x v="4"/>
      <x/>
      <x v="1"/>
      <x v="1767"/>
      <x v="4935"/>
    </i>
    <i r="3">
      <x v="2502"/>
      <x/>
      <x/>
      <x v="25"/>
      <x/>
      <x v="1"/>
      <x v="1768"/>
      <x v="4936"/>
    </i>
    <i r="3">
      <x v="2547"/>
      <x/>
      <x/>
      <x v="1"/>
      <x/>
      <x/>
      <x/>
      <x v="5003"/>
    </i>
    <i r="3">
      <x v="2607"/>
      <x/>
      <x/>
      <x v="2"/>
      <x/>
      <x/>
      <x/>
      <x v="5076"/>
    </i>
    <i r="3">
      <x v="2623"/>
      <x/>
      <x/>
      <x/>
      <x/>
      <x/>
      <x/>
      <x v="5110"/>
    </i>
    <i r="3">
      <x v="2624"/>
      <x/>
      <x/>
      <x v="21"/>
      <x/>
      <x v="1"/>
      <x v="1833"/>
      <x v="5111"/>
    </i>
    <i r="2">
      <x v="11"/>
      <x v="23"/>
      <x/>
      <x/>
      <x v="8"/>
      <x/>
      <x v="1"/>
      <x v="1720"/>
      <x v="5154"/>
    </i>
    <i r="3">
      <x v="46"/>
      <x/>
      <x/>
      <x v="7"/>
      <x/>
      <x v="1"/>
      <x v="1673"/>
      <x v="5152"/>
    </i>
    <i r="3">
      <x v="53"/>
      <x/>
      <x/>
      <x v="9"/>
      <x/>
      <x v="1"/>
      <x v="1742"/>
      <x v="5153"/>
    </i>
    <i r="2">
      <x v="12"/>
      <x v="1198"/>
      <x/>
      <x/>
      <x v="7"/>
      <x/>
      <x/>
      <x/>
      <x v="4621"/>
    </i>
    <i r="3">
      <x v="1672"/>
      <x/>
      <x/>
      <x v="21"/>
      <x/>
      <x/>
      <x/>
      <x v="5001"/>
    </i>
    <i r="3">
      <x v="2219"/>
      <x/>
      <x/>
      <x v="5"/>
      <x/>
      <x v="1"/>
      <x v="1785"/>
      <x v="4998"/>
    </i>
    <i r="3">
      <x v="2220"/>
      <x/>
      <x/>
      <x v="2"/>
      <x/>
      <x v="1"/>
      <x v="1282"/>
      <x v="4999"/>
    </i>
    <i r="3">
      <x v="2500"/>
      <x/>
      <x/>
      <x/>
      <x/>
      <x/>
      <x/>
      <x v="4934"/>
    </i>
    <i r="3">
      <x v="2546"/>
      <x/>
      <x/>
      <x v="3"/>
      <x/>
      <x/>
      <x/>
      <x v="5000"/>
    </i>
    <i r="3">
      <x v="2622"/>
      <x/>
      <x/>
      <x v="1"/>
      <x/>
      <x/>
      <x/>
      <x v="5108"/>
    </i>
    <i r="2">
      <x v="13"/>
      <x v="43"/>
      <x/>
      <x/>
      <x v="4"/>
      <x/>
      <x v="1"/>
      <x v="1718"/>
      <x v="4799"/>
    </i>
    <i r="3">
      <x v="126"/>
      <x/>
      <x/>
      <x v="1"/>
      <x/>
      <x/>
      <x/>
      <x v="4997"/>
    </i>
    <i r="3">
      <x v="438"/>
      <x/>
      <x/>
      <x/>
      <x/>
      <x v="1"/>
      <x v="1841"/>
      <x v="5151"/>
    </i>
    <i r="3">
      <x v="2544"/>
      <x/>
      <x/>
      <x v="2"/>
      <x/>
      <x/>
      <x/>
      <x v="4995"/>
    </i>
    <i r="3">
      <x v="2545"/>
      <x/>
      <x/>
      <x v="7"/>
      <x/>
      <x/>
      <x v="1784"/>
      <x v="4996"/>
    </i>
    <i r="3">
      <x v="2646"/>
      <x/>
      <x/>
      <x v="1"/>
      <x/>
      <x/>
      <x/>
      <x v="5150"/>
    </i>
    <i r="2">
      <x v="14"/>
      <x v="1955"/>
      <x/>
      <x/>
      <x v="1"/>
      <x/>
      <x/>
      <x/>
      <x v="4994"/>
    </i>
    <i r="2">
      <x v="15"/>
      <x v="121"/>
      <x/>
      <x/>
      <x v="3"/>
      <x/>
      <x/>
      <x/>
      <x v="5106"/>
    </i>
    <i r="3">
      <x v="2231"/>
      <x/>
      <x/>
      <x/>
      <x/>
      <x v="3"/>
      <x/>
      <x v="4852"/>
    </i>
    <i r="3">
      <x v="2446"/>
      <x/>
      <x/>
      <x v="3"/>
      <x/>
      <x/>
      <x/>
      <x v="4796"/>
    </i>
    <i r="3">
      <x v="2542"/>
      <x/>
      <x/>
      <x/>
      <x/>
      <x/>
      <x/>
      <x v="4992"/>
    </i>
    <i r="3">
      <x v="2543"/>
      <x/>
      <x/>
      <x/>
      <x/>
      <x/>
      <x/>
      <x v="4993"/>
    </i>
    <i r="2">
      <x v="25"/>
      <x v="2552"/>
      <x/>
      <x/>
      <x v="37"/>
      <x/>
      <x/>
      <x/>
      <x v="5013"/>
    </i>
    <i r="2">
      <x v="31"/>
      <x v="2647"/>
      <x/>
      <x/>
      <x v="58"/>
      <x/>
      <x/>
      <x/>
      <x v="5156"/>
    </i>
    <i r="2">
      <x v="34"/>
      <x v="2644"/>
      <x/>
      <x/>
      <x/>
      <x/>
      <x/>
      <x/>
      <x v="5148"/>
    </i>
    <i r="3">
      <x v="2645"/>
      <x/>
      <x/>
      <x v="1"/>
      <x/>
      <x/>
      <x/>
      <x v="5149"/>
    </i>
    <i r="2">
      <x v="40"/>
      <x v="362"/>
      <x/>
      <x/>
      <x v="6"/>
      <x/>
      <x/>
      <x/>
      <x v="5155"/>
    </i>
    <i r="2">
      <x v="42"/>
      <x v="2235"/>
      <x/>
      <x/>
      <x v="7"/>
      <x/>
      <x/>
      <x/>
      <x v="4472"/>
    </i>
    <i t="default" r="1">
      <x/>
    </i>
  </rowItems>
  <colItems count="1">
    <i/>
  </colItems>
  <dataFields count="1">
    <dataField name="Ads" fld="1" subtotal="count" baseField="11" baseItem="3"/>
  </dataFields>
  <formats count="1421">
    <format dxfId="1420">
      <pivotArea dataOnly="0" labelOnly="1" outline="0" fieldPosition="0">
        <references count="1">
          <reference field="1" count="0"/>
        </references>
      </pivotArea>
    </format>
    <format dxfId="1419">
      <pivotArea dataOnly="0" labelOnly="1" outline="0" fieldPosition="0">
        <references count="1">
          <reference field="1" count="0"/>
        </references>
      </pivotArea>
    </format>
    <format dxfId="1418">
      <pivotArea dataOnly="0" labelOnly="1" outline="0" fieldPosition="0">
        <references count="1">
          <reference field="1" count="0"/>
        </references>
      </pivotArea>
    </format>
    <format dxfId="1417">
      <pivotArea dataOnly="0" labelOnly="1" outline="0" fieldPosition="0">
        <references count="1">
          <reference field="1" count="0"/>
        </references>
      </pivotArea>
    </format>
    <format dxfId="1416">
      <pivotArea dataOnly="0" labelOnly="1" outline="0" fieldPosition="0">
        <references count="1">
          <reference field="18" count="0"/>
        </references>
      </pivotArea>
    </format>
    <format dxfId="1415">
      <pivotArea dataOnly="0" labelOnly="1" outline="0" fieldPosition="0">
        <references count="1">
          <reference field="18" count="0"/>
        </references>
      </pivotArea>
    </format>
    <format dxfId="1414">
      <pivotArea dataOnly="0" labelOnly="1" outline="0" fieldPosition="0">
        <references count="1">
          <reference field="18" count="0"/>
        </references>
      </pivotArea>
    </format>
    <format dxfId="1413">
      <pivotArea dataOnly="0" labelOnly="1" outline="0" fieldPosition="0">
        <references count="1">
          <reference field="18" count="0"/>
        </references>
      </pivotArea>
    </format>
    <format dxfId="1412">
      <pivotArea dataOnly="0" outline="0" fieldPosition="0">
        <references count="1">
          <reference field="12" count="0" defaultSubtotal="1"/>
        </references>
      </pivotArea>
    </format>
    <format dxfId="1411">
      <pivotArea dataOnly="0" outline="0" fieldPosition="0">
        <references count="1">
          <reference field="12" count="0" defaultSubtotal="1"/>
        </references>
      </pivotArea>
    </format>
    <format dxfId="1410">
      <pivotArea dataOnly="0" labelOnly="1" outline="0" fieldPosition="0">
        <references count="1">
          <reference field="12" count="0"/>
        </references>
      </pivotArea>
    </format>
    <format dxfId="1409">
      <pivotArea dataOnly="0" labelOnly="1" outline="0" fieldPosition="0">
        <references count="1">
          <reference field="12" count="0"/>
        </references>
      </pivotArea>
    </format>
    <format dxfId="1408">
      <pivotArea dataOnly="0" labelOnly="1" outline="0" fieldPosition="0">
        <references count="1">
          <reference field="12" count="0"/>
        </references>
      </pivotArea>
    </format>
    <format dxfId="1407">
      <pivotArea dataOnly="0" labelOnly="1" outline="0" fieldPosition="0">
        <references count="1">
          <reference field="12" count="0"/>
        </references>
      </pivotArea>
    </format>
    <format dxfId="1406">
      <pivotArea dataOnly="0" labelOnly="1" outline="0" fieldPosition="0">
        <references count="1">
          <reference field="0" count="0"/>
        </references>
      </pivotArea>
    </format>
    <format dxfId="1405">
      <pivotArea dataOnly="0" labelOnly="1" outline="0" fieldPosition="0">
        <references count="1">
          <reference field="10" count="0"/>
        </references>
      </pivotArea>
    </format>
    <format dxfId="1404">
      <pivotArea dataOnly="0" labelOnly="1" outline="0" fieldPosition="0">
        <references count="1">
          <reference field="4" count="0"/>
        </references>
      </pivotArea>
    </format>
    <format dxfId="1403">
      <pivotArea dataOnly="0" labelOnly="1" outline="0" fieldPosition="0">
        <references count="1">
          <reference field="13" count="0"/>
        </references>
      </pivotArea>
    </format>
    <format dxfId="1402">
      <pivotArea dataOnly="0" labelOnly="1" outline="0" fieldPosition="0">
        <references count="1">
          <reference field="16" count="0"/>
        </references>
      </pivotArea>
    </format>
    <format dxfId="1401">
      <pivotArea dataOnly="0" labelOnly="1" outline="0" fieldPosition="0">
        <references count="1">
          <reference field="9" count="0"/>
        </references>
      </pivotArea>
    </format>
    <format dxfId="1400">
      <pivotArea dataOnly="0" labelOnly="1" outline="0" fieldPosition="0">
        <references count="1">
          <reference field="7" count="0"/>
        </references>
      </pivotArea>
    </format>
    <format dxfId="1399">
      <pivotArea dataOnly="0" labelOnly="1" outline="0" fieldPosition="0">
        <references count="1">
          <reference field="3" count="0"/>
        </references>
      </pivotArea>
    </format>
    <format dxfId="1398">
      <pivotArea field="13" type="button" dataOnly="0" labelOnly="1" outline="0" axis="axisRow" fieldPosition="4"/>
    </format>
    <format dxfId="1397">
      <pivotArea field="16" type="button" dataOnly="0" labelOnly="1" outline="0" axis="axisRow" fieldPosition="5"/>
    </format>
    <format dxfId="1396">
      <pivotArea field="18" type="button" dataOnly="0" labelOnly="1" outline="0" axis="axisRow" fieldPosition="6"/>
    </format>
    <format dxfId="1395">
      <pivotArea field="9" type="button" dataOnly="0" labelOnly="1" outline="0" axis="axisRow" fieldPosition="7"/>
    </format>
    <format dxfId="1394">
      <pivotArea field="13" type="button" dataOnly="0" labelOnly="1" outline="0" axis="axisRow" fieldPosition="4"/>
    </format>
    <format dxfId="1393">
      <pivotArea field="16" type="button" dataOnly="0" labelOnly="1" outline="0" axis="axisRow" fieldPosition="5"/>
    </format>
    <format dxfId="1392">
      <pivotArea field="18" type="button" dataOnly="0" labelOnly="1" outline="0" axis="axisRow" fieldPosition="6"/>
    </format>
    <format dxfId="1391">
      <pivotArea field="9" type="button" dataOnly="0" labelOnly="1" outline="0" axis="axisRow" fieldPosition="7"/>
    </format>
    <format dxfId="1390">
      <pivotArea field="13" type="button" dataOnly="0" labelOnly="1" outline="0" axis="axisRow" fieldPosition="4"/>
    </format>
    <format dxfId="1389">
      <pivotArea field="16" type="button" dataOnly="0" labelOnly="1" outline="0" axis="axisRow" fieldPosition="5"/>
    </format>
    <format dxfId="1388">
      <pivotArea field="18" type="button" dataOnly="0" labelOnly="1" outline="0" axis="axisRow" fieldPosition="6"/>
    </format>
    <format dxfId="1387">
      <pivotArea field="9" type="button" dataOnly="0" labelOnly="1" outline="0" axis="axisRow" fieldPosition="7"/>
    </format>
    <format dxfId="1386">
      <pivotArea outline="0" collapsedLevelsAreSubtotals="1" fieldPosition="0"/>
    </format>
    <format dxfId="1385">
      <pivotArea dataOnly="0" labelOnly="1" outline="0" axis="axisValues" fieldPosition="0"/>
    </format>
    <format dxfId="1384">
      <pivotArea dataOnly="0" labelOnly="1" outline="0" axis="axisValues" fieldPosition="0"/>
    </format>
    <format dxfId="1383">
      <pivotArea outline="0" collapsedLevelsAreSubtotals="1" fieldPosition="0"/>
    </format>
    <format dxfId="1382">
      <pivotArea dataOnly="0" labelOnly="1" outline="0" axis="axisValues" fieldPosition="0"/>
    </format>
    <format dxfId="1381">
      <pivotArea dataOnly="0" labelOnly="1" outline="0" axis="axisValues" fieldPosition="0"/>
    </format>
    <format dxfId="1380">
      <pivotArea dataOnly="0" outline="0" fieldPosition="0">
        <references count="1">
          <reference field="12" count="0" defaultSubtotal="1"/>
        </references>
      </pivotArea>
    </format>
    <format dxfId="1379">
      <pivotArea dataOnly="0" outline="0" fieldPosition="0">
        <references count="1">
          <reference field="12" count="0" defaultSubtotal="1"/>
        </references>
      </pivotArea>
    </format>
    <format dxfId="1378">
      <pivotArea dataOnly="0" outline="0" fieldPosition="0">
        <references count="1">
          <reference field="12" count="0" defaultSubtotal="1"/>
        </references>
      </pivotArea>
    </format>
    <format dxfId="1377">
      <pivotArea dataOnly="0" outline="0" fieldPosition="0">
        <references count="1">
          <reference field="12" count="0" defaultSubtotal="1"/>
        </references>
      </pivotArea>
    </format>
    <format dxfId="1376">
      <pivotArea outline="0" collapsedLevelsAreSubtotals="1" fieldPosition="0"/>
    </format>
    <format dxfId="1375">
      <pivotArea dataOnly="0" labelOnly="1" outline="0" axis="axisValues" fieldPosition="0"/>
    </format>
    <format dxfId="1374">
      <pivotArea dataOnly="0" labelOnly="1" outline="0" axis="axisValues" fieldPosition="0"/>
    </format>
    <format dxfId="1373">
      <pivotArea dataOnly="0" outline="0" fieldPosition="0">
        <references count="1">
          <reference field="12" count="0" defaultSubtotal="1"/>
        </references>
      </pivotArea>
    </format>
    <format dxfId="1372">
      <pivotArea dataOnly="0" outline="0" fieldPosition="0">
        <references count="1">
          <reference field="12" count="0" defaultSubtotal="1"/>
        </references>
      </pivotArea>
    </format>
    <format dxfId="1371">
      <pivotArea dataOnly="0" outline="0" fieldPosition="0">
        <references count="1">
          <reference field="12" count="0" defaultSubtotal="1"/>
        </references>
      </pivotArea>
    </format>
    <format dxfId="1370">
      <pivotArea dataOnly="0" outline="0" fieldPosition="0">
        <references count="1">
          <reference field="12" count="0" defaultSubtotal="1"/>
        </references>
      </pivotArea>
    </format>
    <format dxfId="1369">
      <pivotArea field="0" type="button" dataOnly="0" labelOnly="1" outline="0" axis="axisRow" fieldPosition="0"/>
    </format>
    <format dxfId="1368">
      <pivotArea field="12" type="button" dataOnly="0" labelOnly="1" outline="0" axis="axisRow" fieldPosition="1"/>
    </format>
    <format dxfId="1367">
      <pivotArea field="10" type="button" dataOnly="0" labelOnly="1" outline="0" axis="axisRow" fieldPosition="2"/>
    </format>
    <format dxfId="1366">
      <pivotArea field="4" type="button" dataOnly="0" labelOnly="1" outline="0" axis="axisRow" fieldPosition="3"/>
    </format>
    <format dxfId="1365">
      <pivotArea field="13" type="button" dataOnly="0" labelOnly="1" outline="0" axis="axisRow" fieldPosition="4"/>
    </format>
    <format dxfId="1364">
      <pivotArea field="16" type="button" dataOnly="0" labelOnly="1" outline="0" axis="axisRow" fieldPosition="5"/>
    </format>
    <format dxfId="1363">
      <pivotArea field="18" type="button" dataOnly="0" labelOnly="1" outline="0" axis="axisRow" fieldPosition="6"/>
    </format>
    <format dxfId="1362">
      <pivotArea field="9" type="button" dataOnly="0" labelOnly="1" outline="0" axis="axisRow" fieldPosition="7"/>
    </format>
    <format dxfId="1361">
      <pivotArea field="7" type="button" dataOnly="0" labelOnly="1" outline="0" axis="axisRow" fieldPosition="8"/>
    </format>
    <format dxfId="1360">
      <pivotArea field="3" type="button" dataOnly="0" labelOnly="1" outline="0" axis="axisRow" fieldPosition="9"/>
    </format>
    <format dxfId="1359">
      <pivotArea field="1" type="button" dataOnly="0" labelOnly="1" outline="0" axis="axisRow" fieldPosition="10"/>
    </format>
    <format dxfId="1358">
      <pivotArea dataOnly="0" labelOnly="1" outline="0" axis="axisValues" fieldPosition="0"/>
    </format>
    <format dxfId="1357">
      <pivotArea field="13" type="button" dataOnly="0" labelOnly="1" outline="0" axis="axisRow" fieldPosition="4"/>
    </format>
    <format dxfId="1356">
      <pivotArea field="16" type="button" dataOnly="0" labelOnly="1" outline="0" axis="axisRow" fieldPosition="5"/>
    </format>
    <format dxfId="1355">
      <pivotArea field="18" type="button" dataOnly="0" labelOnly="1" outline="0" axis="axisRow" fieldPosition="6"/>
    </format>
    <format dxfId="1354">
      <pivotArea field="9" type="button" dataOnly="0" labelOnly="1" outline="0" axis="axisRow" fieldPosition="7"/>
    </format>
    <format dxfId="1353">
      <pivotArea field="0" type="button" dataOnly="0" labelOnly="1" outline="0" axis="axisRow" fieldPosition="0"/>
    </format>
    <format dxfId="1352">
      <pivotArea field="12" type="button" dataOnly="0" labelOnly="1" outline="0" axis="axisRow" fieldPosition="1"/>
    </format>
    <format dxfId="1351">
      <pivotArea field="10" type="button" dataOnly="0" labelOnly="1" outline="0" axis="axisRow" fieldPosition="2"/>
    </format>
    <format dxfId="1350">
      <pivotArea field="4" type="button" dataOnly="0" labelOnly="1" outline="0" axis="axisRow" fieldPosition="3"/>
    </format>
    <format dxfId="1349">
      <pivotArea field="13" type="button" dataOnly="0" labelOnly="1" outline="0" axis="axisRow" fieldPosition="4"/>
    </format>
    <format dxfId="1348">
      <pivotArea field="16" type="button" dataOnly="0" labelOnly="1" outline="0" axis="axisRow" fieldPosition="5"/>
    </format>
    <format dxfId="1347">
      <pivotArea field="18" type="button" dataOnly="0" labelOnly="1" outline="0" axis="axisRow" fieldPosition="6"/>
    </format>
    <format dxfId="1346">
      <pivotArea field="9" type="button" dataOnly="0" labelOnly="1" outline="0" axis="axisRow" fieldPosition="7"/>
    </format>
    <format dxfId="1345">
      <pivotArea field="7" type="button" dataOnly="0" labelOnly="1" outline="0" axis="axisRow" fieldPosition="8"/>
    </format>
    <format dxfId="1344">
      <pivotArea field="3" type="button" dataOnly="0" labelOnly="1" outline="0" axis="axisRow" fieldPosition="9"/>
    </format>
    <format dxfId="1343">
      <pivotArea field="1" type="button" dataOnly="0" labelOnly="1" outline="0" axis="axisRow" fieldPosition="10"/>
    </format>
    <format dxfId="1342">
      <pivotArea dataOnly="0" labelOnly="1" outline="0" axis="axisValues" fieldPosition="0"/>
    </format>
    <format dxfId="1341">
      <pivotArea field="0" type="button" dataOnly="0" labelOnly="1" outline="0" axis="axisRow" fieldPosition="0"/>
    </format>
    <format dxfId="1340">
      <pivotArea field="12" type="button" dataOnly="0" labelOnly="1" outline="0" axis="axisRow" fieldPosition="1"/>
    </format>
    <format dxfId="1339">
      <pivotArea field="10" type="button" dataOnly="0" labelOnly="1" outline="0" axis="axisRow" fieldPosition="2"/>
    </format>
    <format dxfId="1338">
      <pivotArea field="4" type="button" dataOnly="0" labelOnly="1" outline="0" axis="axisRow" fieldPosition="3"/>
    </format>
    <format dxfId="1337">
      <pivotArea field="13" type="button" dataOnly="0" labelOnly="1" outline="0" axis="axisRow" fieldPosition="4"/>
    </format>
    <format dxfId="1336">
      <pivotArea field="16" type="button" dataOnly="0" labelOnly="1" outline="0" axis="axisRow" fieldPosition="5"/>
    </format>
    <format dxfId="1335">
      <pivotArea field="18" type="button" dataOnly="0" labelOnly="1" outline="0" axis="axisRow" fieldPosition="6"/>
    </format>
    <format dxfId="1334">
      <pivotArea field="9" type="button" dataOnly="0" labelOnly="1" outline="0" axis="axisRow" fieldPosition="7"/>
    </format>
    <format dxfId="1333">
      <pivotArea field="7" type="button" dataOnly="0" labelOnly="1" outline="0" axis="axisRow" fieldPosition="8"/>
    </format>
    <format dxfId="1332">
      <pivotArea field="3" type="button" dataOnly="0" labelOnly="1" outline="0" axis="axisRow" fieldPosition="9"/>
    </format>
    <format dxfId="1331">
      <pivotArea field="1" type="button" dataOnly="0" labelOnly="1" outline="0" axis="axisRow" fieldPosition="10"/>
    </format>
    <format dxfId="1330">
      <pivotArea dataOnly="0" labelOnly="1" outline="0" axis="axisValues" fieldPosition="0"/>
    </format>
    <format dxfId="1329">
      <pivotArea type="all" dataOnly="0" outline="0" fieldPosition="0"/>
    </format>
    <format dxfId="1328">
      <pivotArea outline="0" collapsedLevelsAreSubtotals="1" fieldPosition="0"/>
    </format>
    <format dxfId="1327">
      <pivotArea dataOnly="0" labelOnly="1" outline="0" fieldPosition="0">
        <references count="3">
          <reference field="0" count="1" selected="0">
            <x v="0"/>
          </reference>
          <reference field="10" count="1">
            <x v="21"/>
          </reference>
          <reference field="12" count="1" selected="0">
            <x v="4"/>
          </reference>
        </references>
      </pivotArea>
    </format>
    <format dxfId="1326">
      <pivotArea dataOnly="0" labelOnly="1" outline="0" fieldPosition="0">
        <references count="3">
          <reference field="0" count="1" selected="0">
            <x v="5"/>
          </reference>
          <reference field="10" count="1">
            <x v="21"/>
          </reference>
          <reference field="12" count="1" selected="0">
            <x v="1"/>
          </reference>
        </references>
      </pivotArea>
    </format>
    <format dxfId="1325">
      <pivotArea dataOnly="0" labelOnly="1" outline="0" fieldPosition="0">
        <references count="3">
          <reference field="0" count="1" selected="0">
            <x v="5"/>
          </reference>
          <reference field="10" count="1">
            <x v="21"/>
          </reference>
          <reference field="12" count="1" selected="0">
            <x v="2"/>
          </reference>
        </references>
      </pivotArea>
    </format>
    <format dxfId="1324">
      <pivotArea dataOnly="0" labelOnly="1" outline="0" fieldPosition="0">
        <references count="3">
          <reference field="0" count="1" selected="0">
            <x v="5"/>
          </reference>
          <reference field="10" count="1">
            <x v="21"/>
          </reference>
          <reference field="12" count="1" selected="0">
            <x v="3"/>
          </reference>
        </references>
      </pivotArea>
    </format>
    <format dxfId="1323">
      <pivotArea dataOnly="0" labelOnly="1" outline="0" fieldPosition="0">
        <references count="3">
          <reference field="0" count="1" selected="0">
            <x v="5"/>
          </reference>
          <reference field="10" count="1">
            <x v="21"/>
          </reference>
          <reference field="12" count="1" selected="0">
            <x v="4"/>
          </reference>
        </references>
      </pivotArea>
    </format>
    <format dxfId="1322">
      <pivotArea dataOnly="0" labelOnly="1" outline="0" fieldPosition="0">
        <references count="3">
          <reference field="0" count="1" selected="0">
            <x v="11"/>
          </reference>
          <reference field="10" count="1">
            <x v="0"/>
          </reference>
          <reference field="12" count="1" selected="0">
            <x v="7"/>
          </reference>
        </references>
      </pivotArea>
    </format>
    <format dxfId="1321">
      <pivotArea dataOnly="0" labelOnly="1" outline="0" fieldPosition="0">
        <references count="3">
          <reference field="0" count="1" selected="0">
            <x v="11"/>
          </reference>
          <reference field="10" count="1">
            <x v="0"/>
          </reference>
          <reference field="12" count="1" selected="0">
            <x v="11"/>
          </reference>
        </references>
      </pivotArea>
    </format>
    <format dxfId="1320">
      <pivotArea dataOnly="0" labelOnly="1" outline="0" fieldPosition="0">
        <references count="3">
          <reference field="0" count="1" selected="0">
            <x v="11"/>
          </reference>
          <reference field="10" count="1">
            <x v="22"/>
          </reference>
          <reference field="12" count="1" selected="0">
            <x v="18"/>
          </reference>
        </references>
      </pivotArea>
    </format>
    <format dxfId="1319">
      <pivotArea dataOnly="0" labelOnly="1" outline="0" fieldPosition="0">
        <references count="3">
          <reference field="0" count="1" selected="0">
            <x v="11"/>
          </reference>
          <reference field="10" count="1">
            <x v="22"/>
          </reference>
          <reference field="12" count="1" selected="0">
            <x v="21"/>
          </reference>
        </references>
      </pivotArea>
    </format>
    <format dxfId="1318">
      <pivotArea dataOnly="0" labelOnly="1" outline="0" fieldPosition="0">
        <references count="3">
          <reference field="0" count="1" selected="0">
            <x v="11"/>
          </reference>
          <reference field="10" count="1">
            <x v="0"/>
          </reference>
          <reference field="12" count="1" selected="0">
            <x v="22"/>
          </reference>
        </references>
      </pivotArea>
    </format>
    <format dxfId="1317">
      <pivotArea dataOnly="0" labelOnly="1" outline="0" fieldPosition="0">
        <references count="3">
          <reference field="0" count="1" selected="0">
            <x v="11"/>
          </reference>
          <reference field="10" count="1">
            <x v="19"/>
          </reference>
          <reference field="12" count="1" selected="0">
            <x v="24"/>
          </reference>
        </references>
      </pivotArea>
    </format>
    <format dxfId="1316">
      <pivotArea dataOnly="0" labelOnly="1" outline="0" fieldPosition="0">
        <references count="3">
          <reference field="0" count="1" selected="0">
            <x v="11"/>
          </reference>
          <reference field="10" count="1">
            <x v="22"/>
          </reference>
          <reference field="12" count="1" selected="0">
            <x v="29"/>
          </reference>
        </references>
      </pivotArea>
    </format>
    <format dxfId="1315">
      <pivotArea dataOnly="0" labelOnly="1" outline="0" fieldPosition="0">
        <references count="3">
          <reference field="0" count="1" selected="0">
            <x v="11"/>
          </reference>
          <reference field="10" count="2">
            <x v="20"/>
            <x v="21"/>
          </reference>
          <reference field="12" count="1" selected="0">
            <x v="30"/>
          </reference>
        </references>
      </pivotArea>
    </format>
    <format dxfId="1314">
      <pivotArea dataOnly="0" labelOnly="1" outline="0" fieldPosition="0">
        <references count="3">
          <reference field="0" count="1" selected="0">
            <x v="11"/>
          </reference>
          <reference field="10" count="2">
            <x v="20"/>
            <x v="41"/>
          </reference>
          <reference field="12" count="1" selected="0">
            <x v="31"/>
          </reference>
        </references>
      </pivotArea>
    </format>
    <format dxfId="1313">
      <pivotArea dataOnly="0" labelOnly="1" outline="0" fieldPosition="0">
        <references count="3">
          <reference field="0" count="1" selected="0">
            <x v="12"/>
          </reference>
          <reference field="10" count="18">
            <x v="1"/>
            <x v="2"/>
            <x v="3"/>
            <x v="4"/>
            <x v="8"/>
            <x v="9"/>
            <x v="10"/>
            <x v="11"/>
            <x v="12"/>
            <x v="13"/>
            <x v="14"/>
            <x v="15"/>
            <x v="25"/>
            <x v="40"/>
            <x v="42"/>
            <x v="45"/>
            <x v="46"/>
            <x v="70"/>
          </reference>
          <reference field="12" count="1" selected="0">
            <x v="0"/>
          </reference>
        </references>
      </pivotArea>
    </format>
    <format dxfId="1312">
      <pivotArea dataOnly="0" labelOnly="1" outline="0" fieldPosition="0">
        <references count="4">
          <reference field="0" count="1" selected="0">
            <x v="0"/>
          </reference>
          <reference field="4" count="1">
            <x v="120"/>
          </reference>
          <reference field="10" count="1" selected="0">
            <x v="21"/>
          </reference>
          <reference field="12" count="1" selected="0">
            <x v="2"/>
          </reference>
        </references>
      </pivotArea>
    </format>
    <format dxfId="1311">
      <pivotArea dataOnly="0" labelOnly="1" outline="0" fieldPosition="0">
        <references count="4">
          <reference field="0" count="1" selected="0">
            <x v="0"/>
          </reference>
          <reference field="4" count="1">
            <x v="2177"/>
          </reference>
          <reference field="10" count="1" selected="0">
            <x v="21"/>
          </reference>
          <reference field="12" count="1" selected="0">
            <x v="3"/>
          </reference>
        </references>
      </pivotArea>
    </format>
    <format dxfId="1310">
      <pivotArea dataOnly="0" labelOnly="1" outline="0" fieldPosition="0">
        <references count="4">
          <reference field="0" count="1" selected="0">
            <x v="0"/>
          </reference>
          <reference field="4" count="1">
            <x v="2"/>
          </reference>
          <reference field="10" count="1" selected="0">
            <x v="21"/>
          </reference>
          <reference field="12" count="1" selected="0">
            <x v="4"/>
          </reference>
        </references>
      </pivotArea>
    </format>
    <format dxfId="1309">
      <pivotArea dataOnly="0" labelOnly="1" outline="0" fieldPosition="0">
        <references count="4">
          <reference field="0" count="1" selected="0">
            <x v="5"/>
          </reference>
          <reference field="4" count="1">
            <x v="2496"/>
          </reference>
          <reference field="10" count="1" selected="0">
            <x v="21"/>
          </reference>
          <reference field="12" count="1" selected="0">
            <x v="1"/>
          </reference>
        </references>
      </pivotArea>
    </format>
    <format dxfId="1308">
      <pivotArea dataOnly="0" labelOnly="1" outline="0" fieldPosition="0">
        <references count="4">
          <reference field="0" count="1" selected="0">
            <x v="5"/>
          </reference>
          <reference field="4" count="3">
            <x v="1068"/>
            <x v="2495"/>
            <x v="2499"/>
          </reference>
          <reference field="10" count="1" selected="0">
            <x v="21"/>
          </reference>
          <reference field="12" count="1" selected="0">
            <x v="2"/>
          </reference>
        </references>
      </pivotArea>
    </format>
    <format dxfId="1307">
      <pivotArea dataOnly="0" labelOnly="1" outline="0" fieldPosition="0">
        <references count="4">
          <reference field="0" count="1" selected="0">
            <x v="5"/>
          </reference>
          <reference field="4" count="1">
            <x v="2497"/>
          </reference>
          <reference field="10" count="1" selected="0">
            <x v="21"/>
          </reference>
          <reference field="12" count="1" selected="0">
            <x v="3"/>
          </reference>
        </references>
      </pivotArea>
    </format>
    <format dxfId="1306">
      <pivotArea dataOnly="0" labelOnly="1" outline="0" fieldPosition="0">
        <references count="4">
          <reference field="0" count="1" selected="0">
            <x v="5"/>
          </reference>
          <reference field="4" count="4">
            <x v="921"/>
            <x v="1071"/>
            <x v="1471"/>
            <x v="2498"/>
          </reference>
          <reference field="10" count="1" selected="0">
            <x v="21"/>
          </reference>
          <reference field="12" count="1" selected="0">
            <x v="4"/>
          </reference>
        </references>
      </pivotArea>
    </format>
    <format dxfId="1305">
      <pivotArea dataOnly="0" labelOnly="1" outline="0" fieldPosition="0">
        <references count="4">
          <reference field="0" count="1" selected="0">
            <x v="9"/>
          </reference>
          <reference field="4" count="4">
            <x v="2491"/>
            <x v="2492"/>
            <x v="2493"/>
            <x v="2494"/>
          </reference>
          <reference field="10" count="1" selected="0">
            <x v="16"/>
          </reference>
          <reference field="12" count="1" selected="0">
            <x v="0"/>
          </reference>
        </references>
      </pivotArea>
    </format>
    <format dxfId="1304">
      <pivotArea dataOnly="0" labelOnly="1" outline="0" fieldPosition="0">
        <references count="4">
          <reference field="0" count="1" selected="0">
            <x v="10"/>
          </reference>
          <reference field="4" count="6">
            <x v="434"/>
            <x v="2094"/>
            <x v="2245"/>
            <x v="2328"/>
            <x v="2393"/>
            <x v="2460"/>
          </reference>
          <reference field="10" count="1" selected="0">
            <x v="5"/>
          </reference>
          <reference field="12" count="1" selected="0">
            <x v="0"/>
          </reference>
        </references>
      </pivotArea>
    </format>
    <format dxfId="1303">
      <pivotArea dataOnly="0" labelOnly="1" outline="0" fieldPosition="0">
        <references count="4">
          <reference field="0" count="1" selected="0">
            <x v="10"/>
          </reference>
          <reference field="4" count="3">
            <x v="4"/>
            <x v="42"/>
            <x v="2419"/>
          </reference>
          <reference field="10" count="1" selected="0">
            <x v="6"/>
          </reference>
          <reference field="12" count="1" selected="0">
            <x v="0"/>
          </reference>
        </references>
      </pivotArea>
    </format>
    <format dxfId="1302">
      <pivotArea dataOnly="0" labelOnly="1" outline="0" fieldPosition="0">
        <references count="4">
          <reference field="0" count="1" selected="0">
            <x v="10"/>
          </reference>
          <reference field="4" count="2">
            <x v="19"/>
            <x v="158"/>
          </reference>
          <reference field="10" count="1" selected="0">
            <x v="23"/>
          </reference>
          <reference field="12" count="1" selected="0">
            <x v="0"/>
          </reference>
        </references>
      </pivotArea>
    </format>
    <format dxfId="1301">
      <pivotArea dataOnly="0" labelOnly="1" outline="0" fieldPosition="0">
        <references count="4">
          <reference field="0" count="1" selected="0">
            <x v="11"/>
          </reference>
          <reference field="4" count="1">
            <x v="2340"/>
          </reference>
          <reference field="10" count="1" selected="0">
            <x v="0"/>
          </reference>
          <reference field="12" count="1" selected="0">
            <x v="7"/>
          </reference>
        </references>
      </pivotArea>
    </format>
    <format dxfId="1300">
      <pivotArea dataOnly="0" labelOnly="1" outline="0" fieldPosition="0">
        <references count="4">
          <reference field="0" count="1" selected="0">
            <x v="11"/>
          </reference>
          <reference field="4" count="1">
            <x v="2490"/>
          </reference>
          <reference field="10" count="1" selected="0">
            <x v="0"/>
          </reference>
          <reference field="12" count="1" selected="0">
            <x v="11"/>
          </reference>
        </references>
      </pivotArea>
    </format>
    <format dxfId="1299">
      <pivotArea dataOnly="0" labelOnly="1" outline="0" fieldPosition="0">
        <references count="4">
          <reference field="0" count="1" selected="0">
            <x v="11"/>
          </reference>
          <reference field="4" count="1">
            <x v="1750"/>
          </reference>
          <reference field="10" count="1" selected="0">
            <x v="22"/>
          </reference>
          <reference field="12" count="1" selected="0">
            <x v="18"/>
          </reference>
        </references>
      </pivotArea>
    </format>
    <format dxfId="1298">
      <pivotArea dataOnly="0" labelOnly="1" outline="0" fieldPosition="0">
        <references count="4">
          <reference field="0" count="1" selected="0">
            <x v="11"/>
          </reference>
          <reference field="4" count="1">
            <x v="1585"/>
          </reference>
          <reference field="10" count="1" selected="0">
            <x v="22"/>
          </reference>
          <reference field="12" count="1" selected="0">
            <x v="21"/>
          </reference>
        </references>
      </pivotArea>
    </format>
    <format dxfId="1297">
      <pivotArea dataOnly="0" labelOnly="1" outline="0" fieldPosition="0">
        <references count="4">
          <reference field="0" count="1" selected="0">
            <x v="11"/>
          </reference>
          <reference field="4" count="1">
            <x v="1576"/>
          </reference>
          <reference field="10" count="1" selected="0">
            <x v="0"/>
          </reference>
          <reference field="12" count="1" selected="0">
            <x v="22"/>
          </reference>
        </references>
      </pivotArea>
    </format>
    <format dxfId="1296">
      <pivotArea dataOnly="0" labelOnly="1" outline="0" fieldPosition="0">
        <references count="4">
          <reference field="0" count="1" selected="0">
            <x v="11"/>
          </reference>
          <reference field="4" count="1">
            <x v="2355"/>
          </reference>
          <reference field="10" count="1" selected="0">
            <x v="19"/>
          </reference>
          <reference field="12" count="1" selected="0">
            <x v="24"/>
          </reference>
        </references>
      </pivotArea>
    </format>
    <format dxfId="1295">
      <pivotArea dataOnly="0" labelOnly="1" outline="0" fieldPosition="0">
        <references count="4">
          <reference field="0" count="1" selected="0">
            <x v="11"/>
          </reference>
          <reference field="4" count="1">
            <x v="14"/>
          </reference>
          <reference field="10" count="1" selected="0">
            <x v="0"/>
          </reference>
          <reference field="12" count="1" selected="0">
            <x v="27"/>
          </reference>
        </references>
      </pivotArea>
    </format>
    <format dxfId="1294">
      <pivotArea dataOnly="0" labelOnly="1" outline="0" fieldPosition="0">
        <references count="4">
          <reference field="0" count="1" selected="0">
            <x v="11"/>
          </reference>
          <reference field="4" count="1">
            <x v="1946"/>
          </reference>
          <reference field="10" count="1" selected="0">
            <x v="22"/>
          </reference>
          <reference field="12" count="1" selected="0">
            <x v="29"/>
          </reference>
        </references>
      </pivotArea>
    </format>
    <format dxfId="1293">
      <pivotArea dataOnly="0" labelOnly="1" outline="0" fieldPosition="0">
        <references count="4">
          <reference field="0" count="1" selected="0">
            <x v="11"/>
          </reference>
          <reference field="4" count="1">
            <x v="13"/>
          </reference>
          <reference field="10" count="1" selected="0">
            <x v="20"/>
          </reference>
          <reference field="12" count="1" selected="0">
            <x v="30"/>
          </reference>
        </references>
      </pivotArea>
    </format>
    <format dxfId="1292">
      <pivotArea dataOnly="0" labelOnly="1" outline="0" fieldPosition="0">
        <references count="4">
          <reference field="0" count="1" selected="0">
            <x v="11"/>
          </reference>
          <reference field="4" count="1">
            <x v="41"/>
          </reference>
          <reference field="10" count="1" selected="0">
            <x v="21"/>
          </reference>
          <reference field="12" count="1" selected="0">
            <x v="30"/>
          </reference>
        </references>
      </pivotArea>
    </format>
    <format dxfId="1291">
      <pivotArea dataOnly="0" labelOnly="1" outline="0" fieldPosition="0">
        <references count="4">
          <reference field="0" count="1" selected="0">
            <x v="11"/>
          </reference>
          <reference field="4" count="1">
            <x v="15"/>
          </reference>
          <reference field="10" count="1" selected="0">
            <x v="20"/>
          </reference>
          <reference field="12" count="1" selected="0">
            <x v="31"/>
          </reference>
        </references>
      </pivotArea>
    </format>
    <format dxfId="1290">
      <pivotArea dataOnly="0" labelOnly="1" outline="0" fieldPosition="0">
        <references count="4">
          <reference field="0" count="1" selected="0">
            <x v="11"/>
          </reference>
          <reference field="4" count="1">
            <x v="115"/>
          </reference>
          <reference field="10" count="1" selected="0">
            <x v="41"/>
          </reference>
          <reference field="12" count="1" selected="0">
            <x v="31"/>
          </reference>
        </references>
      </pivotArea>
    </format>
    <format dxfId="1289">
      <pivotArea dataOnly="0" labelOnly="1" outline="0" fieldPosition="0">
        <references count="4">
          <reference field="0" count="1" selected="0">
            <x v="12"/>
          </reference>
          <reference field="4" count="3">
            <x v="32"/>
            <x v="1623"/>
            <x v="2080"/>
          </reference>
          <reference field="10" count="1" selected="0">
            <x v="1"/>
          </reference>
          <reference field="12" count="1" selected="0">
            <x v="0"/>
          </reference>
        </references>
      </pivotArea>
    </format>
    <format dxfId="1288">
      <pivotArea dataOnly="0" labelOnly="1" outline="0" fieldPosition="0">
        <references count="4">
          <reference field="0" count="1" selected="0">
            <x v="12"/>
          </reference>
          <reference field="4" count="4">
            <x v="38"/>
            <x v="101"/>
            <x v="283"/>
            <x v="2435"/>
          </reference>
          <reference field="10" count="1" selected="0">
            <x v="2"/>
          </reference>
          <reference field="12" count="1" selected="0">
            <x v="0"/>
          </reference>
        </references>
      </pivotArea>
    </format>
    <format dxfId="1287">
      <pivotArea dataOnly="0" labelOnly="1" outline="0" fieldPosition="0">
        <references count="4">
          <reference field="0" count="1" selected="0">
            <x v="12"/>
          </reference>
          <reference field="4" count="2">
            <x v="600"/>
            <x v="2450"/>
          </reference>
          <reference field="10" count="1" selected="0">
            <x v="9"/>
          </reference>
          <reference field="12" count="1" selected="0">
            <x v="0"/>
          </reference>
        </references>
      </pivotArea>
    </format>
    <format dxfId="1286">
      <pivotArea dataOnly="0" labelOnly="1" outline="0" fieldPosition="0">
        <references count="4">
          <reference field="0" count="1" selected="0">
            <x v="12"/>
          </reference>
          <reference field="4" count="2">
            <x v="2334"/>
            <x v="2449"/>
          </reference>
          <reference field="10" count="1" selected="0">
            <x v="10"/>
          </reference>
          <reference field="12" count="1" selected="0">
            <x v="0"/>
          </reference>
        </references>
      </pivotArea>
    </format>
    <format dxfId="1285">
      <pivotArea dataOnly="0" labelOnly="1" outline="0" fieldPosition="0">
        <references count="4">
          <reference field="0" count="1" selected="0">
            <x v="12"/>
          </reference>
          <reference field="4" count="5">
            <x v="1198"/>
            <x v="1672"/>
            <x v="2415"/>
            <x v="2448"/>
            <x v="2487"/>
          </reference>
          <reference field="10" count="1" selected="0">
            <x v="12"/>
          </reference>
          <reference field="12" count="1" selected="0">
            <x v="0"/>
          </reference>
        </references>
      </pivotArea>
    </format>
    <format dxfId="1284">
      <pivotArea dataOnly="0" labelOnly="1" outline="0" fieldPosition="0">
        <references count="4">
          <reference field="0" count="1" selected="0">
            <x v="12"/>
          </reference>
          <reference field="4" count="4">
            <x v="43"/>
            <x v="126"/>
            <x v="438"/>
            <x v="2447"/>
          </reference>
          <reference field="10" count="1" selected="0">
            <x v="13"/>
          </reference>
          <reference field="12" count="1" selected="0">
            <x v="0"/>
          </reference>
        </references>
      </pivotArea>
    </format>
    <format dxfId="1283">
      <pivotArea dataOnly="0" labelOnly="1" outline="0" fieldPosition="0">
        <references count="4">
          <reference field="0" count="1" selected="0">
            <x v="12"/>
          </reference>
          <reference field="4" count="4">
            <x v="11"/>
            <x v="302"/>
            <x v="1955"/>
            <x v="2324"/>
          </reference>
          <reference field="10" count="1" selected="0">
            <x v="14"/>
          </reference>
          <reference field="12" count="1" selected="0">
            <x v="0"/>
          </reference>
        </references>
      </pivotArea>
    </format>
    <format dxfId="1282">
      <pivotArea dataOnly="0" labelOnly="1" outline="0" fieldPosition="0">
        <references count="4">
          <reference field="0" count="1" selected="0">
            <x v="12"/>
          </reference>
          <reference field="4" count="2">
            <x v="2454"/>
            <x v="2455"/>
          </reference>
          <reference field="10" count="1" selected="0">
            <x v="25"/>
          </reference>
          <reference field="12" count="1" selected="0">
            <x v="0"/>
          </reference>
        </references>
      </pivotArea>
    </format>
    <format dxfId="1281">
      <pivotArea dataOnly="0" labelOnly="1" outline="0" fieldPosition="0">
        <references count="4">
          <reference field="0" count="1" selected="0">
            <x v="12"/>
          </reference>
          <reference field="4" count="1">
            <x v="2488"/>
          </reference>
          <reference field="10" count="1" selected="0">
            <x v="45"/>
          </reference>
          <reference field="12" count="1" selected="0">
            <x v="0"/>
          </reference>
        </references>
      </pivotArea>
    </format>
    <format dxfId="1280">
      <pivotArea dataOnly="0" labelOnly="1" outline="0" fieldPosition="0">
        <references count="4">
          <reference field="0" count="1" selected="0">
            <x v="12"/>
          </reference>
          <reference field="4" count="2">
            <x v="1366"/>
            <x v="2489"/>
          </reference>
          <reference field="10" count="1" selected="0">
            <x v="46"/>
          </reference>
          <reference field="12" count="1" selected="0">
            <x v="0"/>
          </reference>
        </references>
      </pivotArea>
    </format>
    <format dxfId="1279">
      <pivotArea dataOnly="0" labelOnly="1" outline="0" fieldPosition="0">
        <references count="4">
          <reference field="0" count="1" selected="0">
            <x v="12"/>
          </reference>
          <reference field="4" count="1">
            <x v="2467"/>
          </reference>
          <reference field="10" count="1" selected="0">
            <x v="70"/>
          </reference>
          <reference field="12" count="1" selected="0">
            <x v="0"/>
          </reference>
        </references>
      </pivotArea>
    </format>
    <format dxfId="1278">
      <pivotArea dataOnly="0" labelOnly="1" outline="0" fieldPosition="0">
        <references count="5">
          <reference field="0" count="1" selected="0">
            <x v="0"/>
          </reference>
          <reference field="4" count="1" selected="0">
            <x v="120"/>
          </reference>
          <reference field="10" count="1" selected="0">
            <x v="21"/>
          </reference>
          <reference field="12" count="1" selected="0">
            <x v="2"/>
          </reference>
          <reference field="13" count="1">
            <x v="0"/>
          </reference>
        </references>
      </pivotArea>
    </format>
    <format dxfId="1277">
      <pivotArea dataOnly="0" labelOnly="1" outline="0" fieldPosition="0">
        <references count="5">
          <reference field="0" count="1" selected="0">
            <x v="0"/>
          </reference>
          <reference field="4" count="1" selected="0">
            <x v="2177"/>
          </reference>
          <reference field="10" count="1" selected="0">
            <x v="21"/>
          </reference>
          <reference field="12" count="1" selected="0">
            <x v="3"/>
          </reference>
          <reference field="13" count="1">
            <x v="0"/>
          </reference>
        </references>
      </pivotArea>
    </format>
    <format dxfId="1276">
      <pivotArea dataOnly="0" labelOnly="1" outline="0" fieldPosition="0">
        <references count="5">
          <reference field="0" count="1" selected="0">
            <x v="0"/>
          </reference>
          <reference field="4" count="1" selected="0">
            <x v="2"/>
          </reference>
          <reference field="10" count="1" selected="0">
            <x v="21"/>
          </reference>
          <reference field="12" count="1" selected="0">
            <x v="4"/>
          </reference>
          <reference field="13" count="1">
            <x v="0"/>
          </reference>
        </references>
      </pivotArea>
    </format>
    <format dxfId="1275">
      <pivotArea dataOnly="0" labelOnly="1" outline="0" fieldPosition="0">
        <references count="5">
          <reference field="0" count="1" selected="0">
            <x v="5"/>
          </reference>
          <reference field="4" count="1" selected="0">
            <x v="2496"/>
          </reference>
          <reference field="10" count="1" selected="0">
            <x v="21"/>
          </reference>
          <reference field="12" count="1" selected="0">
            <x v="1"/>
          </reference>
          <reference field="13" count="1">
            <x v="0"/>
          </reference>
        </references>
      </pivotArea>
    </format>
    <format dxfId="1274">
      <pivotArea dataOnly="0" labelOnly="1" outline="0" fieldPosition="0">
        <references count="5">
          <reference field="0" count="1" selected="0">
            <x v="5"/>
          </reference>
          <reference field="4" count="1" selected="0">
            <x v="1068"/>
          </reference>
          <reference field="10" count="1" selected="0">
            <x v="21"/>
          </reference>
          <reference field="12" count="1" selected="0">
            <x v="2"/>
          </reference>
          <reference field="13" count="1">
            <x v="0"/>
          </reference>
        </references>
      </pivotArea>
    </format>
    <format dxfId="1273">
      <pivotArea dataOnly="0" labelOnly="1" outline="0" fieldPosition="0">
        <references count="5">
          <reference field="0" count="1" selected="0">
            <x v="5"/>
          </reference>
          <reference field="4" count="1" selected="0">
            <x v="2497"/>
          </reference>
          <reference field="10" count="1" selected="0">
            <x v="21"/>
          </reference>
          <reference field="12" count="1" selected="0">
            <x v="3"/>
          </reference>
          <reference field="13" count="1">
            <x v="0"/>
          </reference>
        </references>
      </pivotArea>
    </format>
    <format dxfId="1272">
      <pivotArea dataOnly="0" labelOnly="1" outline="0" fieldPosition="0">
        <references count="5">
          <reference field="0" count="1" selected="0">
            <x v="5"/>
          </reference>
          <reference field="4" count="1" selected="0">
            <x v="921"/>
          </reference>
          <reference field="10" count="1" selected="0">
            <x v="21"/>
          </reference>
          <reference field="12" count="1" selected="0">
            <x v="4"/>
          </reference>
          <reference field="13" count="1">
            <x v="0"/>
          </reference>
        </references>
      </pivotArea>
    </format>
    <format dxfId="1271">
      <pivotArea dataOnly="0" labelOnly="1" outline="0" fieldPosition="0">
        <references count="5">
          <reference field="0" count="1" selected="0">
            <x v="9"/>
          </reference>
          <reference field="4" count="1" selected="0">
            <x v="2491"/>
          </reference>
          <reference field="10" count="1" selected="0">
            <x v="16"/>
          </reference>
          <reference field="12" count="1" selected="0">
            <x v="0"/>
          </reference>
          <reference field="13" count="1">
            <x v="0"/>
          </reference>
        </references>
      </pivotArea>
    </format>
    <format dxfId="1270">
      <pivotArea dataOnly="0" labelOnly="1" outline="0" fieldPosition="0">
        <references count="5">
          <reference field="0" count="1" selected="0">
            <x v="10"/>
          </reference>
          <reference field="4" count="1" selected="0">
            <x v="434"/>
          </reference>
          <reference field="10" count="1" selected="0">
            <x v="5"/>
          </reference>
          <reference field="12" count="1" selected="0">
            <x v="0"/>
          </reference>
          <reference field="13" count="1">
            <x v="0"/>
          </reference>
        </references>
      </pivotArea>
    </format>
    <format dxfId="1269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2340"/>
          </reference>
          <reference field="10" count="1" selected="0">
            <x v="0"/>
          </reference>
          <reference field="12" count="1" selected="0">
            <x v="7"/>
          </reference>
          <reference field="13" count="1">
            <x v="0"/>
          </reference>
        </references>
      </pivotArea>
    </format>
    <format dxfId="1268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2490"/>
          </reference>
          <reference field="10" count="1" selected="0">
            <x v="0"/>
          </reference>
          <reference field="12" count="1" selected="0">
            <x v="11"/>
          </reference>
          <reference field="13" count="1">
            <x v="0"/>
          </reference>
        </references>
      </pivotArea>
    </format>
    <format dxfId="1267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750"/>
          </reference>
          <reference field="10" count="1" selected="0">
            <x v="22"/>
          </reference>
          <reference field="12" count="1" selected="0">
            <x v="18"/>
          </reference>
          <reference field="13" count="1">
            <x v="0"/>
          </reference>
        </references>
      </pivotArea>
    </format>
    <format dxfId="1266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585"/>
          </reference>
          <reference field="10" count="1" selected="0">
            <x v="22"/>
          </reference>
          <reference field="12" count="1" selected="0">
            <x v="21"/>
          </reference>
          <reference field="13" count="1">
            <x v="0"/>
          </reference>
        </references>
      </pivotArea>
    </format>
    <format dxfId="1265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576"/>
          </reference>
          <reference field="10" count="1" selected="0">
            <x v="0"/>
          </reference>
          <reference field="12" count="1" selected="0">
            <x v="22"/>
          </reference>
          <reference field="13" count="1">
            <x v="1"/>
          </reference>
        </references>
      </pivotArea>
    </format>
    <format dxfId="1264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2355"/>
          </reference>
          <reference field="10" count="1" selected="0">
            <x v="19"/>
          </reference>
          <reference field="12" count="1" selected="0">
            <x v="24"/>
          </reference>
          <reference field="13" count="1">
            <x v="0"/>
          </reference>
        </references>
      </pivotArea>
    </format>
    <format dxfId="1263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>
            <x v="1"/>
          </reference>
        </references>
      </pivotArea>
    </format>
    <format dxfId="1262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46"/>
          </reference>
          <reference field="10" count="1" selected="0">
            <x v="22"/>
          </reference>
          <reference field="12" count="1" selected="0">
            <x v="29"/>
          </reference>
          <reference field="13" count="1">
            <x v="0"/>
          </reference>
        </references>
      </pivotArea>
    </format>
    <format dxfId="1261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3"/>
          </reference>
          <reference field="10" count="1" selected="0">
            <x v="20"/>
          </reference>
          <reference field="12" count="1" selected="0">
            <x v="30"/>
          </reference>
          <reference field="13" count="1">
            <x v="0"/>
          </reference>
        </references>
      </pivotArea>
    </format>
    <format dxfId="1260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5"/>
          </reference>
          <reference field="10" count="1" selected="0">
            <x v="20"/>
          </reference>
          <reference field="12" count="1" selected="0">
            <x v="31"/>
          </reference>
          <reference field="13" count="1">
            <x v="0"/>
          </reference>
        </references>
      </pivotArea>
    </format>
    <format dxfId="1259">
      <pivotArea dataOnly="0" labelOnly="1" outline="0" fieldPosition="0">
        <references count="6">
          <reference field="0" count="1" selected="0">
            <x v="0"/>
          </reference>
          <reference field="4" count="1" selected="0">
            <x v="120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58">
      <pivotArea dataOnly="0" labelOnly="1" outline="0" fieldPosition="0">
        <references count="6">
          <reference field="0" count="1" selected="0">
            <x v="0"/>
          </reference>
          <reference field="4" count="1" selected="0">
            <x v="2177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57">
      <pivotArea dataOnly="0" labelOnly="1" outline="0" fieldPosition="0">
        <references count="6">
          <reference field="0" count="1" selected="0">
            <x v="0"/>
          </reference>
          <reference field="4" count="1" selected="0">
            <x v="2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56">
      <pivotArea dataOnly="0" labelOnly="1" outline="0" fieldPosition="0">
        <references count="6">
          <reference field="0" count="1" selected="0">
            <x v="5"/>
          </reference>
          <reference field="4" count="1" selected="0">
            <x v="2496"/>
          </reference>
          <reference field="10" count="1" selected="0">
            <x v="21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55">
      <pivotArea dataOnly="0" labelOnly="1" outline="0" fieldPosition="0">
        <references count="6">
          <reference field="0" count="1" selected="0">
            <x v="5"/>
          </reference>
          <reference field="4" count="1" selected="0">
            <x v="1068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54">
      <pivotArea dataOnly="0" labelOnly="1" outline="0" fieldPosition="0">
        <references count="6">
          <reference field="0" count="1" selected="0">
            <x v="5"/>
          </reference>
          <reference field="4" count="1" selected="0">
            <x v="2497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53">
      <pivotArea dataOnly="0" labelOnly="1" outline="0" fieldPosition="0">
        <references count="6">
          <reference field="0" count="1" selected="0">
            <x v="5"/>
          </reference>
          <reference field="4" count="1" selected="0">
            <x v="92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52">
      <pivotArea dataOnly="0" labelOnly="1" outline="0" fieldPosition="0">
        <references count="6">
          <reference field="0" count="1" selected="0">
            <x v="9"/>
          </reference>
          <reference field="4" count="1" selected="0">
            <x v="249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51">
      <pivotArea dataOnly="0" labelOnly="1" outline="0" fieldPosition="0">
        <references count="6">
          <reference field="0" count="1" selected="0">
            <x v="10"/>
          </reference>
          <reference field="4" count="1" selected="0">
            <x v="434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50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234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49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249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48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750"/>
          </reference>
          <reference field="10" count="1" selected="0">
            <x v="22"/>
          </reference>
          <reference field="12" count="1" selected="0">
            <x v="1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47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585"/>
          </reference>
          <reference field="10" count="1" selected="0">
            <x v="22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46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576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1"/>
          </reference>
          <reference field="16" count="1">
            <x v="0"/>
          </reference>
        </references>
      </pivotArea>
    </format>
    <format dxfId="1245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2355"/>
          </reference>
          <reference field="10" count="1" selected="0">
            <x v="19"/>
          </reference>
          <reference field="12" count="1" selected="0">
            <x v="24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244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1"/>
          </reference>
          <reference field="16" count="1">
            <x v="1"/>
          </reference>
        </references>
      </pivotArea>
    </format>
    <format dxfId="1243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946"/>
          </reference>
          <reference field="10" count="1" selected="0">
            <x v="22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42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3"/>
          </reference>
          <reference field="10" count="1" selected="0">
            <x v="20"/>
          </reference>
          <reference field="12" count="1" selected="0">
            <x v="3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41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5"/>
          </reference>
          <reference field="10" count="1" selected="0">
            <x v="20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240">
      <pivotArea dataOnly="0" labelOnly="1" outline="0" fieldPosition="0">
        <references count="8">
          <reference field="0" count="1" selected="0">
            <x v="0"/>
          </reference>
          <reference field="4" count="1" selected="0">
            <x v="120"/>
          </reference>
          <reference field="9" count="1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1239">
      <pivotArea dataOnly="0" labelOnly="1" outline="0" fieldPosition="0">
        <references count="8">
          <reference field="0" count="1" selected="0">
            <x v="0"/>
          </reference>
          <reference field="4" count="1" selected="0">
            <x v="2177"/>
          </reference>
          <reference field="9" count="1">
            <x v="1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38">
      <pivotArea dataOnly="0" labelOnly="1" outline="0" fieldPosition="0">
        <references count="8">
          <reference field="0" count="1" selected="0">
            <x v="0"/>
          </reference>
          <reference field="4" count="1" selected="0">
            <x v="2"/>
          </reference>
          <reference field="9" count="1">
            <x v="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1237">
      <pivotArea dataOnly="0" labelOnly="1" outline="0" fieldPosition="0">
        <references count="8">
          <reference field="0" count="1" selected="0">
            <x v="5"/>
          </reference>
          <reference field="4" count="1" selected="0">
            <x v="2496"/>
          </reference>
          <reference field="9" count="1">
            <x v="1"/>
          </reference>
          <reference field="10" count="1" selected="0">
            <x v="2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0"/>
          </reference>
        </references>
      </pivotArea>
    </format>
    <format dxfId="1236">
      <pivotArea dataOnly="0" labelOnly="1" outline="0" fieldPosition="0">
        <references count="8">
          <reference field="0" count="1" selected="0">
            <x v="5"/>
          </reference>
          <reference field="4" count="1" selected="0">
            <x v="1068"/>
          </reference>
          <reference field="9" count="1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4"/>
          </reference>
        </references>
      </pivotArea>
    </format>
    <format dxfId="1235">
      <pivotArea dataOnly="0" labelOnly="1" outline="0" fieldPosition="0">
        <references count="8">
          <reference field="0" count="1" selected="0">
            <x v="5"/>
          </reference>
          <reference field="4" count="1" selected="0">
            <x v="2497"/>
          </reference>
          <reference field="9" count="1">
            <x v="1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1234">
      <pivotArea dataOnly="0" labelOnly="1" outline="0" fieldPosition="0">
        <references count="8">
          <reference field="0" count="1" selected="0">
            <x v="5"/>
          </reference>
          <reference field="4" count="1" selected="0">
            <x v="921"/>
          </reference>
          <reference field="9" count="1">
            <x v="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8"/>
          </reference>
        </references>
      </pivotArea>
    </format>
    <format dxfId="1233">
      <pivotArea dataOnly="0" labelOnly="1" outline="0" fieldPosition="0">
        <references count="8">
          <reference field="0" count="1" selected="0">
            <x v="9"/>
          </reference>
          <reference field="4" count="1" selected="0">
            <x v="2491"/>
          </reference>
          <reference field="9" count="1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8"/>
          </reference>
        </references>
      </pivotArea>
    </format>
    <format dxfId="1232">
      <pivotArea dataOnly="0" labelOnly="1" outline="0" fieldPosition="0">
        <references count="8">
          <reference field="0" count="1" selected="0">
            <x v="9"/>
          </reference>
          <reference field="4" count="1" selected="0">
            <x v="2492"/>
          </reference>
          <reference field="9" count="1">
            <x v="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1231">
      <pivotArea dataOnly="0" labelOnly="1" outline="0" fieldPosition="0">
        <references count="8">
          <reference field="0" count="1" selected="0">
            <x v="10"/>
          </reference>
          <reference field="4" count="1" selected="0">
            <x v="434"/>
          </reference>
          <reference field="9" count="1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30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23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2"/>
          </reference>
        </references>
      </pivotArea>
    </format>
    <format dxfId="1229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249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6"/>
          </reference>
        </references>
      </pivotArea>
    </format>
    <format dxfId="1228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750"/>
          </reference>
          <reference field="9" count="1">
            <x v="1"/>
          </reference>
          <reference field="10" count="1" selected="0">
            <x v="22"/>
          </reference>
          <reference field="12" count="1" selected="0">
            <x v="1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1227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585"/>
          </reference>
          <reference field="9" count="1">
            <x v="0"/>
          </reference>
          <reference field="10" count="1" selected="0">
            <x v="22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1226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5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25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2355"/>
          </reference>
          <reference field="9" count="1">
            <x v="0"/>
          </reference>
          <reference field="10" count="1" selected="0">
            <x v="19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1224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1"/>
          </reference>
          <reference field="16" count="1" selected="0">
            <x v="1"/>
          </reference>
          <reference field="18" count="1" selected="0">
            <x v="17"/>
          </reference>
        </references>
      </pivotArea>
    </format>
    <format dxfId="1223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946"/>
          </reference>
          <reference field="9" count="1">
            <x v="1"/>
          </reference>
          <reference field="10" count="1" selected="0">
            <x v="22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0"/>
          </reference>
        </references>
      </pivotArea>
    </format>
    <format dxfId="1222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3"/>
          </reference>
          <reference field="9" count="1">
            <x v="1"/>
          </reference>
          <reference field="10" count="1" selected="0">
            <x v="20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1221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5"/>
          </reference>
          <reference field="9" count="1">
            <x v="1"/>
          </reference>
          <reference field="10" count="1" selected="0">
            <x v="20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1220">
      <pivotArea dataOnly="0" labelOnly="1" outline="0" fieldPosition="0">
        <references count="8">
          <reference field="0" count="1" selected="0">
            <x v="12"/>
          </reference>
          <reference field="4" count="1" selected="0">
            <x v="101"/>
          </reference>
          <reference field="9" count="1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219">
      <pivotArea dataOnly="0" labelOnly="1" outline="0" fieldPosition="0">
        <references count="8">
          <reference field="0" count="1" selected="0">
            <x v="12"/>
          </reference>
          <reference field="4" count="1" selected="0">
            <x v="11"/>
          </reference>
          <reference field="9" count="1">
            <x v="1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218">
      <pivotArea dataOnly="0" labelOnly="1" outline="0" fieldPosition="0">
        <references count="8">
          <reference field="0" count="1" selected="0">
            <x v="12"/>
          </reference>
          <reference field="4" count="1" selected="0">
            <x v="302"/>
          </reference>
          <reference field="9" count="1">
            <x v="0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217">
      <pivotArea dataOnly="0" labelOnly="1" outline="0" fieldPosition="0">
        <references count="9">
          <reference field="0" count="1" selected="0">
            <x v="0"/>
          </reference>
          <reference field="4" count="1" selected="0">
            <x v="1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1216">
      <pivotArea dataOnly="0" labelOnly="1" outline="0" fieldPosition="0">
        <references count="9">
          <reference field="0" count="1" selected="0">
            <x v="0"/>
          </reference>
          <reference field="4" count="1" selected="0">
            <x v="21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215">
      <pivotArea dataOnly="0" labelOnly="1" outline="0" fieldPosition="0">
        <references count="9">
          <reference field="0" count="1" selected="0">
            <x v="0"/>
          </reference>
          <reference field="4" count="1" selected="0">
            <x v="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1214">
      <pivotArea dataOnly="0" labelOnly="1" outline="0" fieldPosition="0">
        <references count="9">
          <reference field="0" count="1" selected="0">
            <x v="5"/>
          </reference>
          <reference field="4" count="1" selected="0">
            <x v="24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0"/>
          </reference>
        </references>
      </pivotArea>
    </format>
    <format dxfId="1213">
      <pivotArea dataOnly="0" labelOnly="1" outline="0" fieldPosition="0">
        <references count="9">
          <reference field="0" count="1" selected="0">
            <x v="5"/>
          </reference>
          <reference field="4" count="1" selected="0">
            <x v="1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4"/>
          </reference>
        </references>
      </pivotArea>
    </format>
    <format dxfId="1212">
      <pivotArea dataOnly="0" labelOnly="1" outline="0" fieldPosition="0">
        <references count="9">
          <reference field="0" count="1" selected="0">
            <x v="5"/>
          </reference>
          <reference field="4" count="1" selected="0">
            <x v="24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1211">
      <pivotArea dataOnly="0" labelOnly="1" outline="0" fieldPosition="0">
        <references count="9">
          <reference field="0" count="1" selected="0">
            <x v="5"/>
          </reference>
          <reference field="4" count="1" selected="0">
            <x v="9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8"/>
          </reference>
        </references>
      </pivotArea>
    </format>
    <format dxfId="1210">
      <pivotArea dataOnly="0" labelOnly="1" outline="0" fieldPosition="0">
        <references count="9">
          <reference field="0" count="1" selected="0">
            <x v="9"/>
          </reference>
          <reference field="4" count="1" selected="0">
            <x v="24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8"/>
          </reference>
        </references>
      </pivotArea>
    </format>
    <format dxfId="1209">
      <pivotArea dataOnly="0" labelOnly="1" outline="0" fieldPosition="0">
        <references count="9">
          <reference field="0" count="1" selected="0">
            <x v="9"/>
          </reference>
          <reference field="4" count="1" selected="0">
            <x v="24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1208">
      <pivotArea dataOnly="0" labelOnly="1" outline="0" fieldPosition="0">
        <references count="9">
          <reference field="0" count="1" selected="0">
            <x v="10"/>
          </reference>
          <reference field="4" count="1" selected="0">
            <x v="4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07">
      <pivotArea dataOnly="0" labelOnly="1" outline="0" fieldPosition="0">
        <references count="9">
          <reference field="0" count="1" selected="0">
            <x v="10"/>
          </reference>
          <reference field="4" count="1" selected="0">
            <x v="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"/>
          </reference>
        </references>
      </pivotArea>
    </format>
    <format dxfId="1206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23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2"/>
          </reference>
        </references>
      </pivotArea>
    </format>
    <format dxfId="1205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24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6"/>
          </reference>
        </references>
      </pivotArea>
    </format>
    <format dxfId="1204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7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2"/>
          </reference>
          <reference field="12" count="1" selected="0">
            <x v="1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1203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58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1202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5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201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23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1200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1"/>
          </reference>
          <reference field="16" count="1" selected="0">
            <x v="1"/>
          </reference>
          <reference field="18" count="1" selected="0">
            <x v="17"/>
          </reference>
        </references>
      </pivotArea>
    </format>
    <format dxfId="1199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9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22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0"/>
          </reference>
        </references>
      </pivotArea>
    </format>
    <format dxfId="1198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1197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1196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16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195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0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1"/>
          </reference>
        </references>
      </pivotArea>
    </format>
    <format dxfId="1194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1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193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192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6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1191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4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190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1189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4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1188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4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187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86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19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185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3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1"/>
          </reference>
        </references>
      </pivotArea>
    </format>
    <format dxfId="1184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362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1183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2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1182">
      <pivotArea dataOnly="0" labelOnly="1" outline="0" fieldPosition="0">
        <references count="10">
          <reference field="0" count="1" selected="0">
            <x v="0"/>
          </reference>
          <reference field="3" count="1">
            <x v="1283"/>
          </reference>
          <reference field="4" count="1" selected="0">
            <x v="1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1181">
      <pivotArea dataOnly="0" labelOnly="1" outline="0" fieldPosition="0">
        <references count="10">
          <reference field="0" count="1" selected="0">
            <x v="0"/>
          </reference>
          <reference field="3" count="1">
            <x v="1068"/>
          </reference>
          <reference field="4" count="1" selected="0">
            <x v="217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1180">
      <pivotArea dataOnly="0" labelOnly="1" outline="0" fieldPosition="0">
        <references count="10">
          <reference field="0" count="1" selected="0">
            <x v="0"/>
          </reference>
          <reference field="3" count="1">
            <x v="1116"/>
          </reference>
          <reference field="4" count="1" selected="0">
            <x v="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1179">
      <pivotArea dataOnly="0" labelOnly="1" outline="0" fieldPosition="0">
        <references count="10">
          <reference field="0" count="1" selected="0">
            <x v="5"/>
          </reference>
          <reference field="3" count="1">
            <x v="1764"/>
          </reference>
          <reference field="4" count="1" selected="0">
            <x v="24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0"/>
          </reference>
        </references>
      </pivotArea>
    </format>
    <format dxfId="1178">
      <pivotArea dataOnly="0" labelOnly="1" outline="0" fieldPosition="0">
        <references count="10">
          <reference field="0" count="1" selected="0">
            <x v="5"/>
          </reference>
          <reference field="3" count="1">
            <x v="1763"/>
          </reference>
          <reference field="4" count="1" selected="0">
            <x v="10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4"/>
          </reference>
        </references>
      </pivotArea>
    </format>
    <format dxfId="1177">
      <pivotArea dataOnly="0" labelOnly="1" outline="0" fieldPosition="0">
        <references count="10">
          <reference field="0" count="1" selected="0">
            <x v="5"/>
          </reference>
          <reference field="3" count="1">
            <x v="1759"/>
          </reference>
          <reference field="4" count="1" selected="0">
            <x v="24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1176">
      <pivotArea dataOnly="0" labelOnly="1" outline="0" fieldPosition="0">
        <references count="10">
          <reference field="0" count="1" selected="0">
            <x v="5"/>
          </reference>
          <reference field="3" count="1">
            <x v="729"/>
          </reference>
          <reference field="4" count="1" selected="0">
            <x v="24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1175">
      <pivotArea dataOnly="0" labelOnly="1" outline="0" fieldPosition="0">
        <references count="10">
          <reference field="0" count="1" selected="0">
            <x v="5"/>
          </reference>
          <reference field="3" count="1">
            <x v="1765"/>
          </reference>
          <reference field="4" count="1" selected="0">
            <x v="24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1174">
      <pivotArea dataOnly="0" labelOnly="1" outline="0" fieldPosition="0">
        <references count="10">
          <reference field="0" count="1" selected="0">
            <x v="5"/>
          </reference>
          <reference field="3" count="1">
            <x v="1762"/>
          </reference>
          <reference field="4" count="1" selected="0">
            <x v="9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8"/>
          </reference>
        </references>
      </pivotArea>
    </format>
    <format dxfId="1173">
      <pivotArea dataOnly="0" labelOnly="1" outline="0" fieldPosition="0">
        <references count="10">
          <reference field="0" count="1" selected="0">
            <x v="5"/>
          </reference>
          <reference field="3" count="1">
            <x v="1761"/>
          </reference>
          <reference field="4" count="1" selected="0">
            <x v="10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1172">
      <pivotArea dataOnly="0" labelOnly="1" outline="0" fieldPosition="0">
        <references count="10">
          <reference field="0" count="1" selected="0">
            <x v="5"/>
          </reference>
          <reference field="3" count="1">
            <x v="1760"/>
          </reference>
          <reference field="4" count="1" selected="0">
            <x v="14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1171">
      <pivotArea dataOnly="0" labelOnly="1" outline="0" fieldPosition="0">
        <references count="10">
          <reference field="0" count="1" selected="0">
            <x v="5"/>
          </reference>
          <reference field="3" count="1">
            <x v="1766"/>
          </reference>
          <reference field="4" count="1" selected="0">
            <x v="2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4"/>
          </reference>
        </references>
      </pivotArea>
    </format>
    <format dxfId="1170">
      <pivotArea dataOnly="0" labelOnly="1" outline="0" fieldPosition="0">
        <references count="10">
          <reference field="0" count="1" selected="0">
            <x v="9"/>
          </reference>
          <reference field="3" count="1">
            <x v="0"/>
          </reference>
          <reference field="4" count="1" selected="0">
            <x v="24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8"/>
          </reference>
        </references>
      </pivotArea>
    </format>
    <format dxfId="1169">
      <pivotArea dataOnly="0" labelOnly="1" outline="0" fieldPosition="0">
        <references count="10">
          <reference field="0" count="1" selected="0">
            <x v="9"/>
          </reference>
          <reference field="3" count="1">
            <x v="1756"/>
          </reference>
          <reference field="4" count="1" selected="0">
            <x v="249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1168">
      <pivotArea dataOnly="0" labelOnly="1" outline="0" fieldPosition="0">
        <references count="10">
          <reference field="0" count="1" selected="0">
            <x v="9"/>
          </reference>
          <reference field="3" count="1">
            <x v="1757"/>
          </reference>
          <reference field="4" count="1" selected="0">
            <x v="249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1167">
      <pivotArea dataOnly="0" labelOnly="1" outline="0" fieldPosition="0">
        <references count="10">
          <reference field="0" count="1" selected="0">
            <x v="9"/>
          </reference>
          <reference field="3" count="1">
            <x v="1758"/>
          </reference>
          <reference field="4" count="1" selected="0">
            <x v="24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1166">
      <pivotArea dataOnly="0" labelOnly="1" outline="0" fieldPosition="0">
        <references count="10">
          <reference field="0" count="1" selected="0">
            <x v="10"/>
          </reference>
          <reference field="3" count="1">
            <x v="0"/>
          </reference>
          <reference field="4" count="1" selected="0">
            <x v="4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165">
      <pivotArea dataOnly="0" labelOnly="1" outline="0" fieldPosition="0">
        <references count="10">
          <reference field="0" count="1" selected="0">
            <x v="10"/>
          </reference>
          <reference field="3" count="1">
            <x v="0"/>
          </reference>
          <reference field="4" count="1" selected="0">
            <x v="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"/>
          </reference>
        </references>
      </pivotArea>
    </format>
    <format dxfId="1164">
      <pivotArea dataOnly="0" labelOnly="1" outline="0" fieldPosition="0">
        <references count="10">
          <reference field="0" count="1" selected="0">
            <x v="11"/>
          </reference>
          <reference field="3" count="1">
            <x v="1705"/>
          </reference>
          <reference field="4" count="1" selected="0">
            <x v="23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2"/>
          </reference>
        </references>
      </pivotArea>
    </format>
    <format dxfId="1163">
      <pivotArea dataOnly="0" labelOnly="1" outline="0" fieldPosition="0">
        <references count="10">
          <reference field="0" count="1" selected="0">
            <x v="11"/>
          </reference>
          <reference field="3" count="1">
            <x v="1755"/>
          </reference>
          <reference field="4" count="1" selected="0">
            <x v="249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6"/>
          </reference>
        </references>
      </pivotArea>
    </format>
    <format dxfId="1162">
      <pivotArea dataOnly="0" labelOnly="1" outline="0" fieldPosition="0">
        <references count="10">
          <reference field="0" count="1" selected="0">
            <x v="11"/>
          </reference>
          <reference field="3" count="1">
            <x v="0"/>
          </reference>
          <reference field="4" count="1" selected="0">
            <x v="17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2"/>
          </reference>
          <reference field="12" count="1" selected="0">
            <x v="1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1161">
      <pivotArea dataOnly="0" labelOnly="1" outline="0" fieldPosition="0">
        <references count="10">
          <reference field="0" count="1" selected="0">
            <x v="11"/>
          </reference>
          <reference field="3" count="1">
            <x v="0"/>
          </reference>
          <reference field="4" count="1" selected="0">
            <x v="1585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1160">
      <pivotArea dataOnly="0" labelOnly="1" outline="0" fieldPosition="0">
        <references count="10">
          <reference field="0" count="1" selected="0">
            <x v="11"/>
          </reference>
          <reference field="3" count="1">
            <x v="0"/>
          </reference>
          <reference field="4" count="1" selected="0">
            <x v="157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59">
      <pivotArea dataOnly="0" labelOnly="1" outline="0" fieldPosition="0">
        <references count="10">
          <reference field="0" count="1" selected="0">
            <x v="11"/>
          </reference>
          <reference field="3" count="1">
            <x v="1664"/>
          </reference>
          <reference field="4" count="1" selected="0">
            <x v="23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1158">
      <pivotArea dataOnly="0" labelOnly="1" outline="0" fieldPosition="0">
        <references count="10">
          <reference field="0" count="1" selected="0">
            <x v="11"/>
          </reference>
          <reference field="3" count="1">
            <x v="2"/>
          </reference>
          <reference field="4" count="1" selected="0">
            <x v="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1"/>
          </reference>
          <reference field="16" count="1" selected="0">
            <x v="1"/>
          </reference>
          <reference field="18" count="1" selected="0">
            <x v="17"/>
          </reference>
        </references>
      </pivotArea>
    </format>
    <format dxfId="1157">
      <pivotArea dataOnly="0" labelOnly="1" outline="0" fieldPosition="0">
        <references count="10">
          <reference field="0" count="1" selected="0">
            <x v="11"/>
          </reference>
          <reference field="3" count="1">
            <x v="0"/>
          </reference>
          <reference field="4" count="1" selected="0">
            <x v="194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22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0"/>
          </reference>
        </references>
      </pivotArea>
    </format>
    <format dxfId="1156">
      <pivotArea dataOnly="0" labelOnly="1" outline="0" fieldPosition="0">
        <references count="10">
          <reference field="0" count="1" selected="0">
            <x v="11"/>
          </reference>
          <reference field="3" count="1">
            <x v="2"/>
          </reference>
          <reference field="4" count="1" selected="0">
            <x v="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1155">
      <pivotArea dataOnly="0" labelOnly="1" outline="0" fieldPosition="0">
        <references count="10">
          <reference field="0" count="1" selected="0">
            <x v="11"/>
          </reference>
          <reference field="3" count="1">
            <x v="1727"/>
          </reference>
          <reference field="4" count="1" selected="0">
            <x v="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3"/>
          </reference>
        </references>
      </pivotArea>
    </format>
    <format dxfId="1154">
      <pivotArea dataOnly="0" labelOnly="1" outline="0" fieldPosition="0">
        <references count="10">
          <reference field="0" count="1" selected="0">
            <x v="11"/>
          </reference>
          <reference field="3" count="1">
            <x v="1729"/>
          </reference>
          <reference field="4" count="1" selected="0">
            <x v="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1153">
      <pivotArea dataOnly="0" labelOnly="1" outline="0" fieldPosition="0">
        <references count="10">
          <reference field="0" count="1" selected="0">
            <x v="11"/>
          </reference>
          <reference field="3" count="1">
            <x v="1730"/>
          </reference>
          <reference field="4" count="1" selected="0">
            <x v="1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3"/>
          </reference>
        </references>
      </pivotArea>
    </format>
    <format dxfId="1152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1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151">
      <pivotArea dataOnly="0" labelOnly="1" outline="0" fieldPosition="0">
        <references count="10">
          <reference field="0" count="1" selected="0">
            <x v="12"/>
          </reference>
          <reference field="3" count="1">
            <x v="1701"/>
          </reference>
          <reference field="4" count="1" selected="0">
            <x v="20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1"/>
          </reference>
        </references>
      </pivotArea>
    </format>
    <format dxfId="1150">
      <pivotArea dataOnly="0" labelOnly="1" outline="0" fieldPosition="0">
        <references count="10">
          <reference field="0" count="1" selected="0">
            <x v="12"/>
          </reference>
          <reference field="3" count="1">
            <x v="1724"/>
          </reference>
          <reference field="4" count="1" selected="0">
            <x v="10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149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148">
      <pivotArea dataOnly="0" labelOnly="1" outline="0" fieldPosition="0">
        <references count="10">
          <reference field="0" count="1" selected="0">
            <x v="12"/>
          </reference>
          <reference field="3" count="1">
            <x v="1632"/>
          </reference>
          <reference field="4" count="1" selected="0">
            <x v="6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1147">
      <pivotArea dataOnly="0" labelOnly="1" outline="0" fieldPosition="0">
        <references count="10">
          <reference field="0" count="1" selected="0">
            <x v="12"/>
          </reference>
          <reference field="3" count="1">
            <x v="1754"/>
          </reference>
          <reference field="4" count="1" selected="0">
            <x v="248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1146">
      <pivotArea dataOnly="0" labelOnly="1" outline="0" fieldPosition="0">
        <references count="10">
          <reference field="0" count="1" selected="0">
            <x v="12"/>
          </reference>
          <reference field="3" count="1">
            <x v="1719"/>
          </reference>
          <reference field="4" count="1" selected="0">
            <x v="4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145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24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144">
      <pivotArea dataOnly="0" labelOnly="1" outline="0" fieldPosition="0">
        <references count="10">
          <reference field="0" count="1" selected="0">
            <x v="12"/>
          </reference>
          <reference field="3" count="1">
            <x v="1516"/>
          </reference>
          <reference field="4" count="1" selected="0">
            <x v="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43">
      <pivotArea dataOnly="0" labelOnly="1" outline="0" fieldPosition="0">
        <references count="10">
          <reference field="0" count="1" selected="0">
            <x v="12"/>
          </reference>
          <reference field="3" count="1">
            <x v="1717"/>
          </reference>
          <reference field="4" count="1" selected="0">
            <x v="3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142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19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141">
      <pivotArea dataOnly="0" labelOnly="1" outline="0" fieldPosition="0">
        <references count="10">
          <reference field="0" count="1" selected="0">
            <x v="12"/>
          </reference>
          <reference field="3" count="1">
            <x v="1650"/>
          </reference>
          <reference field="4" count="1" selected="0">
            <x v="232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1"/>
          </reference>
        </references>
      </pivotArea>
    </format>
    <format dxfId="1140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2231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139">
      <pivotArea type="all" dataOnly="0" outline="0" fieldPosition="0"/>
    </format>
    <format dxfId="1138">
      <pivotArea outline="0" collapsedLevelsAreSubtotals="1" fieldPosition="0"/>
    </format>
    <format dxfId="1137">
      <pivotArea field="13" type="button" dataOnly="0" labelOnly="1" outline="0" axis="axisRow" fieldPosition="4"/>
    </format>
    <format dxfId="1136">
      <pivotArea field="16" type="button" dataOnly="0" labelOnly="1" outline="0" axis="axisRow" fieldPosition="5"/>
    </format>
    <format dxfId="1135">
      <pivotArea field="18" type="button" dataOnly="0" labelOnly="1" outline="0" axis="axisRow" fieldPosition="6"/>
    </format>
    <format dxfId="1134">
      <pivotArea field="9" type="button" dataOnly="0" labelOnly="1" outline="0" axis="axisRow" fieldPosition="7"/>
    </format>
    <format dxfId="1133">
      <pivotArea dataOnly="0" labelOnly="1" outline="0" fieldPosition="0">
        <references count="2">
          <reference field="0" count="1" selected="0">
            <x v="0"/>
          </reference>
          <reference field="12" count="3">
            <x v="2"/>
            <x v="3"/>
            <x v="4"/>
          </reference>
        </references>
      </pivotArea>
    </format>
    <format dxfId="1132">
      <pivotArea dataOnly="0" labelOnly="1" outline="0" fieldPosition="0">
        <references count="2">
          <reference field="0" count="1" selected="0">
            <x v="5"/>
          </reference>
          <reference field="12" count="4">
            <x v="1"/>
            <x v="2"/>
            <x v="3"/>
            <x v="4"/>
          </reference>
        </references>
      </pivotArea>
    </format>
    <format dxfId="1131">
      <pivotArea dataOnly="0" labelOnly="1" outline="0" fieldPosition="0">
        <references count="2">
          <reference field="0" count="1" selected="0">
            <x v="11"/>
          </reference>
          <reference field="12" count="13">
            <x v="0"/>
            <x v="4"/>
            <x v="7"/>
            <x v="11"/>
            <x v="18"/>
            <x v="21"/>
            <x v="22"/>
            <x v="24"/>
            <x v="27"/>
            <x v="28"/>
            <x v="29"/>
            <x v="30"/>
            <x v="31"/>
          </reference>
        </references>
      </pivotArea>
    </format>
    <format dxfId="1130">
      <pivotArea dataOnly="0" labelOnly="1" outline="0" fieldPosition="0">
        <references count="3">
          <reference field="0" count="1" selected="0">
            <x v="0"/>
          </reference>
          <reference field="10" count="1">
            <x v="21"/>
          </reference>
          <reference field="12" count="1" selected="0">
            <x v="4"/>
          </reference>
        </references>
      </pivotArea>
    </format>
    <format dxfId="1129">
      <pivotArea dataOnly="0" labelOnly="1" outline="0" fieldPosition="0">
        <references count="3">
          <reference field="0" count="1" selected="0">
            <x v="5"/>
          </reference>
          <reference field="10" count="1">
            <x v="21"/>
          </reference>
          <reference field="12" count="1" selected="0">
            <x v="1"/>
          </reference>
        </references>
      </pivotArea>
    </format>
    <format dxfId="1128">
      <pivotArea dataOnly="0" labelOnly="1" outline="0" fieldPosition="0">
        <references count="3">
          <reference field="0" count="1" selected="0">
            <x v="5"/>
          </reference>
          <reference field="10" count="1">
            <x v="21"/>
          </reference>
          <reference field="12" count="1" selected="0">
            <x v="2"/>
          </reference>
        </references>
      </pivotArea>
    </format>
    <format dxfId="1127">
      <pivotArea dataOnly="0" labelOnly="1" outline="0" fieldPosition="0">
        <references count="3">
          <reference field="0" count="1" selected="0">
            <x v="5"/>
          </reference>
          <reference field="10" count="1">
            <x v="21"/>
          </reference>
          <reference field="12" count="1" selected="0">
            <x v="3"/>
          </reference>
        </references>
      </pivotArea>
    </format>
    <format dxfId="1126">
      <pivotArea dataOnly="0" labelOnly="1" outline="0" fieldPosition="0">
        <references count="3">
          <reference field="0" count="1" selected="0">
            <x v="5"/>
          </reference>
          <reference field="10" count="1">
            <x v="21"/>
          </reference>
          <reference field="12" count="1" selected="0">
            <x v="4"/>
          </reference>
        </references>
      </pivotArea>
    </format>
    <format dxfId="1125">
      <pivotArea dataOnly="0" labelOnly="1" outline="0" fieldPosition="0">
        <references count="3">
          <reference field="0" count="1" selected="0">
            <x v="11"/>
          </reference>
          <reference field="10" count="1">
            <x v="0"/>
          </reference>
          <reference field="12" count="1" selected="0">
            <x v="7"/>
          </reference>
        </references>
      </pivotArea>
    </format>
    <format dxfId="1124">
      <pivotArea dataOnly="0" labelOnly="1" outline="0" fieldPosition="0">
        <references count="3">
          <reference field="0" count="1" selected="0">
            <x v="11"/>
          </reference>
          <reference field="10" count="1">
            <x v="0"/>
          </reference>
          <reference field="12" count="1" selected="0">
            <x v="11"/>
          </reference>
        </references>
      </pivotArea>
    </format>
    <format dxfId="1123">
      <pivotArea dataOnly="0" labelOnly="1" outline="0" fieldPosition="0">
        <references count="3">
          <reference field="0" count="1" selected="0">
            <x v="11"/>
          </reference>
          <reference field="10" count="1">
            <x v="22"/>
          </reference>
          <reference field="12" count="1" selected="0">
            <x v="18"/>
          </reference>
        </references>
      </pivotArea>
    </format>
    <format dxfId="1122">
      <pivotArea dataOnly="0" labelOnly="1" outline="0" fieldPosition="0">
        <references count="3">
          <reference field="0" count="1" selected="0">
            <x v="11"/>
          </reference>
          <reference field="10" count="1">
            <x v="22"/>
          </reference>
          <reference field="12" count="1" selected="0">
            <x v="21"/>
          </reference>
        </references>
      </pivotArea>
    </format>
    <format dxfId="1121">
      <pivotArea dataOnly="0" labelOnly="1" outline="0" fieldPosition="0">
        <references count="3">
          <reference field="0" count="1" selected="0">
            <x v="11"/>
          </reference>
          <reference field="10" count="1">
            <x v="0"/>
          </reference>
          <reference field="12" count="1" selected="0">
            <x v="22"/>
          </reference>
        </references>
      </pivotArea>
    </format>
    <format dxfId="1120">
      <pivotArea dataOnly="0" labelOnly="1" outline="0" fieldPosition="0">
        <references count="3">
          <reference field="0" count="1" selected="0">
            <x v="11"/>
          </reference>
          <reference field="10" count="1">
            <x v="19"/>
          </reference>
          <reference field="12" count="1" selected="0">
            <x v="24"/>
          </reference>
        </references>
      </pivotArea>
    </format>
    <format dxfId="1119">
      <pivotArea dataOnly="0" labelOnly="1" outline="0" fieldPosition="0">
        <references count="3">
          <reference field="0" count="1" selected="0">
            <x v="11"/>
          </reference>
          <reference field="10" count="1">
            <x v="22"/>
          </reference>
          <reference field="12" count="1" selected="0">
            <x v="29"/>
          </reference>
        </references>
      </pivotArea>
    </format>
    <format dxfId="1118">
      <pivotArea dataOnly="0" labelOnly="1" outline="0" fieldPosition="0">
        <references count="3">
          <reference field="0" count="1" selected="0">
            <x v="11"/>
          </reference>
          <reference field="10" count="2">
            <x v="20"/>
            <x v="21"/>
          </reference>
          <reference field="12" count="1" selected="0">
            <x v="30"/>
          </reference>
        </references>
      </pivotArea>
    </format>
    <format dxfId="1117">
      <pivotArea dataOnly="0" labelOnly="1" outline="0" fieldPosition="0">
        <references count="3">
          <reference field="0" count="1" selected="0">
            <x v="11"/>
          </reference>
          <reference field="10" count="2">
            <x v="20"/>
            <x v="41"/>
          </reference>
          <reference field="12" count="1" selected="0">
            <x v="31"/>
          </reference>
        </references>
      </pivotArea>
    </format>
    <format dxfId="1116">
      <pivotArea dataOnly="0" labelOnly="1" outline="0" fieldPosition="0">
        <references count="3">
          <reference field="0" count="1" selected="0">
            <x v="12"/>
          </reference>
          <reference field="10" count="18">
            <x v="1"/>
            <x v="2"/>
            <x v="3"/>
            <x v="4"/>
            <x v="8"/>
            <x v="9"/>
            <x v="10"/>
            <x v="11"/>
            <x v="12"/>
            <x v="13"/>
            <x v="14"/>
            <x v="15"/>
            <x v="25"/>
            <x v="40"/>
            <x v="42"/>
            <x v="45"/>
            <x v="46"/>
            <x v="70"/>
          </reference>
          <reference field="12" count="1" selected="0">
            <x v="0"/>
          </reference>
        </references>
      </pivotArea>
    </format>
    <format dxfId="1115">
      <pivotArea dataOnly="0" labelOnly="1" outline="0" fieldPosition="0">
        <references count="4">
          <reference field="0" count="1" selected="0">
            <x v="0"/>
          </reference>
          <reference field="4" count="1">
            <x v="120"/>
          </reference>
          <reference field="10" count="1" selected="0">
            <x v="21"/>
          </reference>
          <reference field="12" count="1" selected="0">
            <x v="2"/>
          </reference>
        </references>
      </pivotArea>
    </format>
    <format dxfId="1114">
      <pivotArea dataOnly="0" labelOnly="1" outline="0" fieldPosition="0">
        <references count="4">
          <reference field="0" count="1" selected="0">
            <x v="0"/>
          </reference>
          <reference field="4" count="1">
            <x v="2177"/>
          </reference>
          <reference field="10" count="1" selected="0">
            <x v="21"/>
          </reference>
          <reference field="12" count="1" selected="0">
            <x v="3"/>
          </reference>
        </references>
      </pivotArea>
    </format>
    <format dxfId="1113">
      <pivotArea dataOnly="0" labelOnly="1" outline="0" fieldPosition="0">
        <references count="4">
          <reference field="0" count="1" selected="0">
            <x v="0"/>
          </reference>
          <reference field="4" count="1">
            <x v="2"/>
          </reference>
          <reference field="10" count="1" selected="0">
            <x v="21"/>
          </reference>
          <reference field="12" count="1" selected="0">
            <x v="4"/>
          </reference>
        </references>
      </pivotArea>
    </format>
    <format dxfId="1112">
      <pivotArea dataOnly="0" labelOnly="1" outline="0" fieldPosition="0">
        <references count="4">
          <reference field="0" count="1" selected="0">
            <x v="5"/>
          </reference>
          <reference field="4" count="1">
            <x v="2496"/>
          </reference>
          <reference field="10" count="1" selected="0">
            <x v="21"/>
          </reference>
          <reference field="12" count="1" selected="0">
            <x v="1"/>
          </reference>
        </references>
      </pivotArea>
    </format>
    <format dxfId="1111">
      <pivotArea dataOnly="0" labelOnly="1" outline="0" fieldPosition="0">
        <references count="4">
          <reference field="0" count="1" selected="0">
            <x v="5"/>
          </reference>
          <reference field="4" count="3">
            <x v="1068"/>
            <x v="2495"/>
            <x v="2499"/>
          </reference>
          <reference field="10" count="1" selected="0">
            <x v="21"/>
          </reference>
          <reference field="12" count="1" selected="0">
            <x v="2"/>
          </reference>
        </references>
      </pivotArea>
    </format>
    <format dxfId="1110">
      <pivotArea dataOnly="0" labelOnly="1" outline="0" fieldPosition="0">
        <references count="4">
          <reference field="0" count="1" selected="0">
            <x v="5"/>
          </reference>
          <reference field="4" count="1">
            <x v="2497"/>
          </reference>
          <reference field="10" count="1" selected="0">
            <x v="21"/>
          </reference>
          <reference field="12" count="1" selected="0">
            <x v="3"/>
          </reference>
        </references>
      </pivotArea>
    </format>
    <format dxfId="1109">
      <pivotArea dataOnly="0" labelOnly="1" outline="0" fieldPosition="0">
        <references count="4">
          <reference field="0" count="1" selected="0">
            <x v="5"/>
          </reference>
          <reference field="4" count="4">
            <x v="921"/>
            <x v="1071"/>
            <x v="1471"/>
            <x v="2498"/>
          </reference>
          <reference field="10" count="1" selected="0">
            <x v="21"/>
          </reference>
          <reference field="12" count="1" selected="0">
            <x v="4"/>
          </reference>
        </references>
      </pivotArea>
    </format>
    <format dxfId="1108">
      <pivotArea dataOnly="0" labelOnly="1" outline="0" fieldPosition="0">
        <references count="4">
          <reference field="0" count="1" selected="0">
            <x v="9"/>
          </reference>
          <reference field="4" count="4">
            <x v="2491"/>
            <x v="2492"/>
            <x v="2493"/>
            <x v="2494"/>
          </reference>
          <reference field="10" count="1" selected="0">
            <x v="16"/>
          </reference>
          <reference field="12" count="1" selected="0">
            <x v="0"/>
          </reference>
        </references>
      </pivotArea>
    </format>
    <format dxfId="1107">
      <pivotArea dataOnly="0" labelOnly="1" outline="0" fieldPosition="0">
        <references count="4">
          <reference field="0" count="1" selected="0">
            <x v="10"/>
          </reference>
          <reference field="4" count="6">
            <x v="434"/>
            <x v="2094"/>
            <x v="2245"/>
            <x v="2328"/>
            <x v="2393"/>
            <x v="2460"/>
          </reference>
          <reference field="10" count="1" selected="0">
            <x v="5"/>
          </reference>
          <reference field="12" count="1" selected="0">
            <x v="0"/>
          </reference>
        </references>
      </pivotArea>
    </format>
    <format dxfId="1106">
      <pivotArea dataOnly="0" labelOnly="1" outline="0" fieldPosition="0">
        <references count="4">
          <reference field="0" count="1" selected="0">
            <x v="10"/>
          </reference>
          <reference field="4" count="3">
            <x v="4"/>
            <x v="42"/>
            <x v="2419"/>
          </reference>
          <reference field="10" count="1" selected="0">
            <x v="6"/>
          </reference>
          <reference field="12" count="1" selected="0">
            <x v="0"/>
          </reference>
        </references>
      </pivotArea>
    </format>
    <format dxfId="1105">
      <pivotArea dataOnly="0" labelOnly="1" outline="0" fieldPosition="0">
        <references count="4">
          <reference field="0" count="1" selected="0">
            <x v="10"/>
          </reference>
          <reference field="4" count="2">
            <x v="19"/>
            <x v="158"/>
          </reference>
          <reference field="10" count="1" selected="0">
            <x v="23"/>
          </reference>
          <reference field="12" count="1" selected="0">
            <x v="0"/>
          </reference>
        </references>
      </pivotArea>
    </format>
    <format dxfId="1104">
      <pivotArea dataOnly="0" labelOnly="1" outline="0" fieldPosition="0">
        <references count="4">
          <reference field="0" count="1" selected="0">
            <x v="11"/>
          </reference>
          <reference field="4" count="1">
            <x v="2340"/>
          </reference>
          <reference field="10" count="1" selected="0">
            <x v="0"/>
          </reference>
          <reference field="12" count="1" selected="0">
            <x v="7"/>
          </reference>
        </references>
      </pivotArea>
    </format>
    <format dxfId="1103">
      <pivotArea dataOnly="0" labelOnly="1" outline="0" fieldPosition="0">
        <references count="4">
          <reference field="0" count="1" selected="0">
            <x v="11"/>
          </reference>
          <reference field="4" count="1">
            <x v="2490"/>
          </reference>
          <reference field="10" count="1" selected="0">
            <x v="0"/>
          </reference>
          <reference field="12" count="1" selected="0">
            <x v="11"/>
          </reference>
        </references>
      </pivotArea>
    </format>
    <format dxfId="1102">
      <pivotArea dataOnly="0" labelOnly="1" outline="0" fieldPosition="0">
        <references count="4">
          <reference field="0" count="1" selected="0">
            <x v="11"/>
          </reference>
          <reference field="4" count="1">
            <x v="1750"/>
          </reference>
          <reference field="10" count="1" selected="0">
            <x v="22"/>
          </reference>
          <reference field="12" count="1" selected="0">
            <x v="18"/>
          </reference>
        </references>
      </pivotArea>
    </format>
    <format dxfId="1101">
      <pivotArea dataOnly="0" labelOnly="1" outline="0" fieldPosition="0">
        <references count="4">
          <reference field="0" count="1" selected="0">
            <x v="11"/>
          </reference>
          <reference field="4" count="1">
            <x v="1585"/>
          </reference>
          <reference field="10" count="1" selected="0">
            <x v="22"/>
          </reference>
          <reference field="12" count="1" selected="0">
            <x v="21"/>
          </reference>
        </references>
      </pivotArea>
    </format>
    <format dxfId="1100">
      <pivotArea dataOnly="0" labelOnly="1" outline="0" fieldPosition="0">
        <references count="4">
          <reference field="0" count="1" selected="0">
            <x v="11"/>
          </reference>
          <reference field="4" count="1">
            <x v="1576"/>
          </reference>
          <reference field="10" count="1" selected="0">
            <x v="0"/>
          </reference>
          <reference field="12" count="1" selected="0">
            <x v="22"/>
          </reference>
        </references>
      </pivotArea>
    </format>
    <format dxfId="1099">
      <pivotArea dataOnly="0" labelOnly="1" outline="0" fieldPosition="0">
        <references count="4">
          <reference field="0" count="1" selected="0">
            <x v="11"/>
          </reference>
          <reference field="4" count="1">
            <x v="2355"/>
          </reference>
          <reference field="10" count="1" selected="0">
            <x v="19"/>
          </reference>
          <reference field="12" count="1" selected="0">
            <x v="24"/>
          </reference>
        </references>
      </pivotArea>
    </format>
    <format dxfId="1098">
      <pivotArea dataOnly="0" labelOnly="1" outline="0" fieldPosition="0">
        <references count="4">
          <reference field="0" count="1" selected="0">
            <x v="11"/>
          </reference>
          <reference field="4" count="1">
            <x v="14"/>
          </reference>
          <reference field="10" count="1" selected="0">
            <x v="0"/>
          </reference>
          <reference field="12" count="1" selected="0">
            <x v="27"/>
          </reference>
        </references>
      </pivotArea>
    </format>
    <format dxfId="1097">
      <pivotArea dataOnly="0" labelOnly="1" outline="0" fieldPosition="0">
        <references count="4">
          <reference field="0" count="1" selected="0">
            <x v="11"/>
          </reference>
          <reference field="4" count="1">
            <x v="1946"/>
          </reference>
          <reference field="10" count="1" selected="0">
            <x v="22"/>
          </reference>
          <reference field="12" count="1" selected="0">
            <x v="29"/>
          </reference>
        </references>
      </pivotArea>
    </format>
    <format dxfId="1096">
      <pivotArea dataOnly="0" labelOnly="1" outline="0" fieldPosition="0">
        <references count="4">
          <reference field="0" count="1" selected="0">
            <x v="11"/>
          </reference>
          <reference field="4" count="1">
            <x v="13"/>
          </reference>
          <reference field="10" count="1" selected="0">
            <x v="20"/>
          </reference>
          <reference field="12" count="1" selected="0">
            <x v="30"/>
          </reference>
        </references>
      </pivotArea>
    </format>
    <format dxfId="1095">
      <pivotArea dataOnly="0" labelOnly="1" outline="0" fieldPosition="0">
        <references count="4">
          <reference field="0" count="1" selected="0">
            <x v="11"/>
          </reference>
          <reference field="4" count="1">
            <x v="41"/>
          </reference>
          <reference field="10" count="1" selected="0">
            <x v="21"/>
          </reference>
          <reference field="12" count="1" selected="0">
            <x v="30"/>
          </reference>
        </references>
      </pivotArea>
    </format>
    <format dxfId="1094">
      <pivotArea dataOnly="0" labelOnly="1" outline="0" fieldPosition="0">
        <references count="4">
          <reference field="0" count="1" selected="0">
            <x v="11"/>
          </reference>
          <reference field="4" count="1">
            <x v="15"/>
          </reference>
          <reference field="10" count="1" selected="0">
            <x v="20"/>
          </reference>
          <reference field="12" count="1" selected="0">
            <x v="31"/>
          </reference>
        </references>
      </pivotArea>
    </format>
    <format dxfId="1093">
      <pivotArea dataOnly="0" labelOnly="1" outline="0" fieldPosition="0">
        <references count="4">
          <reference field="0" count="1" selected="0">
            <x v="11"/>
          </reference>
          <reference field="4" count="1">
            <x v="115"/>
          </reference>
          <reference field="10" count="1" selected="0">
            <x v="41"/>
          </reference>
          <reference field="12" count="1" selected="0">
            <x v="31"/>
          </reference>
        </references>
      </pivotArea>
    </format>
    <format dxfId="1092">
      <pivotArea dataOnly="0" labelOnly="1" outline="0" fieldPosition="0">
        <references count="4">
          <reference field="0" count="1" selected="0">
            <x v="12"/>
          </reference>
          <reference field="4" count="3">
            <x v="32"/>
            <x v="1623"/>
            <x v="2080"/>
          </reference>
          <reference field="10" count="1" selected="0">
            <x v="1"/>
          </reference>
          <reference field="12" count="1" selected="0">
            <x v="0"/>
          </reference>
        </references>
      </pivotArea>
    </format>
    <format dxfId="1091">
      <pivotArea dataOnly="0" labelOnly="1" outline="0" fieldPosition="0">
        <references count="4">
          <reference field="0" count="1" selected="0">
            <x v="12"/>
          </reference>
          <reference field="4" count="4">
            <x v="38"/>
            <x v="101"/>
            <x v="283"/>
            <x v="2435"/>
          </reference>
          <reference field="10" count="1" selected="0">
            <x v="2"/>
          </reference>
          <reference field="12" count="1" selected="0">
            <x v="0"/>
          </reference>
        </references>
      </pivotArea>
    </format>
    <format dxfId="1090">
      <pivotArea dataOnly="0" labelOnly="1" outline="0" fieldPosition="0">
        <references count="4">
          <reference field="0" count="1" selected="0">
            <x v="12"/>
          </reference>
          <reference field="4" count="2">
            <x v="600"/>
            <x v="2450"/>
          </reference>
          <reference field="10" count="1" selected="0">
            <x v="9"/>
          </reference>
          <reference field="12" count="1" selected="0">
            <x v="0"/>
          </reference>
        </references>
      </pivotArea>
    </format>
    <format dxfId="1089">
      <pivotArea dataOnly="0" labelOnly="1" outline="0" fieldPosition="0">
        <references count="4">
          <reference field="0" count="1" selected="0">
            <x v="12"/>
          </reference>
          <reference field="4" count="2">
            <x v="2334"/>
            <x v="2449"/>
          </reference>
          <reference field="10" count="1" selected="0">
            <x v="10"/>
          </reference>
          <reference field="12" count="1" selected="0">
            <x v="0"/>
          </reference>
        </references>
      </pivotArea>
    </format>
    <format dxfId="1088">
      <pivotArea dataOnly="0" labelOnly="1" outline="0" fieldPosition="0">
        <references count="4">
          <reference field="0" count="1" selected="0">
            <x v="12"/>
          </reference>
          <reference field="4" count="5">
            <x v="1198"/>
            <x v="1672"/>
            <x v="2415"/>
            <x v="2448"/>
            <x v="2487"/>
          </reference>
          <reference field="10" count="1" selected="0">
            <x v="12"/>
          </reference>
          <reference field="12" count="1" selected="0">
            <x v="0"/>
          </reference>
        </references>
      </pivotArea>
    </format>
    <format dxfId="1087">
      <pivotArea dataOnly="0" labelOnly="1" outline="0" fieldPosition="0">
        <references count="4">
          <reference field="0" count="1" selected="0">
            <x v="12"/>
          </reference>
          <reference field="4" count="4">
            <x v="43"/>
            <x v="126"/>
            <x v="438"/>
            <x v="2447"/>
          </reference>
          <reference field="10" count="1" selected="0">
            <x v="13"/>
          </reference>
          <reference field="12" count="1" selected="0">
            <x v="0"/>
          </reference>
        </references>
      </pivotArea>
    </format>
    <format dxfId="1086">
      <pivotArea dataOnly="0" labelOnly="1" outline="0" fieldPosition="0">
        <references count="4">
          <reference field="0" count="1" selected="0">
            <x v="12"/>
          </reference>
          <reference field="4" count="4">
            <x v="11"/>
            <x v="302"/>
            <x v="1955"/>
            <x v="2324"/>
          </reference>
          <reference field="10" count="1" selected="0">
            <x v="14"/>
          </reference>
          <reference field="12" count="1" selected="0">
            <x v="0"/>
          </reference>
        </references>
      </pivotArea>
    </format>
    <format dxfId="1085">
      <pivotArea dataOnly="0" labelOnly="1" outline="0" fieldPosition="0">
        <references count="4">
          <reference field="0" count="1" selected="0">
            <x v="12"/>
          </reference>
          <reference field="4" count="2">
            <x v="2454"/>
            <x v="2455"/>
          </reference>
          <reference field="10" count="1" selected="0">
            <x v="25"/>
          </reference>
          <reference field="12" count="1" selected="0">
            <x v="0"/>
          </reference>
        </references>
      </pivotArea>
    </format>
    <format dxfId="1084">
      <pivotArea dataOnly="0" labelOnly="1" outline="0" fieldPosition="0">
        <references count="4">
          <reference field="0" count="1" selected="0">
            <x v="12"/>
          </reference>
          <reference field="4" count="1">
            <x v="2488"/>
          </reference>
          <reference field="10" count="1" selected="0">
            <x v="45"/>
          </reference>
          <reference field="12" count="1" selected="0">
            <x v="0"/>
          </reference>
        </references>
      </pivotArea>
    </format>
    <format dxfId="1083">
      <pivotArea dataOnly="0" labelOnly="1" outline="0" fieldPosition="0">
        <references count="4">
          <reference field="0" count="1" selected="0">
            <x v="12"/>
          </reference>
          <reference field="4" count="2">
            <x v="1366"/>
            <x v="2489"/>
          </reference>
          <reference field="10" count="1" selected="0">
            <x v="46"/>
          </reference>
          <reference field="12" count="1" selected="0">
            <x v="0"/>
          </reference>
        </references>
      </pivotArea>
    </format>
    <format dxfId="1082">
      <pivotArea dataOnly="0" labelOnly="1" outline="0" fieldPosition="0">
        <references count="4">
          <reference field="0" count="1" selected="0">
            <x v="12"/>
          </reference>
          <reference field="4" count="1">
            <x v="2467"/>
          </reference>
          <reference field="10" count="1" selected="0">
            <x v="70"/>
          </reference>
          <reference field="12" count="1" selected="0">
            <x v="0"/>
          </reference>
        </references>
      </pivotArea>
    </format>
    <format dxfId="1081">
      <pivotArea dataOnly="0" labelOnly="1" outline="0" fieldPosition="0">
        <references count="5">
          <reference field="0" count="1" selected="0">
            <x v="0"/>
          </reference>
          <reference field="4" count="1" selected="0">
            <x v="120"/>
          </reference>
          <reference field="10" count="1" selected="0">
            <x v="21"/>
          </reference>
          <reference field="12" count="1" selected="0">
            <x v="2"/>
          </reference>
          <reference field="13" count="1">
            <x v="0"/>
          </reference>
        </references>
      </pivotArea>
    </format>
    <format dxfId="1080">
      <pivotArea dataOnly="0" labelOnly="1" outline="0" fieldPosition="0">
        <references count="5">
          <reference field="0" count="1" selected="0">
            <x v="0"/>
          </reference>
          <reference field="4" count="1" selected="0">
            <x v="2177"/>
          </reference>
          <reference field="10" count="1" selected="0">
            <x v="21"/>
          </reference>
          <reference field="12" count="1" selected="0">
            <x v="3"/>
          </reference>
          <reference field="13" count="1">
            <x v="0"/>
          </reference>
        </references>
      </pivotArea>
    </format>
    <format dxfId="1079">
      <pivotArea dataOnly="0" labelOnly="1" outline="0" fieldPosition="0">
        <references count="5">
          <reference field="0" count="1" selected="0">
            <x v="0"/>
          </reference>
          <reference field="4" count="1" selected="0">
            <x v="2"/>
          </reference>
          <reference field="10" count="1" selected="0">
            <x v="21"/>
          </reference>
          <reference field="12" count="1" selected="0">
            <x v="4"/>
          </reference>
          <reference field="13" count="1">
            <x v="0"/>
          </reference>
        </references>
      </pivotArea>
    </format>
    <format dxfId="1078">
      <pivotArea dataOnly="0" labelOnly="1" outline="0" fieldPosition="0">
        <references count="5">
          <reference field="0" count="1" selected="0">
            <x v="5"/>
          </reference>
          <reference field="4" count="1" selected="0">
            <x v="2496"/>
          </reference>
          <reference field="10" count="1" selected="0">
            <x v="21"/>
          </reference>
          <reference field="12" count="1" selected="0">
            <x v="1"/>
          </reference>
          <reference field="13" count="1">
            <x v="0"/>
          </reference>
        </references>
      </pivotArea>
    </format>
    <format dxfId="1077">
      <pivotArea dataOnly="0" labelOnly="1" outline="0" fieldPosition="0">
        <references count="5">
          <reference field="0" count="1" selected="0">
            <x v="5"/>
          </reference>
          <reference field="4" count="1" selected="0">
            <x v="1068"/>
          </reference>
          <reference field="10" count="1" selected="0">
            <x v="21"/>
          </reference>
          <reference field="12" count="1" selected="0">
            <x v="2"/>
          </reference>
          <reference field="13" count="1">
            <x v="0"/>
          </reference>
        </references>
      </pivotArea>
    </format>
    <format dxfId="1076">
      <pivotArea dataOnly="0" labelOnly="1" outline="0" fieldPosition="0">
        <references count="5">
          <reference field="0" count="1" selected="0">
            <x v="5"/>
          </reference>
          <reference field="4" count="1" selected="0">
            <x v="2497"/>
          </reference>
          <reference field="10" count="1" selected="0">
            <x v="21"/>
          </reference>
          <reference field="12" count="1" selected="0">
            <x v="3"/>
          </reference>
          <reference field="13" count="1">
            <x v="0"/>
          </reference>
        </references>
      </pivotArea>
    </format>
    <format dxfId="1075">
      <pivotArea dataOnly="0" labelOnly="1" outline="0" fieldPosition="0">
        <references count="5">
          <reference field="0" count="1" selected="0">
            <x v="5"/>
          </reference>
          <reference field="4" count="1" selected="0">
            <x v="921"/>
          </reference>
          <reference field="10" count="1" selected="0">
            <x v="21"/>
          </reference>
          <reference field="12" count="1" selected="0">
            <x v="4"/>
          </reference>
          <reference field="13" count="1">
            <x v="0"/>
          </reference>
        </references>
      </pivotArea>
    </format>
    <format dxfId="1074">
      <pivotArea dataOnly="0" labelOnly="1" outline="0" fieldPosition="0">
        <references count="5">
          <reference field="0" count="1" selected="0">
            <x v="9"/>
          </reference>
          <reference field="4" count="1" selected="0">
            <x v="2491"/>
          </reference>
          <reference field="10" count="1" selected="0">
            <x v="16"/>
          </reference>
          <reference field="12" count="1" selected="0">
            <x v="0"/>
          </reference>
          <reference field="13" count="1">
            <x v="0"/>
          </reference>
        </references>
      </pivotArea>
    </format>
    <format dxfId="1073">
      <pivotArea dataOnly="0" labelOnly="1" outline="0" fieldPosition="0">
        <references count="5">
          <reference field="0" count="1" selected="0">
            <x v="10"/>
          </reference>
          <reference field="4" count="1" selected="0">
            <x v="434"/>
          </reference>
          <reference field="10" count="1" selected="0">
            <x v="5"/>
          </reference>
          <reference field="12" count="1" selected="0">
            <x v="0"/>
          </reference>
          <reference field="13" count="1">
            <x v="0"/>
          </reference>
        </references>
      </pivotArea>
    </format>
    <format dxfId="1072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2340"/>
          </reference>
          <reference field="10" count="1" selected="0">
            <x v="0"/>
          </reference>
          <reference field="12" count="1" selected="0">
            <x v="7"/>
          </reference>
          <reference field="13" count="1">
            <x v="0"/>
          </reference>
        </references>
      </pivotArea>
    </format>
    <format dxfId="1071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2490"/>
          </reference>
          <reference field="10" count="1" selected="0">
            <x v="0"/>
          </reference>
          <reference field="12" count="1" selected="0">
            <x v="11"/>
          </reference>
          <reference field="13" count="1">
            <x v="0"/>
          </reference>
        </references>
      </pivotArea>
    </format>
    <format dxfId="1070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750"/>
          </reference>
          <reference field="10" count="1" selected="0">
            <x v="22"/>
          </reference>
          <reference field="12" count="1" selected="0">
            <x v="18"/>
          </reference>
          <reference field="13" count="1">
            <x v="0"/>
          </reference>
        </references>
      </pivotArea>
    </format>
    <format dxfId="1069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585"/>
          </reference>
          <reference field="10" count="1" selected="0">
            <x v="22"/>
          </reference>
          <reference field="12" count="1" selected="0">
            <x v="21"/>
          </reference>
          <reference field="13" count="1">
            <x v="0"/>
          </reference>
        </references>
      </pivotArea>
    </format>
    <format dxfId="1068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576"/>
          </reference>
          <reference field="10" count="1" selected="0">
            <x v="0"/>
          </reference>
          <reference field="12" count="1" selected="0">
            <x v="22"/>
          </reference>
          <reference field="13" count="1">
            <x v="1"/>
          </reference>
        </references>
      </pivotArea>
    </format>
    <format dxfId="1067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2355"/>
          </reference>
          <reference field="10" count="1" selected="0">
            <x v="19"/>
          </reference>
          <reference field="12" count="1" selected="0">
            <x v="24"/>
          </reference>
          <reference field="13" count="1">
            <x v="0"/>
          </reference>
        </references>
      </pivotArea>
    </format>
    <format dxfId="1066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>
            <x v="1"/>
          </reference>
        </references>
      </pivotArea>
    </format>
    <format dxfId="1065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46"/>
          </reference>
          <reference field="10" count="1" selected="0">
            <x v="22"/>
          </reference>
          <reference field="12" count="1" selected="0">
            <x v="29"/>
          </reference>
          <reference field="13" count="1">
            <x v="0"/>
          </reference>
        </references>
      </pivotArea>
    </format>
    <format dxfId="1064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3"/>
          </reference>
          <reference field="10" count="1" selected="0">
            <x v="20"/>
          </reference>
          <reference field="12" count="1" selected="0">
            <x v="30"/>
          </reference>
          <reference field="13" count="1">
            <x v="0"/>
          </reference>
        </references>
      </pivotArea>
    </format>
    <format dxfId="1063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5"/>
          </reference>
          <reference field="10" count="1" selected="0">
            <x v="20"/>
          </reference>
          <reference field="12" count="1" selected="0">
            <x v="31"/>
          </reference>
          <reference field="13" count="1">
            <x v="0"/>
          </reference>
        </references>
      </pivotArea>
    </format>
    <format dxfId="1062">
      <pivotArea dataOnly="0" labelOnly="1" outline="0" fieldPosition="0">
        <references count="6">
          <reference field="0" count="1" selected="0">
            <x v="0"/>
          </reference>
          <reference field="4" count="1" selected="0">
            <x v="120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1">
      <pivotArea dataOnly="0" labelOnly="1" outline="0" fieldPosition="0">
        <references count="6">
          <reference field="0" count="1" selected="0">
            <x v="0"/>
          </reference>
          <reference field="4" count="1" selected="0">
            <x v="2177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60">
      <pivotArea dataOnly="0" labelOnly="1" outline="0" fieldPosition="0">
        <references count="6">
          <reference field="0" count="1" selected="0">
            <x v="0"/>
          </reference>
          <reference field="4" count="1" selected="0">
            <x v="2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59">
      <pivotArea dataOnly="0" labelOnly="1" outline="0" fieldPosition="0">
        <references count="6">
          <reference field="0" count="1" selected="0">
            <x v="5"/>
          </reference>
          <reference field="4" count="1" selected="0">
            <x v="2496"/>
          </reference>
          <reference field="10" count="1" selected="0">
            <x v="21"/>
          </reference>
          <reference field="12" count="1" selected="0">
            <x v="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58">
      <pivotArea dataOnly="0" labelOnly="1" outline="0" fieldPosition="0">
        <references count="6">
          <reference field="0" count="1" selected="0">
            <x v="5"/>
          </reference>
          <reference field="4" count="1" selected="0">
            <x v="1068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57">
      <pivotArea dataOnly="0" labelOnly="1" outline="0" fieldPosition="0">
        <references count="6">
          <reference field="0" count="1" selected="0">
            <x v="5"/>
          </reference>
          <reference field="4" count="1" selected="0">
            <x v="2497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56">
      <pivotArea dataOnly="0" labelOnly="1" outline="0" fieldPosition="0">
        <references count="6">
          <reference field="0" count="1" selected="0">
            <x v="5"/>
          </reference>
          <reference field="4" count="1" selected="0">
            <x v="92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55">
      <pivotArea dataOnly="0" labelOnly="1" outline="0" fieldPosition="0">
        <references count="6">
          <reference field="0" count="1" selected="0">
            <x v="9"/>
          </reference>
          <reference field="4" count="1" selected="0">
            <x v="249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54">
      <pivotArea dataOnly="0" labelOnly="1" outline="0" fieldPosition="0">
        <references count="6">
          <reference field="0" count="1" selected="0">
            <x v="10"/>
          </reference>
          <reference field="4" count="1" selected="0">
            <x v="434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53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234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52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249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51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750"/>
          </reference>
          <reference field="10" count="1" selected="0">
            <x v="22"/>
          </reference>
          <reference field="12" count="1" selected="0">
            <x v="1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50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585"/>
          </reference>
          <reference field="10" count="1" selected="0">
            <x v="22"/>
          </reference>
          <reference field="12" count="1" selected="0">
            <x v="2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49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576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1"/>
          </reference>
          <reference field="16" count="1">
            <x v="0"/>
          </reference>
        </references>
      </pivotArea>
    </format>
    <format dxfId="1048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2355"/>
          </reference>
          <reference field="10" count="1" selected="0">
            <x v="19"/>
          </reference>
          <reference field="12" count="1" selected="0">
            <x v="24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1047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1"/>
          </reference>
          <reference field="16" count="1">
            <x v="1"/>
          </reference>
        </references>
      </pivotArea>
    </format>
    <format dxfId="1046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946"/>
          </reference>
          <reference field="10" count="1" selected="0">
            <x v="22"/>
          </reference>
          <reference field="12" count="1" selected="0">
            <x v="2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45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3"/>
          </reference>
          <reference field="10" count="1" selected="0">
            <x v="20"/>
          </reference>
          <reference field="12" count="1" selected="0">
            <x v="3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44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5"/>
          </reference>
          <reference field="10" count="1" selected="0">
            <x v="20"/>
          </reference>
          <reference field="12" count="1" selected="0">
            <x v="31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1043">
      <pivotArea dataOnly="0" labelOnly="1" outline="0" fieldPosition="0">
        <references count="7">
          <reference field="0" count="1" selected="0">
            <x v="0"/>
          </reference>
          <reference field="4" count="1" selected="0">
            <x v="120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4"/>
          </reference>
        </references>
      </pivotArea>
    </format>
    <format dxfId="1042">
      <pivotArea dataOnly="0" labelOnly="1" outline="0" fieldPosition="0">
        <references count="7">
          <reference field="0" count="1" selected="0">
            <x v="0"/>
          </reference>
          <reference field="4" count="1" selected="0">
            <x v="2177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2"/>
          </reference>
        </references>
      </pivotArea>
    </format>
    <format dxfId="1041">
      <pivotArea dataOnly="0" labelOnly="1" outline="0" fieldPosition="0">
        <references count="7">
          <reference field="0" count="1" selected="0">
            <x v="0"/>
          </reference>
          <reference field="4" count="1" selected="0">
            <x v="2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0"/>
          </reference>
        </references>
      </pivotArea>
    </format>
    <format dxfId="1040">
      <pivotArea dataOnly="0" labelOnly="1" outline="0" fieldPosition="0">
        <references count="7">
          <reference field="0" count="1" selected="0">
            <x v="5"/>
          </reference>
          <reference field="4" count="1" selected="0">
            <x v="2496"/>
          </reference>
          <reference field="10" count="1" selected="0">
            <x v="2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0"/>
          </reference>
        </references>
      </pivotArea>
    </format>
    <format dxfId="1039">
      <pivotArea dataOnly="0" labelOnly="1" outline="0" fieldPosition="0">
        <references count="7">
          <reference field="0" count="1" selected="0">
            <x v="5"/>
          </reference>
          <reference field="4" count="1" selected="0">
            <x v="1068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4"/>
          </reference>
        </references>
      </pivotArea>
    </format>
    <format dxfId="1038">
      <pivotArea dataOnly="0" labelOnly="1" outline="0" fieldPosition="0">
        <references count="7">
          <reference field="0" count="1" selected="0">
            <x v="5"/>
          </reference>
          <reference field="4" count="1" selected="0">
            <x v="2495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5"/>
          </reference>
        </references>
      </pivotArea>
    </format>
    <format dxfId="1037">
      <pivotArea dataOnly="0" labelOnly="1" outline="0" fieldPosition="0">
        <references count="7">
          <reference field="0" count="1" selected="0">
            <x v="5"/>
          </reference>
          <reference field="4" count="1" selected="0">
            <x v="2499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0"/>
          </reference>
        </references>
      </pivotArea>
    </format>
    <format dxfId="1036">
      <pivotArea dataOnly="0" labelOnly="1" outline="0" fieldPosition="0">
        <references count="7">
          <reference field="0" count="1" selected="0">
            <x v="5"/>
          </reference>
          <reference field="4" count="1" selected="0">
            <x v="2497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7"/>
          </reference>
        </references>
      </pivotArea>
    </format>
    <format dxfId="1035">
      <pivotArea dataOnly="0" labelOnly="1" outline="0" fieldPosition="0">
        <references count="7">
          <reference field="0" count="1" selected="0">
            <x v="5"/>
          </reference>
          <reference field="4" count="1" selected="0">
            <x v="92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8"/>
          </reference>
        </references>
      </pivotArea>
    </format>
    <format dxfId="1034">
      <pivotArea dataOnly="0" labelOnly="1" outline="0" fieldPosition="0">
        <references count="7">
          <reference field="0" count="1" selected="0">
            <x v="5"/>
          </reference>
          <reference field="4" count="1" selected="0">
            <x v="107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0"/>
          </reference>
        </references>
      </pivotArea>
    </format>
    <format dxfId="1033">
      <pivotArea dataOnly="0" labelOnly="1" outline="0" fieldPosition="0">
        <references count="7">
          <reference field="0" count="1" selected="0">
            <x v="5"/>
          </reference>
          <reference field="4" count="1" selected="0">
            <x v="2498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4"/>
          </reference>
        </references>
      </pivotArea>
    </format>
    <format dxfId="1032">
      <pivotArea dataOnly="0" labelOnly="1" outline="0" fieldPosition="0">
        <references count="7">
          <reference field="0" count="1" selected="0">
            <x v="9"/>
          </reference>
          <reference field="4" count="1" selected="0">
            <x v="249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8"/>
          </reference>
        </references>
      </pivotArea>
    </format>
    <format dxfId="1031">
      <pivotArea dataOnly="0" labelOnly="1" outline="0" fieldPosition="0">
        <references count="7">
          <reference field="0" count="1" selected="0">
            <x v="9"/>
          </reference>
          <reference field="4" count="1" selected="0">
            <x v="2492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"/>
          </reference>
        </references>
      </pivotArea>
    </format>
    <format dxfId="1030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434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029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2094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"/>
          </reference>
        </references>
      </pivotArea>
    </format>
    <format dxfId="1028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4"/>
          </reference>
          <reference field="10" count="1" selected="0">
            <x v="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027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42"/>
          </reference>
          <reference field="10" count="1" selected="0">
            <x v="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"/>
          </reference>
        </references>
      </pivotArea>
    </format>
    <format dxfId="1026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2419"/>
          </reference>
          <reference field="10" count="1" selected="0">
            <x v="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1025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158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"/>
          </reference>
        </references>
      </pivotArea>
    </format>
    <format dxfId="1024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2340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2"/>
          </reference>
        </references>
      </pivotArea>
    </format>
    <format dxfId="1023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2490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6"/>
          </reference>
        </references>
      </pivotArea>
    </format>
    <format dxfId="1022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1750"/>
          </reference>
          <reference field="10" count="1" selected="0">
            <x v="22"/>
          </reference>
          <reference field="12" count="1" selected="0">
            <x v="1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4"/>
          </reference>
        </references>
      </pivotArea>
    </format>
    <format dxfId="1021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1585"/>
          </reference>
          <reference field="10" count="1" selected="0">
            <x v="22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7"/>
          </reference>
        </references>
      </pivotArea>
    </format>
    <format dxfId="1020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1576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1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1019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2355"/>
          </reference>
          <reference field="10" count="1" selected="0">
            <x v="19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"/>
          </reference>
        </references>
      </pivotArea>
    </format>
    <format dxfId="1018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14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1"/>
          </reference>
          <reference field="16" count="1" selected="0">
            <x v="1"/>
          </reference>
          <reference field="18" count="1">
            <x v="17"/>
          </reference>
        </references>
      </pivotArea>
    </format>
    <format dxfId="1017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1946"/>
          </reference>
          <reference field="10" count="1" selected="0">
            <x v="22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0"/>
          </reference>
        </references>
      </pivotArea>
    </format>
    <format dxfId="1016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13"/>
          </reference>
          <reference field="10" count="1" selected="0">
            <x v="20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6"/>
          </reference>
        </references>
      </pivotArea>
    </format>
    <format dxfId="1015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41"/>
          </reference>
          <reference field="10" count="1" selected="0">
            <x v="21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3"/>
          </reference>
        </references>
      </pivotArea>
    </format>
    <format dxfId="1014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15"/>
          </reference>
          <reference field="10" count="1" selected="0">
            <x v="20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6"/>
          </reference>
        </references>
      </pivotArea>
    </format>
    <format dxfId="1013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115"/>
          </reference>
          <reference field="10" count="1" selected="0">
            <x v="4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3"/>
          </reference>
        </references>
      </pivotArea>
    </format>
    <format dxfId="1012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1623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0"/>
          </reference>
        </references>
      </pivotArea>
    </format>
    <format dxfId="1011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435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1010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60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"/>
          </reference>
        </references>
      </pivotArea>
    </format>
    <format dxfId="1009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33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5"/>
          </reference>
        </references>
      </pivotArea>
    </format>
    <format dxfId="1008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449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1007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415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0"/>
          </reference>
        </references>
      </pivotArea>
    </format>
    <format dxfId="1006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44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5"/>
          </reference>
        </references>
      </pivotArea>
    </format>
    <format dxfId="1005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11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1004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302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1003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1955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1002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324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1"/>
          </reference>
        </references>
      </pivotArea>
    </format>
    <format dxfId="1001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454"/>
          </reference>
          <reference field="10" count="1" selected="0">
            <x v="2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0"/>
          </reference>
        </references>
      </pivotArea>
    </format>
    <format dxfId="1000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488"/>
          </reference>
          <reference field="10" count="1" selected="0">
            <x v="4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5"/>
          </reference>
        </references>
      </pivotArea>
    </format>
    <format dxfId="999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1366"/>
          </reference>
          <reference field="10" count="1" selected="0">
            <x v="4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998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489"/>
          </reference>
          <reference field="10" count="1" selected="0">
            <x v="4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997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467"/>
          </reference>
          <reference field="10" count="1" selected="0">
            <x v="7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"/>
          </reference>
        </references>
      </pivotArea>
    </format>
    <format dxfId="996">
      <pivotArea dataOnly="0" labelOnly="1" outline="0" fieldPosition="0">
        <references count="8">
          <reference field="0" count="1" selected="0">
            <x v="0"/>
          </reference>
          <reference field="4" count="1" selected="0">
            <x v="120"/>
          </reference>
          <reference field="9" count="1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995">
      <pivotArea dataOnly="0" labelOnly="1" outline="0" fieldPosition="0">
        <references count="8">
          <reference field="0" count="1" selected="0">
            <x v="0"/>
          </reference>
          <reference field="4" count="1" selected="0">
            <x v="2177"/>
          </reference>
          <reference field="9" count="1">
            <x v="1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94">
      <pivotArea dataOnly="0" labelOnly="1" outline="0" fieldPosition="0">
        <references count="8">
          <reference field="0" count="1" selected="0">
            <x v="0"/>
          </reference>
          <reference field="4" count="1" selected="0">
            <x v="2"/>
          </reference>
          <reference field="9" count="1">
            <x v="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993">
      <pivotArea dataOnly="0" labelOnly="1" outline="0" fieldPosition="0">
        <references count="8">
          <reference field="0" count="1" selected="0">
            <x v="5"/>
          </reference>
          <reference field="4" count="1" selected="0">
            <x v="2496"/>
          </reference>
          <reference field="9" count="1">
            <x v="1"/>
          </reference>
          <reference field="10" count="1" selected="0">
            <x v="2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0"/>
          </reference>
        </references>
      </pivotArea>
    </format>
    <format dxfId="992">
      <pivotArea dataOnly="0" labelOnly="1" outline="0" fieldPosition="0">
        <references count="8">
          <reference field="0" count="1" selected="0">
            <x v="5"/>
          </reference>
          <reference field="4" count="1" selected="0">
            <x v="1068"/>
          </reference>
          <reference field="9" count="1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4"/>
          </reference>
        </references>
      </pivotArea>
    </format>
    <format dxfId="991">
      <pivotArea dataOnly="0" labelOnly="1" outline="0" fieldPosition="0">
        <references count="8">
          <reference field="0" count="1" selected="0">
            <x v="5"/>
          </reference>
          <reference field="4" count="1" selected="0">
            <x v="2497"/>
          </reference>
          <reference field="9" count="1">
            <x v="1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990">
      <pivotArea dataOnly="0" labelOnly="1" outline="0" fieldPosition="0">
        <references count="8">
          <reference field="0" count="1" selected="0">
            <x v="5"/>
          </reference>
          <reference field="4" count="1" selected="0">
            <x v="921"/>
          </reference>
          <reference field="9" count="1">
            <x v="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8"/>
          </reference>
        </references>
      </pivotArea>
    </format>
    <format dxfId="989">
      <pivotArea dataOnly="0" labelOnly="1" outline="0" fieldPosition="0">
        <references count="8">
          <reference field="0" count="1" selected="0">
            <x v="9"/>
          </reference>
          <reference field="4" count="1" selected="0">
            <x v="2491"/>
          </reference>
          <reference field="9" count="1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8"/>
          </reference>
        </references>
      </pivotArea>
    </format>
    <format dxfId="988">
      <pivotArea dataOnly="0" labelOnly="1" outline="0" fieldPosition="0">
        <references count="8">
          <reference field="0" count="1" selected="0">
            <x v="9"/>
          </reference>
          <reference field="4" count="1" selected="0">
            <x v="2492"/>
          </reference>
          <reference field="9" count="1">
            <x v="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987">
      <pivotArea dataOnly="0" labelOnly="1" outline="0" fieldPosition="0">
        <references count="8">
          <reference field="0" count="1" selected="0">
            <x v="10"/>
          </reference>
          <reference field="4" count="1" selected="0">
            <x v="434"/>
          </reference>
          <reference field="9" count="1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86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234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2"/>
          </reference>
        </references>
      </pivotArea>
    </format>
    <format dxfId="985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2490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6"/>
          </reference>
        </references>
      </pivotArea>
    </format>
    <format dxfId="984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750"/>
          </reference>
          <reference field="9" count="1">
            <x v="1"/>
          </reference>
          <reference field="10" count="1" selected="0">
            <x v="22"/>
          </reference>
          <reference field="12" count="1" selected="0">
            <x v="1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983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585"/>
          </reference>
          <reference field="9" count="1">
            <x v="0"/>
          </reference>
          <reference field="10" count="1" selected="0">
            <x v="22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982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5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81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2355"/>
          </reference>
          <reference field="9" count="1">
            <x v="0"/>
          </reference>
          <reference field="10" count="1" selected="0">
            <x v="19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980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1"/>
          </reference>
          <reference field="16" count="1" selected="0">
            <x v="1"/>
          </reference>
          <reference field="18" count="1" selected="0">
            <x v="17"/>
          </reference>
        </references>
      </pivotArea>
    </format>
    <format dxfId="979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946"/>
          </reference>
          <reference field="9" count="1">
            <x v="1"/>
          </reference>
          <reference field="10" count="1" selected="0">
            <x v="22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0"/>
          </reference>
        </references>
      </pivotArea>
    </format>
    <format dxfId="978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3"/>
          </reference>
          <reference field="9" count="1">
            <x v="1"/>
          </reference>
          <reference field="10" count="1" selected="0">
            <x v="20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977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5"/>
          </reference>
          <reference field="9" count="1">
            <x v="1"/>
          </reference>
          <reference field="10" count="1" selected="0">
            <x v="20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976">
      <pivotArea dataOnly="0" labelOnly="1" outline="0" fieldPosition="0">
        <references count="8">
          <reference field="0" count="1" selected="0">
            <x v="12"/>
          </reference>
          <reference field="4" count="1" selected="0">
            <x v="101"/>
          </reference>
          <reference field="9" count="1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975">
      <pivotArea dataOnly="0" labelOnly="1" outline="0" fieldPosition="0">
        <references count="8">
          <reference field="0" count="1" selected="0">
            <x v="12"/>
          </reference>
          <reference field="4" count="1" selected="0">
            <x v="11"/>
          </reference>
          <reference field="9" count="1">
            <x v="1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74">
      <pivotArea dataOnly="0" labelOnly="1" outline="0" fieldPosition="0">
        <references count="8">
          <reference field="0" count="1" selected="0">
            <x v="12"/>
          </reference>
          <reference field="4" count="1" selected="0">
            <x v="302"/>
          </reference>
          <reference field="9" count="1">
            <x v="0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973">
      <pivotArea dataOnly="0" labelOnly="1" outline="0" fieldPosition="0">
        <references count="9">
          <reference field="0" count="1" selected="0">
            <x v="0"/>
          </reference>
          <reference field="4" count="1" selected="0">
            <x v="1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972">
      <pivotArea dataOnly="0" labelOnly="1" outline="0" fieldPosition="0">
        <references count="9">
          <reference field="0" count="1" selected="0">
            <x v="0"/>
          </reference>
          <reference field="4" count="1" selected="0">
            <x v="2177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71">
      <pivotArea dataOnly="0" labelOnly="1" outline="0" fieldPosition="0">
        <references count="9">
          <reference field="0" count="1" selected="0">
            <x v="0"/>
          </reference>
          <reference field="4" count="1" selected="0">
            <x v="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970">
      <pivotArea dataOnly="0" labelOnly="1" outline="0" fieldPosition="0">
        <references count="9">
          <reference field="0" count="1" selected="0">
            <x v="5"/>
          </reference>
          <reference field="4" count="1" selected="0">
            <x v="2496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0"/>
          </reference>
        </references>
      </pivotArea>
    </format>
    <format dxfId="969">
      <pivotArea dataOnly="0" labelOnly="1" outline="0" fieldPosition="0">
        <references count="9">
          <reference field="0" count="1" selected="0">
            <x v="5"/>
          </reference>
          <reference field="4" count="1" selected="0">
            <x v="106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4"/>
          </reference>
        </references>
      </pivotArea>
    </format>
    <format dxfId="968">
      <pivotArea dataOnly="0" labelOnly="1" outline="0" fieldPosition="0">
        <references count="9">
          <reference field="0" count="1" selected="0">
            <x v="5"/>
          </reference>
          <reference field="4" count="1" selected="0">
            <x v="249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967">
      <pivotArea dataOnly="0" labelOnly="1" outline="0" fieldPosition="0">
        <references count="9">
          <reference field="0" count="1" selected="0">
            <x v="5"/>
          </reference>
          <reference field="4" count="1" selected="0">
            <x v="92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8"/>
          </reference>
        </references>
      </pivotArea>
    </format>
    <format dxfId="966">
      <pivotArea dataOnly="0" labelOnly="1" outline="0" fieldPosition="0">
        <references count="9">
          <reference field="0" count="1" selected="0">
            <x v="9"/>
          </reference>
          <reference field="4" count="1" selected="0">
            <x v="2491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8"/>
          </reference>
        </references>
      </pivotArea>
    </format>
    <format dxfId="965">
      <pivotArea dataOnly="0" labelOnly="1" outline="0" fieldPosition="0">
        <references count="9">
          <reference field="0" count="1" selected="0">
            <x v="9"/>
          </reference>
          <reference field="4" count="1" selected="0">
            <x v="249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964">
      <pivotArea dataOnly="0" labelOnly="1" outline="0" fieldPosition="0">
        <references count="9">
          <reference field="0" count="1" selected="0">
            <x v="10"/>
          </reference>
          <reference field="4" count="1" selected="0">
            <x v="43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63">
      <pivotArea dataOnly="0" labelOnly="1" outline="0" fieldPosition="0">
        <references count="9">
          <reference field="0" count="1" selected="0">
            <x v="10"/>
          </reference>
          <reference field="4" count="1" selected="0">
            <x v="42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"/>
          </reference>
        </references>
      </pivotArea>
    </format>
    <format dxfId="962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234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2"/>
          </reference>
        </references>
      </pivotArea>
    </format>
    <format dxfId="961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2490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6"/>
          </reference>
        </references>
      </pivotArea>
    </format>
    <format dxfId="960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7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2"/>
          </reference>
          <reference field="12" count="1" selected="0">
            <x v="1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959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58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958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5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57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23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956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1"/>
          </reference>
          <reference field="16" count="1" selected="0">
            <x v="1"/>
          </reference>
          <reference field="18" count="1" selected="0">
            <x v="17"/>
          </reference>
        </references>
      </pivotArea>
    </format>
    <format dxfId="955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9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22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0"/>
          </reference>
        </references>
      </pivotArea>
    </format>
    <format dxfId="954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953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952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162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951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08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1"/>
          </reference>
        </references>
      </pivotArea>
    </format>
    <format dxfId="950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1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949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83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948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600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947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45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946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45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487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944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4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943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1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42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195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941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3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1"/>
          </reference>
        </references>
      </pivotArea>
    </format>
    <format dxfId="940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362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939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23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938">
      <pivotArea dataOnly="0" labelOnly="1" outline="0" fieldPosition="0">
        <references count="10">
          <reference field="0" count="1" selected="0">
            <x v="0"/>
          </reference>
          <reference field="3" count="1">
            <x v="1283"/>
          </reference>
          <reference field="4" count="1" selected="0">
            <x v="1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937">
      <pivotArea dataOnly="0" labelOnly="1" outline="0" fieldPosition="0">
        <references count="10">
          <reference field="0" count="1" selected="0">
            <x v="0"/>
          </reference>
          <reference field="3" count="1">
            <x v="1068"/>
          </reference>
          <reference field="4" count="1" selected="0">
            <x v="217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936">
      <pivotArea dataOnly="0" labelOnly="1" outline="0" fieldPosition="0">
        <references count="10">
          <reference field="0" count="1" selected="0">
            <x v="0"/>
          </reference>
          <reference field="3" count="1">
            <x v="1116"/>
          </reference>
          <reference field="4" count="1" selected="0">
            <x v="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935">
      <pivotArea dataOnly="0" labelOnly="1" outline="0" fieldPosition="0">
        <references count="10">
          <reference field="0" count="1" selected="0">
            <x v="5"/>
          </reference>
          <reference field="3" count="1">
            <x v="1764"/>
          </reference>
          <reference field="4" count="1" selected="0">
            <x v="24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0"/>
          </reference>
        </references>
      </pivotArea>
    </format>
    <format dxfId="934">
      <pivotArea dataOnly="0" labelOnly="1" outline="0" fieldPosition="0">
        <references count="10">
          <reference field="0" count="1" selected="0">
            <x v="5"/>
          </reference>
          <reference field="3" count="1">
            <x v="1763"/>
          </reference>
          <reference field="4" count="1" selected="0">
            <x v="10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4"/>
          </reference>
        </references>
      </pivotArea>
    </format>
    <format dxfId="933">
      <pivotArea dataOnly="0" labelOnly="1" outline="0" fieldPosition="0">
        <references count="10">
          <reference field="0" count="1" selected="0">
            <x v="5"/>
          </reference>
          <reference field="3" count="1">
            <x v="1759"/>
          </reference>
          <reference field="4" count="1" selected="0">
            <x v="24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932">
      <pivotArea dataOnly="0" labelOnly="1" outline="0" fieldPosition="0">
        <references count="10">
          <reference field="0" count="1" selected="0">
            <x v="5"/>
          </reference>
          <reference field="3" count="1">
            <x v="729"/>
          </reference>
          <reference field="4" count="1" selected="0">
            <x v="24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931">
      <pivotArea dataOnly="0" labelOnly="1" outline="0" fieldPosition="0">
        <references count="10">
          <reference field="0" count="1" selected="0">
            <x v="5"/>
          </reference>
          <reference field="3" count="1">
            <x v="1765"/>
          </reference>
          <reference field="4" count="1" selected="0">
            <x v="24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930">
      <pivotArea dataOnly="0" labelOnly="1" outline="0" fieldPosition="0">
        <references count="10">
          <reference field="0" count="1" selected="0">
            <x v="5"/>
          </reference>
          <reference field="3" count="1">
            <x v="1762"/>
          </reference>
          <reference field="4" count="1" selected="0">
            <x v="9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8"/>
          </reference>
        </references>
      </pivotArea>
    </format>
    <format dxfId="929">
      <pivotArea dataOnly="0" labelOnly="1" outline="0" fieldPosition="0">
        <references count="10">
          <reference field="0" count="1" selected="0">
            <x v="5"/>
          </reference>
          <reference field="3" count="1">
            <x v="1761"/>
          </reference>
          <reference field="4" count="1" selected="0">
            <x v="10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928">
      <pivotArea dataOnly="0" labelOnly="1" outline="0" fieldPosition="0">
        <references count="10">
          <reference field="0" count="1" selected="0">
            <x v="5"/>
          </reference>
          <reference field="3" count="1">
            <x v="1760"/>
          </reference>
          <reference field="4" count="1" selected="0">
            <x v="14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927">
      <pivotArea dataOnly="0" labelOnly="1" outline="0" fieldPosition="0">
        <references count="10">
          <reference field="0" count="1" selected="0">
            <x v="5"/>
          </reference>
          <reference field="3" count="1">
            <x v="1766"/>
          </reference>
          <reference field="4" count="1" selected="0">
            <x v="2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4"/>
          </reference>
        </references>
      </pivotArea>
    </format>
    <format dxfId="926">
      <pivotArea dataOnly="0" labelOnly="1" outline="0" fieldPosition="0">
        <references count="10">
          <reference field="0" count="1" selected="0">
            <x v="9"/>
          </reference>
          <reference field="3" count="1">
            <x v="0"/>
          </reference>
          <reference field="4" count="1" selected="0">
            <x v="24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8"/>
          </reference>
        </references>
      </pivotArea>
    </format>
    <format dxfId="925">
      <pivotArea dataOnly="0" labelOnly="1" outline="0" fieldPosition="0">
        <references count="10">
          <reference field="0" count="1" selected="0">
            <x v="9"/>
          </reference>
          <reference field="3" count="1">
            <x v="1756"/>
          </reference>
          <reference field="4" count="1" selected="0">
            <x v="249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924">
      <pivotArea dataOnly="0" labelOnly="1" outline="0" fieldPosition="0">
        <references count="10">
          <reference field="0" count="1" selected="0">
            <x v="9"/>
          </reference>
          <reference field="3" count="1">
            <x v="1757"/>
          </reference>
          <reference field="4" count="1" selected="0">
            <x v="249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923">
      <pivotArea dataOnly="0" labelOnly="1" outline="0" fieldPosition="0">
        <references count="10">
          <reference field="0" count="1" selected="0">
            <x v="9"/>
          </reference>
          <reference field="3" count="1">
            <x v="1758"/>
          </reference>
          <reference field="4" count="1" selected="0">
            <x v="24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922">
      <pivotArea dataOnly="0" labelOnly="1" outline="0" fieldPosition="0">
        <references count="10">
          <reference field="0" count="1" selected="0">
            <x v="10"/>
          </reference>
          <reference field="3" count="1">
            <x v="0"/>
          </reference>
          <reference field="4" count="1" selected="0">
            <x v="4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921">
      <pivotArea dataOnly="0" labelOnly="1" outline="0" fieldPosition="0">
        <references count="10">
          <reference field="0" count="1" selected="0">
            <x v="10"/>
          </reference>
          <reference field="3" count="1">
            <x v="0"/>
          </reference>
          <reference field="4" count="1" selected="0">
            <x v="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"/>
          </reference>
        </references>
      </pivotArea>
    </format>
    <format dxfId="920">
      <pivotArea dataOnly="0" labelOnly="1" outline="0" fieldPosition="0">
        <references count="10">
          <reference field="0" count="1" selected="0">
            <x v="11"/>
          </reference>
          <reference field="3" count="1">
            <x v="1705"/>
          </reference>
          <reference field="4" count="1" selected="0">
            <x v="23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2"/>
          </reference>
        </references>
      </pivotArea>
    </format>
    <format dxfId="919">
      <pivotArea dataOnly="0" labelOnly="1" outline="0" fieldPosition="0">
        <references count="10">
          <reference field="0" count="1" selected="0">
            <x v="11"/>
          </reference>
          <reference field="3" count="1">
            <x v="1755"/>
          </reference>
          <reference field="4" count="1" selected="0">
            <x v="249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6"/>
          </reference>
        </references>
      </pivotArea>
    </format>
    <format dxfId="918">
      <pivotArea dataOnly="0" labelOnly="1" outline="0" fieldPosition="0">
        <references count="10">
          <reference field="0" count="1" selected="0">
            <x v="11"/>
          </reference>
          <reference field="3" count="1">
            <x v="0"/>
          </reference>
          <reference field="4" count="1" selected="0">
            <x v="17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2"/>
          </reference>
          <reference field="12" count="1" selected="0">
            <x v="1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917">
      <pivotArea dataOnly="0" labelOnly="1" outline="0" fieldPosition="0">
        <references count="10">
          <reference field="0" count="1" selected="0">
            <x v="11"/>
          </reference>
          <reference field="3" count="1">
            <x v="0"/>
          </reference>
          <reference field="4" count="1" selected="0">
            <x v="1585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916">
      <pivotArea dataOnly="0" labelOnly="1" outline="0" fieldPosition="0">
        <references count="10">
          <reference field="0" count="1" selected="0">
            <x v="11"/>
          </reference>
          <reference field="3" count="1">
            <x v="0"/>
          </reference>
          <reference field="4" count="1" selected="0">
            <x v="157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915">
      <pivotArea dataOnly="0" labelOnly="1" outline="0" fieldPosition="0">
        <references count="10">
          <reference field="0" count="1" selected="0">
            <x v="11"/>
          </reference>
          <reference field="3" count="1">
            <x v="1664"/>
          </reference>
          <reference field="4" count="1" selected="0">
            <x v="23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914">
      <pivotArea dataOnly="0" labelOnly="1" outline="0" fieldPosition="0">
        <references count="10">
          <reference field="0" count="1" selected="0">
            <x v="11"/>
          </reference>
          <reference field="3" count="1">
            <x v="2"/>
          </reference>
          <reference field="4" count="1" selected="0">
            <x v="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1"/>
          </reference>
          <reference field="16" count="1" selected="0">
            <x v="1"/>
          </reference>
          <reference field="18" count="1" selected="0">
            <x v="17"/>
          </reference>
        </references>
      </pivotArea>
    </format>
    <format dxfId="913">
      <pivotArea dataOnly="0" labelOnly="1" outline="0" fieldPosition="0">
        <references count="10">
          <reference field="0" count="1" selected="0">
            <x v="11"/>
          </reference>
          <reference field="3" count="1">
            <x v="0"/>
          </reference>
          <reference field="4" count="1" selected="0">
            <x v="194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22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0"/>
          </reference>
        </references>
      </pivotArea>
    </format>
    <format dxfId="912">
      <pivotArea dataOnly="0" labelOnly="1" outline="0" fieldPosition="0">
        <references count="10">
          <reference field="0" count="1" selected="0">
            <x v="11"/>
          </reference>
          <reference field="3" count="1">
            <x v="2"/>
          </reference>
          <reference field="4" count="1" selected="0">
            <x v="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911">
      <pivotArea dataOnly="0" labelOnly="1" outline="0" fieldPosition="0">
        <references count="10">
          <reference field="0" count="1" selected="0">
            <x v="11"/>
          </reference>
          <reference field="3" count="1">
            <x v="1727"/>
          </reference>
          <reference field="4" count="1" selected="0">
            <x v="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3"/>
          </reference>
        </references>
      </pivotArea>
    </format>
    <format dxfId="910">
      <pivotArea dataOnly="0" labelOnly="1" outline="0" fieldPosition="0">
        <references count="10">
          <reference field="0" count="1" selected="0">
            <x v="11"/>
          </reference>
          <reference field="3" count="1">
            <x v="1729"/>
          </reference>
          <reference field="4" count="1" selected="0">
            <x v="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909">
      <pivotArea dataOnly="0" labelOnly="1" outline="0" fieldPosition="0">
        <references count="10">
          <reference field="0" count="1" selected="0">
            <x v="11"/>
          </reference>
          <reference field="3" count="1">
            <x v="1730"/>
          </reference>
          <reference field="4" count="1" selected="0">
            <x v="1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3"/>
          </reference>
        </references>
      </pivotArea>
    </format>
    <format dxfId="908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1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907">
      <pivotArea dataOnly="0" labelOnly="1" outline="0" fieldPosition="0">
        <references count="10">
          <reference field="0" count="1" selected="0">
            <x v="12"/>
          </reference>
          <reference field="3" count="1">
            <x v="1701"/>
          </reference>
          <reference field="4" count="1" selected="0">
            <x v="20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1"/>
          </reference>
        </references>
      </pivotArea>
    </format>
    <format dxfId="906">
      <pivotArea dataOnly="0" labelOnly="1" outline="0" fieldPosition="0">
        <references count="10">
          <reference field="0" count="1" selected="0">
            <x v="12"/>
          </reference>
          <reference field="3" count="1">
            <x v="1724"/>
          </reference>
          <reference field="4" count="1" selected="0">
            <x v="10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905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904">
      <pivotArea dataOnly="0" labelOnly="1" outline="0" fieldPosition="0">
        <references count="10">
          <reference field="0" count="1" selected="0">
            <x v="12"/>
          </reference>
          <reference field="3" count="1">
            <x v="1632"/>
          </reference>
          <reference field="4" count="1" selected="0">
            <x v="6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903">
      <pivotArea dataOnly="0" labelOnly="1" outline="0" fieldPosition="0">
        <references count="10">
          <reference field="0" count="1" selected="0">
            <x v="12"/>
          </reference>
          <reference field="3" count="1">
            <x v="1754"/>
          </reference>
          <reference field="4" count="1" selected="0">
            <x v="248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902">
      <pivotArea dataOnly="0" labelOnly="1" outline="0" fieldPosition="0">
        <references count="10">
          <reference field="0" count="1" selected="0">
            <x v="12"/>
          </reference>
          <reference field="3" count="1">
            <x v="1719"/>
          </reference>
          <reference field="4" count="1" selected="0">
            <x v="4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901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24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900">
      <pivotArea dataOnly="0" labelOnly="1" outline="0" fieldPosition="0">
        <references count="10">
          <reference field="0" count="1" selected="0">
            <x v="12"/>
          </reference>
          <reference field="3" count="1">
            <x v="1516"/>
          </reference>
          <reference field="4" count="1" selected="0">
            <x v="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99">
      <pivotArea dataOnly="0" labelOnly="1" outline="0" fieldPosition="0">
        <references count="10">
          <reference field="0" count="1" selected="0">
            <x v="12"/>
          </reference>
          <reference field="3" count="1">
            <x v="1717"/>
          </reference>
          <reference field="4" count="1" selected="0">
            <x v="3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898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19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897">
      <pivotArea dataOnly="0" labelOnly="1" outline="0" fieldPosition="0">
        <references count="10">
          <reference field="0" count="1" selected="0">
            <x v="12"/>
          </reference>
          <reference field="3" count="1">
            <x v="1650"/>
          </reference>
          <reference field="4" count="1" selected="0">
            <x v="232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1"/>
          </reference>
        </references>
      </pivotArea>
    </format>
    <format dxfId="896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2231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895">
      <pivotArea dataOnly="0" labelOnly="1" outline="0" fieldPosition="0">
        <references count="11">
          <reference field="0" count="1" selected="0">
            <x v="0"/>
          </reference>
          <reference field="1" count="1">
            <x v="4930"/>
          </reference>
          <reference field="3" count="1" selected="0">
            <x v="1283"/>
          </reference>
          <reference field="4" count="1" selected="0">
            <x v="1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894">
      <pivotArea dataOnly="0" labelOnly="1" outline="0" fieldPosition="0">
        <references count="11">
          <reference field="0" count="1" selected="0">
            <x v="0"/>
          </reference>
          <reference field="1" count="1">
            <x v="4931"/>
          </reference>
          <reference field="3" count="1" selected="0">
            <x v="1068"/>
          </reference>
          <reference field="4" count="1" selected="0">
            <x v="2177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2"/>
          </reference>
        </references>
      </pivotArea>
    </format>
    <format dxfId="893">
      <pivotArea dataOnly="0" labelOnly="1" outline="0" fieldPosition="0">
        <references count="11">
          <reference field="0" count="1" selected="0">
            <x v="0"/>
          </reference>
          <reference field="1" count="1">
            <x v="4929"/>
          </reference>
          <reference field="3" count="1" selected="0">
            <x v="1116"/>
          </reference>
          <reference field="4" count="1" selected="0">
            <x v="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892">
      <pivotArea dataOnly="0" labelOnly="1" outline="0" fieldPosition="0">
        <references count="11">
          <reference field="0" count="1" selected="0">
            <x v="5"/>
          </reference>
          <reference field="1" count="1">
            <x v="4925"/>
          </reference>
          <reference field="3" count="1" selected="0">
            <x v="1764"/>
          </reference>
          <reference field="4" count="1" selected="0">
            <x v="249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0"/>
          </reference>
        </references>
      </pivotArea>
    </format>
    <format dxfId="891">
      <pivotArea dataOnly="0" labelOnly="1" outline="0" fieldPosition="0">
        <references count="11">
          <reference field="0" count="1" selected="0">
            <x v="5"/>
          </reference>
          <reference field="1" count="1">
            <x v="4924"/>
          </reference>
          <reference field="3" count="1" selected="0">
            <x v="1763"/>
          </reference>
          <reference field="4" count="1" selected="0">
            <x v="106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4"/>
          </reference>
        </references>
      </pivotArea>
    </format>
    <format dxfId="890">
      <pivotArea dataOnly="0" labelOnly="1" outline="0" fieldPosition="0">
        <references count="11">
          <reference field="0" count="1" selected="0">
            <x v="5"/>
          </reference>
          <reference field="1" count="1">
            <x v="4920"/>
          </reference>
          <reference field="3" count="1" selected="0">
            <x v="1759"/>
          </reference>
          <reference field="4" count="1" selected="0">
            <x v="249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5"/>
          </reference>
        </references>
      </pivotArea>
    </format>
    <format dxfId="889">
      <pivotArea dataOnly="0" labelOnly="1" outline="0" fieldPosition="0">
        <references count="11">
          <reference field="0" count="1" selected="0">
            <x v="5"/>
          </reference>
          <reference field="1" count="1">
            <x v="4928"/>
          </reference>
          <reference field="3" count="1" selected="0">
            <x v="729"/>
          </reference>
          <reference field="4" count="1" selected="0">
            <x v="2499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888">
      <pivotArea dataOnly="0" labelOnly="1" outline="0" fieldPosition="0">
        <references count="11">
          <reference field="0" count="1" selected="0">
            <x v="5"/>
          </reference>
          <reference field="1" count="1">
            <x v="4926"/>
          </reference>
          <reference field="3" count="1" selected="0">
            <x v="1765"/>
          </reference>
          <reference field="4" count="1" selected="0">
            <x v="249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887">
      <pivotArea dataOnly="0" labelOnly="1" outline="0" fieldPosition="0">
        <references count="11">
          <reference field="0" count="1" selected="0">
            <x v="5"/>
          </reference>
          <reference field="1" count="1">
            <x v="4923"/>
          </reference>
          <reference field="3" count="1" selected="0">
            <x v="1762"/>
          </reference>
          <reference field="4" count="1" selected="0">
            <x v="92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8"/>
          </reference>
        </references>
      </pivotArea>
    </format>
    <format dxfId="886">
      <pivotArea dataOnly="0" labelOnly="1" outline="0" fieldPosition="0">
        <references count="11">
          <reference field="0" count="1" selected="0">
            <x v="5"/>
          </reference>
          <reference field="1" count="1">
            <x v="4922"/>
          </reference>
          <reference field="3" count="1" selected="0">
            <x v="1761"/>
          </reference>
          <reference field="4" count="1" selected="0">
            <x v="10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885">
      <pivotArea dataOnly="0" labelOnly="1" outline="0" fieldPosition="0">
        <references count="11">
          <reference field="0" count="1" selected="0">
            <x v="5"/>
          </reference>
          <reference field="1" count="1">
            <x v="4921"/>
          </reference>
          <reference field="3" count="1" selected="0">
            <x v="1760"/>
          </reference>
          <reference field="4" count="1" selected="0">
            <x v="147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884">
      <pivotArea dataOnly="0" labelOnly="1" outline="0" fieldPosition="0">
        <references count="11">
          <reference field="0" count="1" selected="0">
            <x v="5"/>
          </reference>
          <reference field="1" count="1">
            <x v="4927"/>
          </reference>
          <reference field="3" count="1" selected="0">
            <x v="1766"/>
          </reference>
          <reference field="4" count="1" selected="0">
            <x v="249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4"/>
          </reference>
        </references>
      </pivotArea>
    </format>
    <format dxfId="883">
      <pivotArea dataOnly="0" labelOnly="1" outline="0" fieldPosition="0">
        <references count="11">
          <reference field="0" count="1" selected="0">
            <x v="9"/>
          </reference>
          <reference field="1" count="1">
            <x v="4916"/>
          </reference>
          <reference field="3" count="1" selected="0">
            <x v="0"/>
          </reference>
          <reference field="4" count="1" selected="0">
            <x v="249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8"/>
          </reference>
        </references>
      </pivotArea>
    </format>
    <format dxfId="882">
      <pivotArea dataOnly="0" labelOnly="1" outline="0" fieldPosition="0">
        <references count="11">
          <reference field="0" count="1" selected="0">
            <x v="9"/>
          </reference>
          <reference field="1" count="1">
            <x v="4917"/>
          </reference>
          <reference field="3" count="1" selected="0">
            <x v="1756"/>
          </reference>
          <reference field="4" count="1" selected="0">
            <x v="249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881">
      <pivotArea dataOnly="0" labelOnly="1" outline="0" fieldPosition="0">
        <references count="11">
          <reference field="0" count="1" selected="0">
            <x v="9"/>
          </reference>
          <reference field="1" count="1">
            <x v="4918"/>
          </reference>
          <reference field="3" count="1" selected="0">
            <x v="1757"/>
          </reference>
          <reference field="4" count="1" selected="0">
            <x v="249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880">
      <pivotArea dataOnly="0" labelOnly="1" outline="0" fieldPosition="0">
        <references count="11">
          <reference field="0" count="1" selected="0">
            <x v="9"/>
          </reference>
          <reference field="1" count="1">
            <x v="4919"/>
          </reference>
          <reference field="3" count="1" selected="0">
            <x v="1758"/>
          </reference>
          <reference field="4" count="1" selected="0">
            <x v="249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879">
      <pivotArea dataOnly="0" labelOnly="1" outline="0" fieldPosition="0">
        <references count="11">
          <reference field="0" count="1" selected="0">
            <x v="10"/>
          </reference>
          <reference field="1" count="1">
            <x v="4838"/>
          </reference>
          <reference field="3" count="1" selected="0">
            <x v="0"/>
          </reference>
          <reference field="4" count="1" selected="0">
            <x v="4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878">
      <pivotArea dataOnly="0" labelOnly="1" outline="0" fieldPosition="0">
        <references count="11">
          <reference field="0" count="1" selected="0">
            <x v="10"/>
          </reference>
          <reference field="1" count="1">
            <x v="4090"/>
          </reference>
          <reference field="3" count="1" selected="0">
            <x v="0"/>
          </reference>
          <reference field="4" count="1" selected="0">
            <x v="209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"/>
          </reference>
        </references>
      </pivotArea>
    </format>
    <format dxfId="877">
      <pivotArea dataOnly="0" labelOnly="1" outline="0" fieldPosition="0">
        <references count="11">
          <reference field="0" count="1" selected="0">
            <x v="10"/>
          </reference>
          <reference field="1" count="1">
            <x v="4088"/>
          </reference>
          <reference field="3" count="1" selected="0">
            <x v="0"/>
          </reference>
          <reference field="4" count="1" selected="0">
            <x v="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"/>
          </reference>
        </references>
      </pivotArea>
    </format>
    <format dxfId="876">
      <pivotArea dataOnly="0" labelOnly="1" outline="0" fieldPosition="0">
        <references count="11">
          <reference field="0" count="1" selected="0">
            <x v="10"/>
          </reference>
          <reference field="1" count="1">
            <x v="4104"/>
          </reference>
          <reference field="3" count="1" selected="0">
            <x v="0"/>
          </reference>
          <reference field="4" count="1" selected="0">
            <x v="15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"/>
          </reference>
        </references>
      </pivotArea>
    </format>
    <format dxfId="875">
      <pivotArea dataOnly="0" labelOnly="1" outline="0" fieldPosition="0">
        <references count="11">
          <reference field="0" count="1" selected="0">
            <x v="11"/>
          </reference>
          <reference field="1" count="1">
            <x v="4912"/>
          </reference>
          <reference field="3" count="1" selected="0">
            <x v="46"/>
          </reference>
          <reference field="4" count="1" selected="0">
            <x v="11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874">
      <pivotArea dataOnly="0" labelOnly="1" outline="0" fieldPosition="0">
        <references count="11">
          <reference field="0" count="1" selected="0">
            <x v="11"/>
          </reference>
          <reference field="1" count="1">
            <x v="4914"/>
          </reference>
          <reference field="3" count="1" selected="0">
            <x v="1705"/>
          </reference>
          <reference field="4" count="1" selected="0">
            <x v="234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7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2"/>
          </reference>
        </references>
      </pivotArea>
    </format>
    <format dxfId="873">
      <pivotArea dataOnly="0" labelOnly="1" outline="0" fieldPosition="0">
        <references count="11">
          <reference field="0" count="1" selected="0">
            <x v="11"/>
          </reference>
          <reference field="1" count="1">
            <x v="4915"/>
          </reference>
          <reference field="3" count="1" selected="0">
            <x v="1755"/>
          </reference>
          <reference field="4" count="1" selected="0">
            <x v="2490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1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6"/>
          </reference>
        </references>
      </pivotArea>
    </format>
    <format dxfId="872">
      <pivotArea dataOnly="0" labelOnly="1" outline="0" fieldPosition="0">
        <references count="11">
          <reference field="0" count="1" selected="0">
            <x v="11"/>
          </reference>
          <reference field="1" count="1">
            <x v="4363"/>
          </reference>
          <reference field="3" count="1" selected="0">
            <x v="0"/>
          </reference>
          <reference field="4" count="1" selected="0">
            <x v="17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2"/>
          </reference>
          <reference field="12" count="1" selected="0">
            <x v="1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871">
      <pivotArea dataOnly="0" labelOnly="1" outline="0" fieldPosition="0">
        <references count="11">
          <reference field="0" count="1" selected="0">
            <x v="11"/>
          </reference>
          <reference field="1" count="1">
            <x v="4909"/>
          </reference>
          <reference field="3" count="1" selected="0">
            <x v="0"/>
          </reference>
          <reference field="4" count="1" selected="0">
            <x v="1585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2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870">
      <pivotArea dataOnly="0" labelOnly="1" outline="0" fieldPosition="0">
        <references count="11">
          <reference field="0" count="1" selected="0">
            <x v="11"/>
          </reference>
          <reference field="1" count="1">
            <x v="4886"/>
          </reference>
          <reference field="3" count="1" selected="0">
            <x v="0"/>
          </reference>
          <reference field="4" count="1" selected="0">
            <x v="157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2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869">
      <pivotArea dataOnly="0" labelOnly="1" outline="0" fieldPosition="0">
        <references count="11">
          <reference field="0" count="1" selected="0">
            <x v="11"/>
          </reference>
          <reference field="1" count="1">
            <x v="4913"/>
          </reference>
          <reference field="3" count="1" selected="0">
            <x v="1664"/>
          </reference>
          <reference field="4" count="1" selected="0">
            <x v="23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24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868">
      <pivotArea dataOnly="0" labelOnly="1" outline="0" fieldPosition="0">
        <references count="11">
          <reference field="0" count="1" selected="0">
            <x v="11"/>
          </reference>
          <reference field="1" count="1">
            <x v="4833"/>
          </reference>
          <reference field="3" count="1" selected="0">
            <x v="2"/>
          </reference>
          <reference field="4" count="1" selected="0">
            <x v="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1"/>
          </reference>
          <reference field="16" count="1" selected="0">
            <x v="1"/>
          </reference>
          <reference field="18" count="1" selected="0">
            <x v="17"/>
          </reference>
        </references>
      </pivotArea>
    </format>
    <format dxfId="867">
      <pivotArea dataOnly="0" labelOnly="1" outline="0" fieldPosition="0">
        <references count="11">
          <reference field="0" count="1" selected="0">
            <x v="11"/>
          </reference>
          <reference field="1" count="1">
            <x v="4910"/>
          </reference>
          <reference field="3" count="1" selected="0">
            <x v="0"/>
          </reference>
          <reference field="4" count="1" selected="0">
            <x v="194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22"/>
          </reference>
          <reference field="12" count="1" selected="0">
            <x v="2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0"/>
          </reference>
        </references>
      </pivotArea>
    </format>
    <format dxfId="866">
      <pivotArea dataOnly="0" labelOnly="1" outline="0" fieldPosition="0">
        <references count="11">
          <reference field="0" count="1" selected="0">
            <x v="11"/>
          </reference>
          <reference field="1" count="1">
            <x v="4822"/>
          </reference>
          <reference field="3" count="1" selected="0">
            <x v="2"/>
          </reference>
          <reference field="4" count="1" selected="0">
            <x v="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865">
      <pivotArea dataOnly="0" labelOnly="1" outline="0" fieldPosition="0">
        <references count="11">
          <reference field="0" count="1" selected="0">
            <x v="11"/>
          </reference>
          <reference field="1" count="1">
            <x v="4821"/>
          </reference>
          <reference field="3" count="1" selected="0">
            <x v="1727"/>
          </reference>
          <reference field="4" count="1" selected="0">
            <x v="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3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3"/>
          </reference>
        </references>
      </pivotArea>
    </format>
    <format dxfId="864">
      <pivotArea dataOnly="0" labelOnly="1" outline="0" fieldPosition="0">
        <references count="11">
          <reference field="0" count="1" selected="0">
            <x v="11"/>
          </reference>
          <reference field="1" count="1">
            <x v="4824"/>
          </reference>
          <reference field="3" count="1" selected="0">
            <x v="1729"/>
          </reference>
          <reference field="4" count="1" selected="0">
            <x v="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863">
      <pivotArea dataOnly="0" labelOnly="1" outline="0" fieldPosition="0">
        <references count="11">
          <reference field="0" count="1" selected="0">
            <x v="11"/>
          </reference>
          <reference field="1" count="1">
            <x v="4826"/>
          </reference>
          <reference field="3" count="1" selected="0">
            <x v="1730"/>
          </reference>
          <reference field="4" count="1" selected="0">
            <x v="1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41"/>
          </reference>
          <reference field="12" count="1" selected="0">
            <x v="31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3"/>
          </reference>
        </references>
      </pivotArea>
    </format>
    <format dxfId="862">
      <pivotArea dataOnly="0" labelOnly="1" outline="0" fieldPosition="0">
        <references count="11">
          <reference field="0" count="1" selected="0">
            <x v="12"/>
          </reference>
          <reference field="1" count="1">
            <x v="4063"/>
          </reference>
          <reference field="3" count="1" selected="0">
            <x v="0"/>
          </reference>
          <reference field="4" count="1" selected="0">
            <x v="1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861">
      <pivotArea dataOnly="0" labelOnly="1" outline="0" fieldPosition="0">
        <references count="11">
          <reference field="0" count="1" selected="0">
            <x v="12"/>
          </reference>
          <reference field="1" count="1">
            <x v="4740"/>
          </reference>
          <reference field="3" count="1" selected="0">
            <x v="1701"/>
          </reference>
          <reference field="4" count="1" selected="0">
            <x v="20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1"/>
          </reference>
        </references>
      </pivotArea>
    </format>
    <format dxfId="860">
      <pivotArea dataOnly="0" labelOnly="1" outline="0" fieldPosition="0">
        <references count="11">
          <reference field="0" count="1" selected="0">
            <x v="12"/>
          </reference>
          <reference field="1" count="1">
            <x v="4812"/>
          </reference>
          <reference field="3" count="1" selected="0">
            <x v="1724"/>
          </reference>
          <reference field="4" count="1" selected="0">
            <x v="10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859">
      <pivotArea dataOnly="0" labelOnly="1" outline="0" fieldPosition="0">
        <references count="11">
          <reference field="0" count="1" selected="0">
            <x v="12"/>
          </reference>
          <reference field="1" count="1">
            <x v="4772"/>
          </reference>
          <reference field="3" count="1" selected="0">
            <x v="0"/>
          </reference>
          <reference field="4" count="1" selected="0">
            <x v="24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858">
      <pivotArea dataOnly="0" labelOnly="1" outline="0" fieldPosition="0">
        <references count="11">
          <reference field="0" count="1" selected="0">
            <x v="12"/>
          </reference>
          <reference field="1" count="1">
            <x v="4807"/>
          </reference>
          <reference field="3" count="1" selected="0">
            <x v="1140"/>
          </reference>
          <reference field="4" count="1" selected="0">
            <x v="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857">
      <pivotArea dataOnly="0" labelOnly="1" outline="0" fieldPosition="0">
        <references count="11">
          <reference field="0" count="1" selected="0">
            <x v="12"/>
          </reference>
          <reference field="1" count="1">
            <x v="4473"/>
          </reference>
          <reference field="3" count="1" selected="0">
            <x v="1632"/>
          </reference>
          <reference field="4" count="1" selected="0">
            <x v="60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856">
      <pivotArea dataOnly="0" labelOnly="1" outline="0" fieldPosition="0">
        <references count="11">
          <reference field="0" count="1" selected="0">
            <x v="12"/>
          </reference>
          <reference field="1" count="1">
            <x v="4591"/>
          </reference>
          <reference field="3" count="1" selected="0">
            <x v="0"/>
          </reference>
          <reference field="4" count="1" selected="0">
            <x v="233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855">
      <pivotArea dataOnly="0" labelOnly="1" outline="0" fieldPosition="0">
        <references count="11">
          <reference field="0" count="1" selected="0">
            <x v="12"/>
          </reference>
          <reference field="1" count="1">
            <x v="4805"/>
          </reference>
          <reference field="3" count="1" selected="0">
            <x v="0"/>
          </reference>
          <reference field="4" count="1" selected="0">
            <x v="244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854">
      <pivotArea dataOnly="0" labelOnly="1" outline="0" fieldPosition="0">
        <references count="11">
          <reference field="0" count="1" selected="0">
            <x v="12"/>
          </reference>
          <reference field="1" count="1">
            <x v="4804"/>
          </reference>
          <reference field="3" count="1" selected="0">
            <x v="1720"/>
          </reference>
          <reference field="4" count="1" selected="0">
            <x v="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853">
      <pivotArea dataOnly="0" labelOnly="1" outline="0" fieldPosition="0">
        <references count="11">
          <reference field="0" count="1" selected="0">
            <x v="12"/>
          </reference>
          <reference field="1" count="1">
            <x v="4803"/>
          </reference>
          <reference field="3" count="1" selected="0">
            <x v="1673"/>
          </reference>
          <reference field="4" count="1" selected="0">
            <x v="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852">
      <pivotArea dataOnly="0" labelOnly="1" outline="0" fieldPosition="0">
        <references count="11">
          <reference field="0" count="1" selected="0">
            <x v="12"/>
          </reference>
          <reference field="1" count="1">
            <x v="4858"/>
          </reference>
          <reference field="3" count="1" selected="0">
            <x v="1742"/>
          </reference>
          <reference field="4" count="1" selected="0">
            <x v="5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9"/>
          </reference>
        </references>
      </pivotArea>
    </format>
    <format dxfId="851">
      <pivotArea dataOnly="0" labelOnly="1" outline="0" fieldPosition="0">
        <references count="11">
          <reference field="0" count="1" selected="0">
            <x v="12"/>
          </reference>
          <reference field="1" count="1">
            <x v="4905"/>
          </reference>
          <reference field="3" count="1" selected="0">
            <x v="0"/>
          </reference>
          <reference field="4" count="1" selected="0">
            <x v="16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1"/>
          </reference>
        </references>
      </pivotArea>
    </format>
    <format dxfId="850">
      <pivotArea dataOnly="0" labelOnly="1" outline="0" fieldPosition="0">
        <references count="11">
          <reference field="0" count="1" selected="0">
            <x v="12"/>
          </reference>
          <reference field="1" count="1">
            <x v="4737"/>
          </reference>
          <reference field="3" count="1" selected="0">
            <x v="0"/>
          </reference>
          <reference field="4" count="1" selected="0">
            <x v="241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849">
      <pivotArea dataOnly="0" labelOnly="1" outline="0" fieldPosition="0">
        <references count="11">
          <reference field="0" count="1" selected="0">
            <x v="12"/>
          </reference>
          <reference field="1" count="1">
            <x v="4802"/>
          </reference>
          <reference field="3" count="1" selected="0">
            <x v="0"/>
          </reference>
          <reference field="4" count="1" selected="0">
            <x v="244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848">
      <pivotArea dataOnly="0" labelOnly="1" outline="0" fieldPosition="0">
        <references count="11">
          <reference field="0" count="1" selected="0">
            <x v="12"/>
          </reference>
          <reference field="1" count="1">
            <x v="4906"/>
          </reference>
          <reference field="3" count="1" selected="0">
            <x v="1754"/>
          </reference>
          <reference field="4" count="1" selected="0">
            <x v="2487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847">
      <pivotArea dataOnly="0" labelOnly="1" outline="0" fieldPosition="0">
        <references count="11">
          <reference field="0" count="1" selected="0">
            <x v="12"/>
          </reference>
          <reference field="1" count="1">
            <x v="4052"/>
          </reference>
          <reference field="3" count="1" selected="0">
            <x v="0"/>
          </reference>
          <reference field="4" count="1" selected="0">
            <x v="1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846">
      <pivotArea dataOnly="0" labelOnly="1" outline="0" fieldPosition="0">
        <references count="11">
          <reference field="0" count="1" selected="0">
            <x v="12"/>
          </reference>
          <reference field="1" count="1">
            <x v="4800"/>
          </reference>
          <reference field="3" count="1" selected="0">
            <x v="1719"/>
          </reference>
          <reference field="4" count="1" selected="0">
            <x v="4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845">
      <pivotArea dataOnly="0" labelOnly="1" outline="0" fieldPosition="0">
        <references count="11">
          <reference field="0" count="1" selected="0">
            <x v="12"/>
          </reference>
          <reference field="1" count="1">
            <x v="4798"/>
          </reference>
          <reference field="3" count="1" selected="0">
            <x v="0"/>
          </reference>
          <reference field="4" count="1" selected="0">
            <x v="24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844">
      <pivotArea dataOnly="0" labelOnly="1" outline="0" fieldPosition="0">
        <references count="11">
          <reference field="0" count="1" selected="0">
            <x v="12"/>
          </reference>
          <reference field="1" count="1">
            <x v="4050"/>
          </reference>
          <reference field="3" count="1" selected="0">
            <x v="1516"/>
          </reference>
          <reference field="4" count="1" selected="0">
            <x v="1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43">
      <pivotArea dataOnly="0" labelOnly="1" outline="0" fieldPosition="0">
        <references count="11">
          <reference field="0" count="1" selected="0">
            <x v="12"/>
          </reference>
          <reference field="1" count="1">
            <x v="4797"/>
          </reference>
          <reference field="3" count="1" selected="0">
            <x v="1717"/>
          </reference>
          <reference field="4" count="1" selected="0">
            <x v="3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842">
      <pivotArea dataOnly="0" labelOnly="1" outline="0" fieldPosition="0">
        <references count="11">
          <reference field="0" count="1" selected="0">
            <x v="12"/>
          </reference>
          <reference field="1" count="1">
            <x v="4734"/>
          </reference>
          <reference field="3" count="1" selected="0">
            <x v="0"/>
          </reference>
          <reference field="4" count="1" selected="0">
            <x v="19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841">
      <pivotArea dataOnly="0" labelOnly="1" outline="0" fieldPosition="0">
        <references count="11">
          <reference field="0" count="1" selected="0">
            <x v="12"/>
          </reference>
          <reference field="1" count="1">
            <x v="4566"/>
          </reference>
          <reference field="3" count="1" selected="0">
            <x v="1650"/>
          </reference>
          <reference field="4" count="1" selected="0">
            <x v="232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1"/>
          </reference>
        </references>
      </pivotArea>
    </format>
    <format dxfId="840">
      <pivotArea dataOnly="0" labelOnly="1" outline="0" fieldPosition="0">
        <references count="11">
          <reference field="0" count="1" selected="0">
            <x v="12"/>
          </reference>
          <reference field="1" count="1">
            <x v="4816"/>
          </reference>
          <reference field="3" count="1" selected="0">
            <x v="0"/>
          </reference>
          <reference field="4" count="1" selected="0">
            <x v="245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839">
      <pivotArea dataOnly="0" labelOnly="1" outline="0" fieldPosition="0">
        <references count="11">
          <reference field="0" count="1" selected="0">
            <x v="12"/>
          </reference>
          <reference field="1" count="1">
            <x v="4817"/>
          </reference>
          <reference field="3" count="1" selected="0">
            <x v="0"/>
          </reference>
          <reference field="4" count="1" selected="0">
            <x v="24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838">
      <pivotArea dataOnly="0" labelOnly="1" outline="0" fieldPosition="0">
        <references count="11">
          <reference field="0" count="1" selected="0">
            <x v="12"/>
          </reference>
          <reference field="1" count="1">
            <x v="4474"/>
          </reference>
          <reference field="3" count="1" selected="0">
            <x v="0"/>
          </reference>
          <reference field="4" count="1" selected="0">
            <x v="362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837">
      <pivotArea dataOnly="0" labelOnly="1" outline="0" fieldPosition="0">
        <references count="11">
          <reference field="0" count="1" selected="0">
            <x v="12"/>
          </reference>
          <reference field="1" count="1">
            <x v="4907"/>
          </reference>
          <reference field="3" count="1" selected="0">
            <x v="0"/>
          </reference>
          <reference field="4" count="1" selected="0">
            <x v="248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836">
      <pivotArea dataOnly="0" labelOnly="1" outline="0" fieldPosition="0">
        <references count="11">
          <reference field="0" count="1" selected="0">
            <x v="12"/>
          </reference>
          <reference field="1" count="1">
            <x v="4871"/>
          </reference>
          <reference field="3" count="1" selected="0">
            <x v="0"/>
          </reference>
          <reference field="4" count="1" selected="0">
            <x v="136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835">
      <pivotArea dataOnly="0" labelOnly="1" outline="0" fieldPosition="0">
        <references count="11">
          <reference field="0" count="1" selected="0">
            <x v="12"/>
          </reference>
          <reference field="1" count="1">
            <x v="4908"/>
          </reference>
          <reference field="3" count="1" selected="0">
            <x v="0"/>
          </reference>
          <reference field="4" count="1" selected="0">
            <x v="248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34">
      <pivotArea dataOnly="0" labelOnly="1" outline="0" fieldPosition="0">
        <references count="11">
          <reference field="0" count="1" selected="0">
            <x v="12"/>
          </reference>
          <reference field="1" count="1">
            <x v="4859"/>
          </reference>
          <reference field="3" count="1" selected="0">
            <x v="0"/>
          </reference>
          <reference field="4" count="1" selected="0">
            <x v="246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7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833">
      <pivotArea dataOnly="0" labelOnly="1" outline="0" axis="axisValues" fieldPosition="0"/>
    </format>
    <format dxfId="832">
      <pivotArea field="13" type="button" dataOnly="0" labelOnly="1" outline="0" axis="axisRow" fieldPosition="4"/>
    </format>
    <format dxfId="831">
      <pivotArea field="16" type="button" dataOnly="0" labelOnly="1" outline="0" axis="axisRow" fieldPosition="5"/>
    </format>
    <format dxfId="830">
      <pivotArea field="18" type="button" dataOnly="0" labelOnly="1" outline="0" axis="axisRow" fieldPosition="6"/>
    </format>
    <format dxfId="829">
      <pivotArea field="9" type="button" dataOnly="0" labelOnly="1" outline="0" axis="axisRow" fieldPosition="7"/>
    </format>
    <format dxfId="828">
      <pivotArea dataOnly="0" labelOnly="1" outline="0" axis="axisValues" fieldPosition="0"/>
    </format>
    <format dxfId="827">
      <pivotArea dataOnly="0" labelOnly="1" outline="0" fieldPosition="0">
        <references count="1">
          <reference field="18" count="0"/>
        </references>
      </pivotArea>
    </format>
    <format dxfId="826">
      <pivotArea dataOnly="0" labelOnly="1" outline="0" fieldPosition="0">
        <references count="1">
          <reference field="1" count="0"/>
        </references>
      </pivotArea>
    </format>
    <format dxfId="825">
      <pivotArea dataOnly="0" labelOnly="1" outline="0" fieldPosition="0">
        <references count="1">
          <reference field="12" count="0"/>
        </references>
      </pivotArea>
    </format>
    <format dxfId="824">
      <pivotArea dataOnly="0" labelOnly="1" outline="0" fieldPosition="0">
        <references count="1">
          <reference field="12" count="0"/>
        </references>
      </pivotArea>
    </format>
    <format dxfId="823">
      <pivotArea outline="0" collapsedLevelsAreSubtotals="1" fieldPosition="0"/>
    </format>
    <format dxfId="822">
      <pivotArea dataOnly="0" outline="0" fieldPosition="0">
        <references count="1">
          <reference field="12" count="0" defaultSubtotal="1"/>
        </references>
      </pivotArea>
    </format>
    <format dxfId="821">
      <pivotArea dataOnly="0" outline="0" fieldPosition="0">
        <references count="1">
          <reference field="12" count="0" defaultSubtotal="1"/>
        </references>
      </pivotArea>
    </format>
    <format dxfId="820">
      <pivotArea dataOnly="0" outline="0" fieldPosition="0">
        <references count="1">
          <reference field="12" count="0" defaultSubtotal="1"/>
        </references>
      </pivotArea>
    </format>
    <format dxfId="819">
      <pivotArea dataOnly="0" outline="0" fieldPosition="0">
        <references count="1">
          <reference field="12" count="0" defaultSubtotal="1"/>
        </references>
      </pivotArea>
    </format>
    <format dxfId="818">
      <pivotArea dataOnly="0" labelOnly="1" outline="0" axis="axisValues" fieldPosition="0"/>
    </format>
    <format dxfId="817">
      <pivotArea outline="0" collapsedLevelsAreSubtotals="1" fieldPosition="0"/>
    </format>
    <format dxfId="816">
      <pivotArea dataOnly="0" labelOnly="1" outline="0" axis="axisValues" fieldPosition="0"/>
    </format>
    <format dxfId="815">
      <pivotArea dataOnly="0" labelOnly="1" outline="0" axis="axisValues" fieldPosition="0"/>
    </format>
    <format dxfId="814">
      <pivotArea dataOnly="0" outline="0" fieldPosition="0">
        <references count="1">
          <reference field="12" count="0" defaultSubtotal="1"/>
        </references>
      </pivotArea>
    </format>
    <format dxfId="813">
      <pivotArea dataOnly="0" outline="0" fieldPosition="0">
        <references count="1">
          <reference field="12" count="0" defaultSubtotal="1"/>
        </references>
      </pivotArea>
    </format>
    <format dxfId="812">
      <pivotArea dataOnly="0" outline="0" fieldPosition="0">
        <references count="1">
          <reference field="12" count="0" defaultSubtotal="1"/>
        </references>
      </pivotArea>
    </format>
    <format dxfId="811">
      <pivotArea dataOnly="0" outline="0" fieldPosition="0">
        <references count="1">
          <reference field="12" count="0" defaultSubtotal="1"/>
        </references>
      </pivotArea>
    </format>
    <format dxfId="810">
      <pivotArea field="13" type="button" dataOnly="0" labelOnly="1" outline="0" axis="axisRow" fieldPosition="4"/>
    </format>
    <format dxfId="809">
      <pivotArea field="16" type="button" dataOnly="0" labelOnly="1" outline="0" axis="axisRow" fieldPosition="5"/>
    </format>
    <format dxfId="808">
      <pivotArea field="18" type="button" dataOnly="0" labelOnly="1" outline="0" axis="axisRow" fieldPosition="6"/>
    </format>
    <format dxfId="807">
      <pivotArea field="9" type="button" dataOnly="0" labelOnly="1" outline="0" axis="axisRow" fieldPosition="7"/>
    </format>
    <format dxfId="806">
      <pivotArea field="13" type="button" dataOnly="0" labelOnly="1" outline="0" axis="axisRow" fieldPosition="4"/>
    </format>
    <format dxfId="805">
      <pivotArea field="16" type="button" dataOnly="0" labelOnly="1" outline="0" axis="axisRow" fieldPosition="5"/>
    </format>
    <format dxfId="804">
      <pivotArea field="18" type="button" dataOnly="0" labelOnly="1" outline="0" axis="axisRow" fieldPosition="6"/>
    </format>
    <format dxfId="803">
      <pivotArea field="9" type="button" dataOnly="0" labelOnly="1" outline="0" axis="axisRow" fieldPosition="7"/>
    </format>
    <format dxfId="802">
      <pivotArea dataOnly="0" outline="0" fieldPosition="0">
        <references count="1">
          <reference field="12" count="0" defaultSubtotal="1"/>
        </references>
      </pivotArea>
    </format>
    <format dxfId="801">
      <pivotArea dataOnly="0" outline="0" fieldPosition="0">
        <references count="1">
          <reference field="12" count="0" defaultSubtotal="1"/>
        </references>
      </pivotArea>
    </format>
    <format dxfId="800">
      <pivotArea dataOnly="0" outline="0" fieldPosition="0">
        <references count="1">
          <reference field="12" count="0" defaultSubtotal="1"/>
        </references>
      </pivotArea>
    </format>
    <format dxfId="799">
      <pivotArea dataOnly="0" outline="0" fieldPosition="0">
        <references count="1">
          <reference field="12" count="0" defaultSubtotal="1"/>
        </references>
      </pivotArea>
    </format>
    <format dxfId="798">
      <pivotArea dataOnly="0" outline="0" fieldPosition="0">
        <references count="1">
          <reference field="12" count="0" defaultSubtotal="1"/>
        </references>
      </pivotArea>
    </format>
    <format dxfId="797">
      <pivotArea dataOnly="0" outline="0" fieldPosition="0">
        <references count="1">
          <reference field="12" count="0" defaultSubtotal="1"/>
        </references>
      </pivotArea>
    </format>
    <format dxfId="796">
      <pivotArea dataOnly="0" outline="0" fieldPosition="0">
        <references count="1">
          <reference field="12" count="0" defaultSubtotal="1"/>
        </references>
      </pivotArea>
    </format>
    <format dxfId="795">
      <pivotArea outline="0" collapsedLevelsAreSubtotals="1" fieldPosition="0"/>
    </format>
    <format dxfId="794">
      <pivotArea dataOnly="0" labelOnly="1" outline="0" axis="axisValues" fieldPosition="0"/>
    </format>
    <format dxfId="793">
      <pivotArea dataOnly="0" labelOnly="1" outline="0" axis="axisValues" fieldPosition="0"/>
    </format>
    <format dxfId="792">
      <pivotArea outline="0" collapsedLevelsAreSubtotals="1" fieldPosition="0"/>
    </format>
    <format dxfId="791">
      <pivotArea dataOnly="0" labelOnly="1" outline="0" axis="axisValues" fieldPosition="0"/>
    </format>
    <format dxfId="790">
      <pivotArea dataOnly="0" labelOnly="1" outline="0" axis="axisValues" fieldPosition="0"/>
    </format>
    <format dxfId="789">
      <pivotArea outline="0" collapsedLevelsAreSubtotals="1" fieldPosition="0"/>
    </format>
    <format dxfId="788">
      <pivotArea dataOnly="0" labelOnly="1" outline="0" axis="axisValues" fieldPosition="0"/>
    </format>
    <format dxfId="787">
      <pivotArea dataOnly="0" labelOnly="1" outline="0" axis="axisValues" fieldPosition="0"/>
    </format>
    <format dxfId="786">
      <pivotArea outline="0" collapsedLevelsAreSubtotals="1" fieldPosition="0"/>
    </format>
    <format dxfId="785">
      <pivotArea dataOnly="0" labelOnly="1" outline="0" axis="axisValues" fieldPosition="0"/>
    </format>
    <format dxfId="784">
      <pivotArea dataOnly="0" labelOnly="1" outline="0" axis="axisValues" fieldPosition="0"/>
    </format>
    <format dxfId="783">
      <pivotArea type="all" dataOnly="0" outline="0" fieldPosition="0"/>
    </format>
    <format dxfId="782">
      <pivotArea outline="0" collapsedLevelsAreSubtotals="1" fieldPosition="0"/>
    </format>
    <format dxfId="781">
      <pivotArea dataOnly="0" labelOnly="1" outline="0" fieldPosition="0">
        <references count="1">
          <reference field="0" count="0"/>
        </references>
      </pivotArea>
    </format>
    <format dxfId="780">
      <pivotArea dataOnly="0" labelOnly="1" outline="0" axis="axisValues" fieldPosition="0"/>
    </format>
    <format dxfId="779">
      <pivotArea type="all" dataOnly="0" outline="0" fieldPosition="0"/>
    </format>
    <format dxfId="778">
      <pivotArea outline="0" collapsedLevelsAreSubtotals="1" fieldPosition="0"/>
    </format>
    <format dxfId="777">
      <pivotArea field="0" type="button" dataOnly="0" labelOnly="1" outline="0" axis="axisRow" fieldPosition="0"/>
    </format>
    <format dxfId="776">
      <pivotArea field="12" type="button" dataOnly="0" labelOnly="1" outline="0" axis="axisRow" fieldPosition="1"/>
    </format>
    <format dxfId="775">
      <pivotArea field="10" type="button" dataOnly="0" labelOnly="1" outline="0" axis="axisRow" fieldPosition="2"/>
    </format>
    <format dxfId="774">
      <pivotArea field="4" type="button" dataOnly="0" labelOnly="1" outline="0" axis="axisRow" fieldPosition="3"/>
    </format>
    <format dxfId="773">
      <pivotArea field="13" type="button" dataOnly="0" labelOnly="1" outline="0" axis="axisRow" fieldPosition="4"/>
    </format>
    <format dxfId="772">
      <pivotArea field="16" type="button" dataOnly="0" labelOnly="1" outline="0" axis="axisRow" fieldPosition="5"/>
    </format>
    <format dxfId="771">
      <pivotArea field="18" type="button" dataOnly="0" labelOnly="1" outline="0" axis="axisRow" fieldPosition="6"/>
    </format>
    <format dxfId="770">
      <pivotArea field="9" type="button" dataOnly="0" labelOnly="1" outline="0" axis="axisRow" fieldPosition="7"/>
    </format>
    <format dxfId="769">
      <pivotArea field="7" type="button" dataOnly="0" labelOnly="1" outline="0" axis="axisRow" fieldPosition="8"/>
    </format>
    <format dxfId="768">
      <pivotArea field="3" type="button" dataOnly="0" labelOnly="1" outline="0" axis="axisRow" fieldPosition="9"/>
    </format>
    <format dxfId="767">
      <pivotArea field="1" type="button" dataOnly="0" labelOnly="1" outline="0" axis="axisRow" fieldPosition="10"/>
    </format>
    <format dxfId="766">
      <pivotArea dataOnly="0" labelOnly="1" outline="0" fieldPosition="0">
        <references count="1">
          <reference field="0" count="0"/>
        </references>
      </pivotArea>
    </format>
    <format dxfId="765">
      <pivotArea dataOnly="0" labelOnly="1" outline="0" fieldPosition="0">
        <references count="2">
          <reference field="0" count="1" selected="0">
            <x v="0"/>
          </reference>
          <reference field="12" count="2">
            <x v="2"/>
            <x v="3"/>
          </reference>
        </references>
      </pivotArea>
    </format>
    <format dxfId="764">
      <pivotArea dataOnly="0" labelOnly="1" outline="0" fieldPosition="0">
        <references count="2">
          <reference field="0" count="1" selected="0">
            <x v="9"/>
          </reference>
          <reference field="12" count="1">
            <x v="0"/>
          </reference>
        </references>
      </pivotArea>
    </format>
    <format dxfId="763">
      <pivotArea dataOnly="0" labelOnly="1" outline="0" fieldPosition="0">
        <references count="2">
          <reference field="0" count="1" selected="0">
            <x v="10"/>
          </reference>
          <reference field="12" count="1">
            <x v="0"/>
          </reference>
        </references>
      </pivotArea>
    </format>
    <format dxfId="762">
      <pivotArea dataOnly="0" labelOnly="1" outline="0" fieldPosition="0">
        <references count="2">
          <reference field="0" count="1" selected="0">
            <x v="11"/>
          </reference>
          <reference field="12" count="13">
            <x v="0"/>
            <x v="4"/>
            <x v="5"/>
            <x v="15"/>
            <x v="23"/>
            <x v="26"/>
            <x v="27"/>
            <x v="28"/>
            <x v="33"/>
            <x v="35"/>
            <x v="38"/>
            <x v="39"/>
            <x v="40"/>
          </reference>
        </references>
      </pivotArea>
    </format>
    <format dxfId="761">
      <pivotArea dataOnly="0" labelOnly="1" outline="0" fieldPosition="0">
        <references count="2">
          <reference field="0" count="1" selected="0">
            <x v="12"/>
          </reference>
          <reference field="12" count="1">
            <x v="0"/>
          </reference>
        </references>
      </pivotArea>
    </format>
    <format dxfId="760">
      <pivotArea dataOnly="0" labelOnly="1" outline="0" fieldPosition="0">
        <references count="3">
          <reference field="0" count="1" selected="0">
            <x v="0"/>
          </reference>
          <reference field="10" count="1">
            <x v="21"/>
          </reference>
          <reference field="12" count="1" selected="0">
            <x v="2"/>
          </reference>
        </references>
      </pivotArea>
    </format>
    <format dxfId="759">
      <pivotArea dataOnly="0" labelOnly="1" outline="0" fieldPosition="0">
        <references count="3">
          <reference field="0" count="1" selected="0">
            <x v="0"/>
          </reference>
          <reference field="10" count="1">
            <x v="21"/>
          </reference>
          <reference field="12" count="1" selected="0">
            <x v="3"/>
          </reference>
        </references>
      </pivotArea>
    </format>
    <format dxfId="758">
      <pivotArea dataOnly="0" labelOnly="1" outline="0" fieldPosition="0">
        <references count="3">
          <reference field="0" count="1" selected="0">
            <x v="9"/>
          </reference>
          <reference field="10" count="1">
            <x v="16"/>
          </reference>
          <reference field="12" count="1" selected="0">
            <x v="0"/>
          </reference>
        </references>
      </pivotArea>
    </format>
    <format dxfId="757">
      <pivotArea dataOnly="0" labelOnly="1" outline="0" fieldPosition="0">
        <references count="3">
          <reference field="0" count="1" selected="0">
            <x v="10"/>
          </reference>
          <reference field="10" count="7">
            <x v="5"/>
            <x v="6"/>
            <x v="7"/>
            <x v="23"/>
            <x v="28"/>
            <x v="62"/>
            <x v="68"/>
          </reference>
          <reference field="12" count="1" selected="0">
            <x v="0"/>
          </reference>
        </references>
      </pivotArea>
    </format>
    <format dxfId="756">
      <pivotArea dataOnly="0" labelOnly="1" outline="0" fieldPosition="0">
        <references count="3">
          <reference field="0" count="1" selected="0">
            <x v="11"/>
          </reference>
          <reference field="10" count="1">
            <x v="20"/>
          </reference>
          <reference field="12" count="1" selected="0">
            <x v="0"/>
          </reference>
        </references>
      </pivotArea>
    </format>
    <format dxfId="755">
      <pivotArea dataOnly="0" labelOnly="1" outline="0" fieldPosition="0">
        <references count="3">
          <reference field="0" count="1" selected="0">
            <x v="11"/>
          </reference>
          <reference field="10" count="1">
            <x v="19"/>
          </reference>
          <reference field="12" count="1" selected="0">
            <x v="4"/>
          </reference>
        </references>
      </pivotArea>
    </format>
    <format dxfId="754">
      <pivotArea dataOnly="0" labelOnly="1" outline="0" fieldPosition="0">
        <references count="3">
          <reference field="0" count="1" selected="0">
            <x v="11"/>
          </reference>
          <reference field="10" count="1">
            <x v="63"/>
          </reference>
          <reference field="12" count="1" selected="0">
            <x v="5"/>
          </reference>
        </references>
      </pivotArea>
    </format>
    <format dxfId="753">
      <pivotArea dataOnly="0" labelOnly="1" outline="0" fieldPosition="0">
        <references count="3">
          <reference field="0" count="1" selected="0">
            <x v="11"/>
          </reference>
          <reference field="10" count="1">
            <x v="19"/>
          </reference>
          <reference field="12" count="1" selected="0">
            <x v="15"/>
          </reference>
        </references>
      </pivotArea>
    </format>
    <format dxfId="752">
      <pivotArea dataOnly="0" labelOnly="1" outline="0" fieldPosition="0">
        <references count="3">
          <reference field="0" count="1" selected="0">
            <x v="11"/>
          </reference>
          <reference field="10" count="1">
            <x v="37"/>
          </reference>
          <reference field="12" count="1" selected="0">
            <x v="23"/>
          </reference>
        </references>
      </pivotArea>
    </format>
    <format dxfId="751">
      <pivotArea dataOnly="0" labelOnly="1" outline="0" fieldPosition="0">
        <references count="3">
          <reference field="0" count="1" selected="0">
            <x v="11"/>
          </reference>
          <reference field="10" count="1">
            <x v="22"/>
          </reference>
          <reference field="12" count="1" selected="0">
            <x v="26"/>
          </reference>
        </references>
      </pivotArea>
    </format>
    <format dxfId="750">
      <pivotArea dataOnly="0" labelOnly="1" outline="0" fieldPosition="0">
        <references count="3">
          <reference field="0" count="1" selected="0">
            <x v="11"/>
          </reference>
          <reference field="10" count="1">
            <x v="0"/>
          </reference>
          <reference field="12" count="1" selected="0">
            <x v="27"/>
          </reference>
        </references>
      </pivotArea>
    </format>
    <format dxfId="749">
      <pivotArea dataOnly="0" labelOnly="1" outline="0" fieldPosition="0">
        <references count="3">
          <reference field="0" count="1" selected="0">
            <x v="11"/>
          </reference>
          <reference field="10" count="1">
            <x v="22"/>
          </reference>
          <reference field="12" count="1" selected="0">
            <x v="28"/>
          </reference>
        </references>
      </pivotArea>
    </format>
    <format dxfId="748">
      <pivotArea dataOnly="0" labelOnly="1" outline="0" fieldPosition="0">
        <references count="3">
          <reference field="0" count="1" selected="0">
            <x v="11"/>
          </reference>
          <reference field="10" count="1">
            <x v="22"/>
          </reference>
          <reference field="12" count="1" selected="0">
            <x v="33"/>
          </reference>
        </references>
      </pivotArea>
    </format>
    <format dxfId="747">
      <pivotArea dataOnly="0" labelOnly="1" outline="0" fieldPosition="0">
        <references count="3">
          <reference field="0" count="1" selected="0">
            <x v="11"/>
          </reference>
          <reference field="10" count="1">
            <x v="0"/>
          </reference>
          <reference field="12" count="1" selected="0">
            <x v="35"/>
          </reference>
        </references>
      </pivotArea>
    </format>
    <format dxfId="746">
      <pivotArea dataOnly="0" labelOnly="1" outline="0" fieldPosition="0">
        <references count="3">
          <reference field="0" count="1" selected="0">
            <x v="11"/>
          </reference>
          <reference field="10" count="1">
            <x v="20"/>
          </reference>
          <reference field="12" count="1" selected="0">
            <x v="38"/>
          </reference>
        </references>
      </pivotArea>
    </format>
    <format dxfId="745">
      <pivotArea dataOnly="0" labelOnly="1" outline="0" fieldPosition="0">
        <references count="3">
          <reference field="0" count="1" selected="0">
            <x v="11"/>
          </reference>
          <reference field="10" count="2">
            <x v="20"/>
            <x v="21"/>
          </reference>
          <reference field="12" count="1" selected="0">
            <x v="39"/>
          </reference>
        </references>
      </pivotArea>
    </format>
    <format dxfId="744">
      <pivotArea dataOnly="0" labelOnly="1" outline="0" fieldPosition="0">
        <references count="3">
          <reference field="0" count="1" selected="0">
            <x v="11"/>
          </reference>
          <reference field="10" count="1">
            <x v="0"/>
          </reference>
          <reference field="12" count="1" selected="0">
            <x v="40"/>
          </reference>
        </references>
      </pivotArea>
    </format>
    <format dxfId="743">
      <pivotArea dataOnly="0" labelOnly="1" outline="0" fieldPosition="0">
        <references count="3">
          <reference field="0" count="1" selected="0">
            <x v="12"/>
          </reference>
          <reference field="10" count="17">
            <x v="1"/>
            <x v="2"/>
            <x v="3"/>
            <x v="4"/>
            <x v="8"/>
            <x v="9"/>
            <x v="10"/>
            <x v="11"/>
            <x v="12"/>
            <x v="13"/>
            <x v="14"/>
            <x v="15"/>
            <x v="25"/>
            <x v="31"/>
            <x v="34"/>
            <x v="40"/>
            <x v="42"/>
          </reference>
          <reference field="12" count="1" selected="0">
            <x v="0"/>
          </reference>
        </references>
      </pivotArea>
    </format>
    <format dxfId="742">
      <pivotArea dataOnly="0" labelOnly="1" outline="0" fieldPosition="0">
        <references count="4">
          <reference field="0" count="1" selected="0">
            <x v="0"/>
          </reference>
          <reference field="4" count="1">
            <x v="2"/>
          </reference>
          <reference field="10" count="1" selected="0">
            <x v="21"/>
          </reference>
          <reference field="12" count="1" selected="0">
            <x v="2"/>
          </reference>
        </references>
      </pivotArea>
    </format>
    <format dxfId="741">
      <pivotArea dataOnly="0" labelOnly="1" outline="0" fieldPosition="0">
        <references count="4">
          <reference field="0" count="1" selected="0">
            <x v="0"/>
          </reference>
          <reference field="4" count="1">
            <x v="120"/>
          </reference>
          <reference field="10" count="1" selected="0">
            <x v="21"/>
          </reference>
          <reference field="12" count="1" selected="0">
            <x v="3"/>
          </reference>
        </references>
      </pivotArea>
    </format>
    <format dxfId="740">
      <pivotArea dataOnly="0" labelOnly="1" outline="0" fieldPosition="0">
        <references count="4">
          <reference field="0" count="1" selected="0">
            <x v="9"/>
          </reference>
          <reference field="4" count="7">
            <x v="2650"/>
            <x v="2651"/>
            <x v="2652"/>
            <x v="2653"/>
            <x v="2654"/>
            <x v="2655"/>
            <x v="2656"/>
          </reference>
          <reference field="10" count="1" selected="0">
            <x v="16"/>
          </reference>
          <reference field="12" count="1" selected="0">
            <x v="0"/>
          </reference>
        </references>
      </pivotArea>
    </format>
    <format dxfId="739">
      <pivotArea dataOnly="0" labelOnly="1" outline="0" fieldPosition="0">
        <references count="4">
          <reference field="0" count="1" selected="0">
            <x v="10"/>
          </reference>
          <reference field="4" count="5">
            <x v="2245"/>
            <x v="2328"/>
            <x v="2393"/>
            <x v="2460"/>
            <x v="2559"/>
          </reference>
          <reference field="10" count="1" selected="0">
            <x v="5"/>
          </reference>
          <reference field="12" count="1" selected="0">
            <x v="0"/>
          </reference>
        </references>
      </pivotArea>
    </format>
    <format dxfId="738">
      <pivotArea dataOnly="0" labelOnly="1" outline="0" fieldPosition="0">
        <references count="4">
          <reference field="0" count="1" selected="0">
            <x v="10"/>
          </reference>
          <reference field="4" count="2">
            <x v="4"/>
            <x v="2419"/>
          </reference>
          <reference field="10" count="1" selected="0">
            <x v="6"/>
          </reference>
          <reference field="12" count="1" selected="0">
            <x v="0"/>
          </reference>
        </references>
      </pivotArea>
    </format>
    <format dxfId="737">
      <pivotArea dataOnly="0" labelOnly="1" outline="0" fieldPosition="0">
        <references count="4">
          <reference field="0" count="1" selected="0">
            <x v="10"/>
          </reference>
          <reference field="4" count="1">
            <x v="2"/>
          </reference>
          <reference field="10" count="1" selected="0">
            <x v="7"/>
          </reference>
          <reference field="12" count="1" selected="0">
            <x v="0"/>
          </reference>
        </references>
      </pivotArea>
    </format>
    <format dxfId="736">
      <pivotArea dataOnly="0" labelOnly="1" outline="0" fieldPosition="0">
        <references count="4">
          <reference field="0" count="1" selected="0">
            <x v="10"/>
          </reference>
          <reference field="4" count="1">
            <x v="19"/>
          </reference>
          <reference field="10" count="1" selected="0">
            <x v="23"/>
          </reference>
          <reference field="12" count="1" selected="0">
            <x v="0"/>
          </reference>
        </references>
      </pivotArea>
    </format>
    <format dxfId="735">
      <pivotArea dataOnly="0" labelOnly="1" outline="0" fieldPosition="0">
        <references count="4">
          <reference field="0" count="1" selected="0">
            <x v="10"/>
          </reference>
          <reference field="4" count="1">
            <x v="26"/>
          </reference>
          <reference field="10" count="1" selected="0">
            <x v="28"/>
          </reference>
          <reference field="12" count="1" selected="0">
            <x v="0"/>
          </reference>
        </references>
      </pivotArea>
    </format>
    <format dxfId="734">
      <pivotArea dataOnly="0" labelOnly="1" outline="0" fieldPosition="0">
        <references count="4">
          <reference field="0" count="1" selected="0">
            <x v="10"/>
          </reference>
          <reference field="4" count="2">
            <x v="2359"/>
            <x v="2360"/>
          </reference>
          <reference field="10" count="1" selected="0">
            <x v="62"/>
          </reference>
          <reference field="12" count="1" selected="0">
            <x v="0"/>
          </reference>
        </references>
      </pivotArea>
    </format>
    <format dxfId="733">
      <pivotArea dataOnly="0" labelOnly="1" outline="0" fieldPosition="0">
        <references count="4">
          <reference field="0" count="1" selected="0">
            <x v="10"/>
          </reference>
          <reference field="4" count="1">
            <x v="2636"/>
          </reference>
          <reference field="10" count="1" selected="0">
            <x v="68"/>
          </reference>
          <reference field="12" count="1" selected="0">
            <x v="0"/>
          </reference>
        </references>
      </pivotArea>
    </format>
    <format dxfId="732">
      <pivotArea dataOnly="0" labelOnly="1" outline="0" fieldPosition="0">
        <references count="4">
          <reference field="0" count="1" selected="0">
            <x v="11"/>
          </reference>
          <reference field="4" count="1">
            <x v="291"/>
          </reference>
          <reference field="10" count="1" selected="0">
            <x v="20"/>
          </reference>
          <reference field="12" count="1" selected="0">
            <x v="0"/>
          </reference>
        </references>
      </pivotArea>
    </format>
    <format dxfId="731">
      <pivotArea dataOnly="0" labelOnly="1" outline="0" fieldPosition="0">
        <references count="4">
          <reference field="0" count="1" selected="0">
            <x v="11"/>
          </reference>
          <reference field="4" count="1">
            <x v="113"/>
          </reference>
          <reference field="10" count="1" selected="0">
            <x v="19"/>
          </reference>
          <reference field="12" count="1" selected="0">
            <x v="4"/>
          </reference>
        </references>
      </pivotArea>
    </format>
    <format dxfId="730">
      <pivotArea dataOnly="0" labelOnly="1" outline="0" fieldPosition="0">
        <references count="4">
          <reference field="0" count="1" selected="0">
            <x v="11"/>
          </reference>
          <reference field="4" count="1">
            <x v="2649"/>
          </reference>
          <reference field="10" count="1" selected="0">
            <x v="63"/>
          </reference>
          <reference field="12" count="1" selected="0">
            <x v="5"/>
          </reference>
        </references>
      </pivotArea>
    </format>
    <format dxfId="729">
      <pivotArea dataOnly="0" labelOnly="1" outline="0" fieldPosition="0">
        <references count="4">
          <reference field="0" count="1" selected="0">
            <x v="11"/>
          </reference>
          <reference field="4" count="1">
            <x v="2355"/>
          </reference>
          <reference field="10" count="1" selected="0">
            <x v="19"/>
          </reference>
          <reference field="12" count="1" selected="0">
            <x v="15"/>
          </reference>
        </references>
      </pivotArea>
    </format>
    <format dxfId="728">
      <pivotArea dataOnly="0" labelOnly="1" outline="0" fieldPosition="0">
        <references count="4">
          <reference field="0" count="1" selected="0">
            <x v="11"/>
          </reference>
          <reference field="4" count="1">
            <x v="2648"/>
          </reference>
          <reference field="10" count="1" selected="0">
            <x v="37"/>
          </reference>
          <reference field="12" count="1" selected="0">
            <x v="23"/>
          </reference>
        </references>
      </pivotArea>
    </format>
    <format dxfId="727">
      <pivotArea dataOnly="0" labelOnly="1" outline="0" fieldPosition="0">
        <references count="4">
          <reference field="0" count="1" selected="0">
            <x v="11"/>
          </reference>
          <reference field="4" count="1">
            <x v="1946"/>
          </reference>
          <reference field="10" count="1" selected="0">
            <x v="22"/>
          </reference>
          <reference field="12" count="1" selected="0">
            <x v="26"/>
          </reference>
        </references>
      </pivotArea>
    </format>
    <format dxfId="726">
      <pivotArea dataOnly="0" labelOnly="1" outline="0" fieldPosition="0">
        <references count="4">
          <reference field="0" count="1" selected="0">
            <x v="11"/>
          </reference>
          <reference field="4" count="1">
            <x v="1576"/>
          </reference>
          <reference field="10" count="1" selected="0">
            <x v="0"/>
          </reference>
          <reference field="12" count="1" selected="0">
            <x v="27"/>
          </reference>
        </references>
      </pivotArea>
    </format>
    <format dxfId="725">
      <pivotArea dataOnly="0" labelOnly="1" outline="0" fieldPosition="0">
        <references count="4">
          <reference field="0" count="1" selected="0">
            <x v="11"/>
          </reference>
          <reference field="4" count="1">
            <x v="441"/>
          </reference>
          <reference field="10" count="1" selected="0">
            <x v="22"/>
          </reference>
          <reference field="12" count="1" selected="0">
            <x v="28"/>
          </reference>
        </references>
      </pivotArea>
    </format>
    <format dxfId="724">
      <pivotArea dataOnly="0" labelOnly="1" outline="0" fieldPosition="0">
        <references count="4">
          <reference field="0" count="1" selected="0">
            <x v="11"/>
          </reference>
          <reference field="4" count="1">
            <x v="1585"/>
          </reference>
          <reference field="10" count="1" selected="0">
            <x v="22"/>
          </reference>
          <reference field="12" count="1" selected="0">
            <x v="33"/>
          </reference>
        </references>
      </pivotArea>
    </format>
    <format dxfId="723">
      <pivotArea dataOnly="0" labelOnly="1" outline="0" fieldPosition="0">
        <references count="4">
          <reference field="0" count="1" selected="0">
            <x v="11"/>
          </reference>
          <reference field="4" count="1">
            <x v="14"/>
          </reference>
          <reference field="10" count="1" selected="0">
            <x v="0"/>
          </reference>
          <reference field="12" count="1" selected="0">
            <x v="35"/>
          </reference>
        </references>
      </pivotArea>
    </format>
    <format dxfId="722">
      <pivotArea dataOnly="0" labelOnly="1" outline="0" fieldPosition="0">
        <references count="4">
          <reference field="0" count="1" selected="0">
            <x v="11"/>
          </reference>
          <reference field="4" count="1">
            <x v="13"/>
          </reference>
          <reference field="10" count="1" selected="0">
            <x v="20"/>
          </reference>
          <reference field="12" count="1" selected="0">
            <x v="38"/>
          </reference>
        </references>
      </pivotArea>
    </format>
    <format dxfId="721">
      <pivotArea dataOnly="0" labelOnly="1" outline="0" fieldPosition="0">
        <references count="4">
          <reference field="0" count="1" selected="0">
            <x v="11"/>
          </reference>
          <reference field="4" count="1">
            <x v="15"/>
          </reference>
          <reference field="10" count="1" selected="0">
            <x v="20"/>
          </reference>
          <reference field="12" count="1" selected="0">
            <x v="39"/>
          </reference>
        </references>
      </pivotArea>
    </format>
    <format dxfId="720">
      <pivotArea dataOnly="0" labelOnly="1" outline="0" fieldPosition="0">
        <references count="4">
          <reference field="0" count="1" selected="0">
            <x v="11"/>
          </reference>
          <reference field="4" count="1">
            <x v="41"/>
          </reference>
          <reference field="10" count="1" selected="0">
            <x v="21"/>
          </reference>
          <reference field="12" count="1" selected="0">
            <x v="39"/>
          </reference>
        </references>
      </pivotArea>
    </format>
    <format dxfId="719">
      <pivotArea dataOnly="0" labelOnly="1" outline="0" fieldPosition="0">
        <references count="4">
          <reference field="0" count="1" selected="0">
            <x v="11"/>
          </reference>
          <reference field="4" count="1">
            <x v="2557"/>
          </reference>
          <reference field="10" count="1" selected="0">
            <x v="0"/>
          </reference>
          <reference field="12" count="1" selected="0">
            <x v="40"/>
          </reference>
        </references>
      </pivotArea>
    </format>
    <format dxfId="718">
      <pivotArea dataOnly="0" labelOnly="1" outline="0" fieldPosition="0">
        <references count="4">
          <reference field="0" count="1" selected="0">
            <x v="12"/>
          </reference>
          <reference field="4" count="3">
            <x v="32"/>
            <x v="2080"/>
            <x v="2452"/>
          </reference>
          <reference field="10" count="1" selected="0">
            <x v="1"/>
          </reference>
          <reference field="12" count="1" selected="0">
            <x v="0"/>
          </reference>
        </references>
      </pivotArea>
    </format>
    <format dxfId="717">
      <pivotArea dataOnly="0" labelOnly="1" outline="0" fieldPosition="0">
        <references count="4">
          <reference field="0" count="1" selected="0">
            <x v="12"/>
          </reference>
          <reference field="4" count="2">
            <x v="38"/>
            <x v="283"/>
          </reference>
          <reference field="10" count="1" selected="0">
            <x v="2"/>
          </reference>
          <reference field="12" count="1" selected="0">
            <x v="0"/>
          </reference>
        </references>
      </pivotArea>
    </format>
    <format dxfId="716">
      <pivotArea dataOnly="0" labelOnly="1" outline="0" fieldPosition="0">
        <references count="4">
          <reference field="0" count="1" selected="0">
            <x v="12"/>
          </reference>
          <reference field="4" count="1">
            <x v="136"/>
          </reference>
          <reference field="10" count="1" selected="0">
            <x v="3"/>
          </reference>
          <reference field="12" count="1" selected="0">
            <x v="0"/>
          </reference>
        </references>
      </pivotArea>
    </format>
    <format dxfId="715">
      <pivotArea dataOnly="0" labelOnly="1" outline="0" fieldPosition="0">
        <references count="4">
          <reference field="0" count="1" selected="0">
            <x v="12"/>
          </reference>
          <reference field="4" count="3">
            <x v="5"/>
            <x v="6"/>
            <x v="31"/>
          </reference>
          <reference field="10" count="1" selected="0">
            <x v="4"/>
          </reference>
          <reference field="12" count="1" selected="0">
            <x v="0"/>
          </reference>
        </references>
      </pivotArea>
    </format>
    <format dxfId="714">
      <pivotArea dataOnly="0" labelOnly="1" outline="0" fieldPosition="0">
        <references count="4">
          <reference field="0" count="1" selected="0">
            <x v="12"/>
          </reference>
          <reference field="4" count="1">
            <x v="10"/>
          </reference>
          <reference field="10" count="1" selected="0">
            <x v="8"/>
          </reference>
          <reference field="12" count="1" selected="0">
            <x v="0"/>
          </reference>
        </references>
      </pivotArea>
    </format>
    <format dxfId="713">
      <pivotArea dataOnly="0" labelOnly="1" outline="0" fieldPosition="0">
        <references count="4">
          <reference field="0" count="1" selected="0">
            <x v="12"/>
          </reference>
          <reference field="4" count="1">
            <x v="2450"/>
          </reference>
          <reference field="10" count="1" selected="0">
            <x v="9"/>
          </reference>
          <reference field="12" count="1" selected="0">
            <x v="0"/>
          </reference>
        </references>
      </pivotArea>
    </format>
    <format dxfId="712">
      <pivotArea dataOnly="0" labelOnly="1" outline="0" fieldPosition="0">
        <references count="4">
          <reference field="0" count="1" selected="0">
            <x v="12"/>
          </reference>
          <reference field="4" count="6">
            <x v="2501"/>
            <x v="2502"/>
            <x v="2547"/>
            <x v="2607"/>
            <x v="2623"/>
            <x v="2624"/>
          </reference>
          <reference field="10" count="1" selected="0">
            <x v="10"/>
          </reference>
          <reference field="12" count="1" selected="0">
            <x v="0"/>
          </reference>
        </references>
      </pivotArea>
    </format>
    <format dxfId="711">
      <pivotArea dataOnly="0" labelOnly="1" outline="0" fieldPosition="0">
        <references count="4">
          <reference field="0" count="1" selected="0">
            <x v="12"/>
          </reference>
          <reference field="4" count="3">
            <x v="23"/>
            <x v="46"/>
            <x v="53"/>
          </reference>
          <reference field="10" count="1" selected="0">
            <x v="11"/>
          </reference>
          <reference field="12" count="1" selected="0">
            <x v="0"/>
          </reference>
        </references>
      </pivotArea>
    </format>
    <format dxfId="710">
      <pivotArea dataOnly="0" labelOnly="1" outline="0" fieldPosition="0">
        <references count="4">
          <reference field="0" count="1" selected="0">
            <x v="12"/>
          </reference>
          <reference field="4" count="7">
            <x v="1198"/>
            <x v="1672"/>
            <x v="2219"/>
            <x v="2220"/>
            <x v="2500"/>
            <x v="2546"/>
            <x v="2622"/>
          </reference>
          <reference field="10" count="1" selected="0">
            <x v="12"/>
          </reference>
          <reference field="12" count="1" selected="0">
            <x v="0"/>
          </reference>
        </references>
      </pivotArea>
    </format>
    <format dxfId="709">
      <pivotArea dataOnly="0" labelOnly="1" outline="0" fieldPosition="0">
        <references count="4">
          <reference field="0" count="1" selected="0">
            <x v="12"/>
          </reference>
          <reference field="4" count="6">
            <x v="43"/>
            <x v="126"/>
            <x v="438"/>
            <x v="2544"/>
            <x v="2545"/>
            <x v="2646"/>
          </reference>
          <reference field="10" count="1" selected="0">
            <x v="13"/>
          </reference>
          <reference field="12" count="1" selected="0">
            <x v="0"/>
          </reference>
        </references>
      </pivotArea>
    </format>
    <format dxfId="708">
      <pivotArea dataOnly="0" labelOnly="1" outline="0" fieldPosition="0">
        <references count="4">
          <reference field="0" count="1" selected="0">
            <x v="12"/>
          </reference>
          <reference field="4" count="1">
            <x v="1955"/>
          </reference>
          <reference field="10" count="1" selected="0">
            <x v="14"/>
          </reference>
          <reference field="12" count="1" selected="0">
            <x v="0"/>
          </reference>
        </references>
      </pivotArea>
    </format>
    <format dxfId="707">
      <pivotArea dataOnly="0" labelOnly="1" outline="0" fieldPosition="0">
        <references count="4">
          <reference field="0" count="1" selected="0">
            <x v="12"/>
          </reference>
          <reference field="4" count="5">
            <x v="121"/>
            <x v="2231"/>
            <x v="2446"/>
            <x v="2542"/>
            <x v="2543"/>
          </reference>
          <reference field="10" count="1" selected="0">
            <x v="15"/>
          </reference>
          <reference field="12" count="1" selected="0">
            <x v="0"/>
          </reference>
        </references>
      </pivotArea>
    </format>
    <format dxfId="706">
      <pivotArea dataOnly="0" labelOnly="1" outline="0" fieldPosition="0">
        <references count="4">
          <reference field="0" count="1" selected="0">
            <x v="12"/>
          </reference>
          <reference field="4" count="1">
            <x v="2552"/>
          </reference>
          <reference field="10" count="1" selected="0">
            <x v="25"/>
          </reference>
          <reference field="12" count="1" selected="0">
            <x v="0"/>
          </reference>
        </references>
      </pivotArea>
    </format>
    <format dxfId="705">
      <pivotArea dataOnly="0" labelOnly="1" outline="0" fieldPosition="0">
        <references count="4">
          <reference field="0" count="1" selected="0">
            <x v="12"/>
          </reference>
          <reference field="4" count="1">
            <x v="2647"/>
          </reference>
          <reference field="10" count="1" selected="0">
            <x v="31"/>
          </reference>
          <reference field="12" count="1" selected="0">
            <x v="0"/>
          </reference>
        </references>
      </pivotArea>
    </format>
    <format dxfId="704">
      <pivotArea dataOnly="0" labelOnly="1" outline="0" fieldPosition="0">
        <references count="4">
          <reference field="0" count="1" selected="0">
            <x v="12"/>
          </reference>
          <reference field="4" count="2">
            <x v="2644"/>
            <x v="2645"/>
          </reference>
          <reference field="10" count="1" selected="0">
            <x v="34"/>
          </reference>
          <reference field="12" count="1" selected="0">
            <x v="0"/>
          </reference>
        </references>
      </pivotArea>
    </format>
    <format dxfId="703">
      <pivotArea dataOnly="0" labelOnly="1" outline="0" fieldPosition="0">
        <references count="4">
          <reference field="0" count="1" selected="0">
            <x v="12"/>
          </reference>
          <reference field="4" count="1">
            <x v="362"/>
          </reference>
          <reference field="10" count="1" selected="0">
            <x v="40"/>
          </reference>
          <reference field="12" count="1" selected="0">
            <x v="0"/>
          </reference>
        </references>
      </pivotArea>
    </format>
    <format dxfId="702">
      <pivotArea dataOnly="0" labelOnly="1" outline="0" fieldPosition="0">
        <references count="4">
          <reference field="0" count="1" selected="0">
            <x v="12"/>
          </reference>
          <reference field="4" count="1">
            <x v="2235"/>
          </reference>
          <reference field="10" count="1" selected="0">
            <x v="42"/>
          </reference>
          <reference field="12" count="1" selected="0">
            <x v="0"/>
          </reference>
        </references>
      </pivotArea>
    </format>
    <format dxfId="701">
      <pivotArea dataOnly="0" labelOnly="1" outline="0" fieldPosition="0">
        <references count="5">
          <reference field="0" count="1" selected="0">
            <x v="0"/>
          </reference>
          <reference field="4" count="1" selected="0">
            <x v="2"/>
          </reference>
          <reference field="10" count="1" selected="0">
            <x v="21"/>
          </reference>
          <reference field="12" count="1" selected="0">
            <x v="2"/>
          </reference>
          <reference field="13" count="1">
            <x v="0"/>
          </reference>
        </references>
      </pivotArea>
    </format>
    <format dxfId="700">
      <pivotArea dataOnly="0" labelOnly="1" outline="0" fieldPosition="0">
        <references count="5">
          <reference field="0" count="1" selected="0">
            <x v="0"/>
          </reference>
          <reference field="4" count="1" selected="0">
            <x v="120"/>
          </reference>
          <reference field="10" count="1" selected="0">
            <x v="21"/>
          </reference>
          <reference field="12" count="1" selected="0">
            <x v="3"/>
          </reference>
          <reference field="13" count="1">
            <x v="0"/>
          </reference>
        </references>
      </pivotArea>
    </format>
    <format dxfId="699">
      <pivotArea dataOnly="0" labelOnly="1" outline="0" fieldPosition="0">
        <references count="5">
          <reference field="0" count="1" selected="0">
            <x v="9"/>
          </reference>
          <reference field="4" count="1" selected="0">
            <x v="2650"/>
          </reference>
          <reference field="10" count="1" selected="0">
            <x v="16"/>
          </reference>
          <reference field="12" count="1" selected="0">
            <x v="0"/>
          </reference>
          <reference field="13" count="1">
            <x v="0"/>
          </reference>
        </references>
      </pivotArea>
    </format>
    <format dxfId="698">
      <pivotArea dataOnly="0" labelOnly="1" outline="0" fieldPosition="0">
        <references count="5">
          <reference field="0" count="1" selected="0">
            <x v="10"/>
          </reference>
          <reference field="4" count="1" selected="0">
            <x v="2245"/>
          </reference>
          <reference field="10" count="1" selected="0">
            <x v="5"/>
          </reference>
          <reference field="12" count="1" selected="0">
            <x v="0"/>
          </reference>
          <reference field="13" count="1">
            <x v="0"/>
          </reference>
        </references>
      </pivotArea>
    </format>
    <format dxfId="697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291"/>
          </reference>
          <reference field="10" count="1" selected="0">
            <x v="20"/>
          </reference>
          <reference field="12" count="1" selected="0">
            <x v="0"/>
          </reference>
          <reference field="13" count="1">
            <x v="0"/>
          </reference>
        </references>
      </pivotArea>
    </format>
    <format dxfId="696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13"/>
          </reference>
          <reference field="10" count="1" selected="0">
            <x v="19"/>
          </reference>
          <reference field="12" count="1" selected="0">
            <x v="4"/>
          </reference>
          <reference field="13" count="1">
            <x v="0"/>
          </reference>
        </references>
      </pivotArea>
    </format>
    <format dxfId="695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2649"/>
          </reference>
          <reference field="10" count="1" selected="0">
            <x v="63"/>
          </reference>
          <reference field="12" count="1" selected="0">
            <x v="5"/>
          </reference>
          <reference field="13" count="1">
            <x v="0"/>
          </reference>
        </references>
      </pivotArea>
    </format>
    <format dxfId="694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2355"/>
          </reference>
          <reference field="10" count="1" selected="0">
            <x v="19"/>
          </reference>
          <reference field="12" count="1" selected="0">
            <x v="15"/>
          </reference>
          <reference field="13" count="1">
            <x v="0"/>
          </reference>
        </references>
      </pivotArea>
    </format>
    <format dxfId="693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2648"/>
          </reference>
          <reference field="10" count="1" selected="0">
            <x v="37"/>
          </reference>
          <reference field="12" count="1" selected="0">
            <x v="23"/>
          </reference>
          <reference field="13" count="1">
            <x v="0"/>
          </reference>
        </references>
      </pivotArea>
    </format>
    <format dxfId="692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46"/>
          </reference>
          <reference field="10" count="1" selected="0">
            <x v="22"/>
          </reference>
          <reference field="12" count="1" selected="0">
            <x v="26"/>
          </reference>
          <reference field="13" count="1">
            <x v="0"/>
          </reference>
        </references>
      </pivotArea>
    </format>
    <format dxfId="691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576"/>
          </reference>
          <reference field="10" count="1" selected="0">
            <x v="0"/>
          </reference>
          <reference field="12" count="1" selected="0">
            <x v="27"/>
          </reference>
          <reference field="13" count="1">
            <x v="1"/>
          </reference>
        </references>
      </pivotArea>
    </format>
    <format dxfId="690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441"/>
          </reference>
          <reference field="10" count="1" selected="0">
            <x v="22"/>
          </reference>
          <reference field="12" count="1" selected="0">
            <x v="28"/>
          </reference>
          <reference field="13" count="1">
            <x v="0"/>
          </reference>
        </references>
      </pivotArea>
    </format>
    <format dxfId="689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585"/>
          </reference>
          <reference field="10" count="1" selected="0">
            <x v="22"/>
          </reference>
          <reference field="12" count="1" selected="0">
            <x v="33"/>
          </reference>
          <reference field="13" count="1">
            <x v="0"/>
          </reference>
        </references>
      </pivotArea>
    </format>
    <format dxfId="688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4"/>
          </reference>
          <reference field="10" count="1" selected="0">
            <x v="0"/>
          </reference>
          <reference field="12" count="1" selected="0">
            <x v="35"/>
          </reference>
          <reference field="13" count="1">
            <x v="1"/>
          </reference>
        </references>
      </pivotArea>
    </format>
    <format dxfId="687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3"/>
          </reference>
          <reference field="10" count="1" selected="0">
            <x v="20"/>
          </reference>
          <reference field="12" count="1" selected="0">
            <x v="38"/>
          </reference>
          <reference field="13" count="1">
            <x v="0"/>
          </reference>
        </references>
      </pivotArea>
    </format>
    <format dxfId="686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5"/>
          </reference>
          <reference field="10" count="1" selected="0">
            <x v="20"/>
          </reference>
          <reference field="12" count="1" selected="0">
            <x v="39"/>
          </reference>
          <reference field="13" count="1">
            <x v="0"/>
          </reference>
        </references>
      </pivotArea>
    </format>
    <format dxfId="685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2557"/>
          </reference>
          <reference field="10" count="1" selected="0">
            <x v="0"/>
          </reference>
          <reference field="12" count="1" selected="0">
            <x v="40"/>
          </reference>
          <reference field="13" count="1">
            <x v="0"/>
          </reference>
        </references>
      </pivotArea>
    </format>
    <format dxfId="684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32"/>
          </reference>
          <reference field="10" count="1" selected="0">
            <x v="1"/>
          </reference>
          <reference field="12" count="1" selected="0">
            <x v="0"/>
          </reference>
          <reference field="13" count="1">
            <x v="0"/>
          </reference>
        </references>
      </pivotArea>
    </format>
    <format dxfId="683">
      <pivotArea dataOnly="0" labelOnly="1" outline="0" fieldPosition="0">
        <references count="6">
          <reference field="0" count="1" selected="0">
            <x v="0"/>
          </reference>
          <reference field="4" count="1" selected="0">
            <x v="2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82">
      <pivotArea dataOnly="0" labelOnly="1" outline="0" fieldPosition="0">
        <references count="6">
          <reference field="0" count="1" selected="0">
            <x v="0"/>
          </reference>
          <reference field="4" count="1" selected="0">
            <x v="120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81">
      <pivotArea dataOnly="0" labelOnly="1" outline="0" fieldPosition="0">
        <references count="6">
          <reference field="0" count="1" selected="0">
            <x v="9"/>
          </reference>
          <reference field="4" count="1" selected="0">
            <x v="265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80">
      <pivotArea dataOnly="0" labelOnly="1" outline="0" fieldPosition="0">
        <references count="6">
          <reference field="0" count="1" selected="0">
            <x v="10"/>
          </reference>
          <reference field="4" count="1" selected="0">
            <x v="2245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79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291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78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13"/>
          </reference>
          <reference field="10" count="1" selected="0">
            <x v="19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77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2649"/>
          </reference>
          <reference field="10" count="1" selected="0">
            <x v="63"/>
          </reference>
          <reference field="12" count="1" selected="0">
            <x v="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76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2355"/>
          </reference>
          <reference field="10" count="1" selected="0">
            <x v="19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75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2648"/>
          </reference>
          <reference field="10" count="1" selected="0">
            <x v="37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74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946"/>
          </reference>
          <reference field="10" count="1" selected="0">
            <x v="22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73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576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1"/>
          </reference>
          <reference field="16" count="1">
            <x v="0"/>
          </reference>
        </references>
      </pivotArea>
    </format>
    <format dxfId="672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441"/>
          </reference>
          <reference field="10" count="1" selected="0">
            <x v="22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71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585"/>
          </reference>
          <reference field="10" count="1" selected="0">
            <x v="22"/>
          </reference>
          <reference field="12" count="1" selected="0">
            <x v="3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70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4"/>
          </reference>
          <reference field="10" count="1" selected="0">
            <x v="0"/>
          </reference>
          <reference field="12" count="1" selected="0">
            <x v="35"/>
          </reference>
          <reference field="13" count="1" selected="0">
            <x v="1"/>
          </reference>
          <reference field="16" count="1">
            <x v="1"/>
          </reference>
        </references>
      </pivotArea>
    </format>
    <format dxfId="669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3"/>
          </reference>
          <reference field="10" count="1" selected="0">
            <x v="20"/>
          </reference>
          <reference field="12" count="1" selected="0">
            <x v="3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68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5"/>
          </reference>
          <reference field="10" count="1" selected="0">
            <x v="20"/>
          </reference>
          <reference field="12" count="1" selected="0">
            <x v="3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67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2557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666">
      <pivotArea dataOnly="0" labelOnly="1" outline="0" fieldPosition="0">
        <references count="6">
          <reference field="0" count="1" selected="0">
            <x v="12"/>
          </reference>
          <reference field="4" count="1" selected="0">
            <x v="3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665">
      <pivotArea dataOnly="0" labelOnly="1" outline="0" fieldPosition="0">
        <references count="7">
          <reference field="0" count="1" selected="0">
            <x v="0"/>
          </reference>
          <reference field="4" count="1" selected="0">
            <x v="2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0"/>
          </reference>
        </references>
      </pivotArea>
    </format>
    <format dxfId="664">
      <pivotArea dataOnly="0" labelOnly="1" outline="0" fieldPosition="0">
        <references count="7">
          <reference field="0" count="1" selected="0">
            <x v="0"/>
          </reference>
          <reference field="4" count="1" selected="0">
            <x v="120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4"/>
          </reference>
        </references>
      </pivotArea>
    </format>
    <format dxfId="663">
      <pivotArea dataOnly="0" labelOnly="1" outline="0" fieldPosition="0">
        <references count="7">
          <reference field="0" count="1" selected="0">
            <x v="9"/>
          </reference>
          <reference field="4" count="1" selected="0">
            <x v="265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4"/>
          </reference>
        </references>
      </pivotArea>
    </format>
    <format dxfId="662">
      <pivotArea dataOnly="0" labelOnly="1" outline="0" fieldPosition="0">
        <references count="7">
          <reference field="0" count="1" selected="0">
            <x v="9"/>
          </reference>
          <reference field="4" count="1" selected="0">
            <x v="265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4"/>
          </reference>
        </references>
      </pivotArea>
    </format>
    <format dxfId="661">
      <pivotArea dataOnly="0" labelOnly="1" outline="0" fieldPosition="0">
        <references count="7">
          <reference field="0" count="1" selected="0">
            <x v="9"/>
          </reference>
          <reference field="4" count="1" selected="0">
            <x v="2652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0"/>
          </reference>
        </references>
      </pivotArea>
    </format>
    <format dxfId="660">
      <pivotArea dataOnly="0" labelOnly="1" outline="0" fieldPosition="0">
        <references count="7">
          <reference field="0" count="1" selected="0">
            <x v="9"/>
          </reference>
          <reference field="4" count="1" selected="0">
            <x v="2653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4"/>
          </reference>
        </references>
      </pivotArea>
    </format>
    <format dxfId="659">
      <pivotArea dataOnly="0" labelOnly="1" outline="0" fieldPosition="0">
        <references count="7">
          <reference field="0" count="1" selected="0">
            <x v="9"/>
          </reference>
          <reference field="4" count="1" selected="0">
            <x v="2654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"/>
          </reference>
        </references>
      </pivotArea>
    </format>
    <format dxfId="658">
      <pivotArea dataOnly="0" labelOnly="1" outline="0" fieldPosition="0">
        <references count="7">
          <reference field="0" count="1" selected="0">
            <x v="9"/>
          </reference>
          <reference field="4" count="1" selected="0">
            <x v="2655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0"/>
          </reference>
        </references>
      </pivotArea>
    </format>
    <format dxfId="657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2245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656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2328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"/>
          </reference>
        </references>
      </pivotArea>
    </format>
    <format dxfId="655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2393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0"/>
          </reference>
        </references>
      </pivotArea>
    </format>
    <format dxfId="654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246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"/>
          </reference>
        </references>
      </pivotArea>
    </format>
    <format dxfId="653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2559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652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2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"/>
          </reference>
        </references>
      </pivotArea>
    </format>
    <format dxfId="651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19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650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26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9"/>
          </reference>
        </references>
      </pivotArea>
    </format>
    <format dxfId="649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2359"/>
          </reference>
          <reference field="10" count="1" selected="0">
            <x v="6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"/>
          </reference>
        </references>
      </pivotArea>
    </format>
    <format dxfId="648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2636"/>
          </reference>
          <reference field="10" count="1" selected="0">
            <x v="6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0"/>
          </reference>
        </references>
      </pivotArea>
    </format>
    <format dxfId="647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291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646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113"/>
          </reference>
          <reference field="10" count="1" selected="0">
            <x v="19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4"/>
          </reference>
        </references>
      </pivotArea>
    </format>
    <format dxfId="645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2649"/>
          </reference>
          <reference field="10" count="1" selected="0">
            <x v="63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20"/>
          </reference>
        </references>
      </pivotArea>
    </format>
    <format dxfId="644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2355"/>
          </reference>
          <reference field="10" count="1" selected="0">
            <x v="19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"/>
          </reference>
        </references>
      </pivotArea>
    </format>
    <format dxfId="643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2648"/>
          </reference>
          <reference field="10" count="1" selected="0">
            <x v="37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7"/>
          </reference>
        </references>
      </pivotArea>
    </format>
    <format dxfId="642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1946"/>
          </reference>
          <reference field="10" count="1" selected="0">
            <x v="2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0"/>
          </reference>
        </references>
      </pivotArea>
    </format>
    <format dxfId="641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1576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1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640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441"/>
          </reference>
          <reference field="10" count="1" selected="0">
            <x v="22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39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1585"/>
          </reference>
          <reference field="10" count="1" selected="0">
            <x v="22"/>
          </reference>
          <reference field="12" count="1" selected="0">
            <x v="3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7"/>
          </reference>
        </references>
      </pivotArea>
    </format>
    <format dxfId="638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14"/>
          </reference>
          <reference field="10" count="1" selected="0">
            <x v="0"/>
          </reference>
          <reference field="12" count="1" selected="0">
            <x v="35"/>
          </reference>
          <reference field="13" count="1" selected="0">
            <x v="1"/>
          </reference>
          <reference field="16" count="1" selected="0">
            <x v="1"/>
          </reference>
          <reference field="18" count="1">
            <x v="17"/>
          </reference>
        </references>
      </pivotArea>
    </format>
    <format dxfId="637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13"/>
          </reference>
          <reference field="10" count="1" selected="0">
            <x v="20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6"/>
          </reference>
        </references>
      </pivotArea>
    </format>
    <format dxfId="636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15"/>
          </reference>
          <reference field="10" count="1" selected="0">
            <x v="20"/>
          </reference>
          <reference field="12" count="1" selected="0">
            <x v="3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6"/>
          </reference>
        </references>
      </pivotArea>
    </format>
    <format dxfId="635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41"/>
          </reference>
          <reference field="10" count="1" selected="0">
            <x v="21"/>
          </reference>
          <reference field="12" count="1" selected="0">
            <x v="3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3"/>
          </reference>
        </references>
      </pivotArea>
    </format>
    <format dxfId="634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2557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7"/>
          </reference>
        </references>
      </pivotArea>
    </format>
    <format dxfId="633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3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632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0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1"/>
          </reference>
        </references>
      </pivotArea>
    </format>
    <format dxfId="631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4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630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38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0"/>
          </reference>
        </references>
      </pivotArea>
    </format>
    <format dxfId="629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136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28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5"/>
          </reference>
          <reference field="10" count="1" selected="0">
            <x v="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627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1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"/>
          </reference>
        </references>
      </pivotArea>
    </format>
    <format dxfId="626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45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0"/>
          </reference>
        </references>
      </pivotArea>
    </format>
    <format dxfId="625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5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24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5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5"/>
          </reference>
        </references>
      </pivotArea>
    </format>
    <format dxfId="623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5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622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"/>
          </reference>
        </references>
      </pivotArea>
    </format>
    <format dxfId="621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62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0"/>
          </reference>
        </references>
      </pivotArea>
    </format>
    <format dxfId="620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6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1"/>
          </reference>
        </references>
      </pivotArea>
    </format>
    <format dxfId="619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618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46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"/>
          </reference>
        </references>
      </pivotArea>
    </format>
    <format dxfId="617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5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9"/>
          </reference>
        </references>
      </pivotArea>
    </format>
    <format dxfId="616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1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"/>
          </reference>
        </references>
      </pivotArea>
    </format>
    <format dxfId="615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16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1"/>
          </reference>
        </references>
      </pivotArea>
    </format>
    <format dxfId="614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2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5"/>
          </reference>
        </references>
      </pivotArea>
    </format>
    <format dxfId="613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22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"/>
          </reference>
        </references>
      </pivotArea>
    </format>
    <format dxfId="612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50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0"/>
          </reference>
        </references>
      </pivotArea>
    </format>
    <format dxfId="611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5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610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62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609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43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608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126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607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438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0"/>
          </reference>
        </references>
      </pivotArea>
    </format>
    <format dxfId="606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544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"/>
          </reference>
        </references>
      </pivotArea>
    </format>
    <format dxfId="605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545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"/>
          </reference>
        </references>
      </pivotArea>
    </format>
    <format dxfId="604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646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603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1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602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23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0"/>
          </reference>
        </references>
      </pivotArea>
    </format>
    <format dxfId="601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4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600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54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0"/>
          </reference>
        </references>
      </pivotArea>
    </format>
    <format dxfId="599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552"/>
          </reference>
          <reference field="10" count="1" selected="0">
            <x v="2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598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64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58"/>
          </reference>
        </references>
      </pivotArea>
    </format>
    <format dxfId="597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644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0"/>
          </reference>
        </references>
      </pivotArea>
    </format>
    <format dxfId="596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645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595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36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"/>
          </reference>
        </references>
      </pivotArea>
    </format>
    <format dxfId="594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235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"/>
          </reference>
        </references>
      </pivotArea>
    </format>
    <format dxfId="593">
      <pivotArea dataOnly="0" labelOnly="1" outline="0" fieldPosition="0">
        <references count="8">
          <reference field="0" count="1" selected="0">
            <x v="0"/>
          </reference>
          <reference field="4" count="1" selected="0">
            <x v="2"/>
          </reference>
          <reference field="9" count="1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592">
      <pivotArea dataOnly="0" labelOnly="1" outline="0" fieldPosition="0">
        <references count="8">
          <reference field="0" count="1" selected="0">
            <x v="0"/>
          </reference>
          <reference field="4" count="1" selected="0">
            <x v="120"/>
          </reference>
          <reference field="9" count="1">
            <x v="1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591">
      <pivotArea dataOnly="0" labelOnly="1" outline="0" fieldPosition="0">
        <references count="8">
          <reference field="0" count="1" selected="0">
            <x v="9"/>
          </reference>
          <reference field="4" count="1" selected="0">
            <x v="2650"/>
          </reference>
          <reference field="9" count="1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4"/>
          </reference>
        </references>
      </pivotArea>
    </format>
    <format dxfId="590">
      <pivotArea dataOnly="0" labelOnly="1" outline="0" fieldPosition="0">
        <references count="8">
          <reference field="0" count="1" selected="0">
            <x v="9"/>
          </reference>
          <reference field="4" count="1" selected="0">
            <x v="2654"/>
          </reference>
          <reference field="9" count="1">
            <x v="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589">
      <pivotArea dataOnly="0" labelOnly="1" outline="0" fieldPosition="0">
        <references count="8">
          <reference field="0" count="1" selected="0">
            <x v="9"/>
          </reference>
          <reference field="4" count="1" selected="0">
            <x v="2655"/>
          </reference>
          <reference field="9" count="1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588">
      <pivotArea dataOnly="0" labelOnly="1" outline="0" fieldPosition="0">
        <references count="8">
          <reference field="0" count="1" selected="0">
            <x v="10"/>
          </reference>
          <reference field="4" count="1" selected="0">
            <x v="2245"/>
          </reference>
          <reference field="9" count="1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87">
      <pivotArea dataOnly="0" labelOnly="1" outline="0" fieldPosition="0">
        <references count="8">
          <reference field="0" count="1" selected="0">
            <x v="10"/>
          </reference>
          <reference field="4" count="1" selected="0">
            <x v="26"/>
          </reference>
          <reference field="9" count="1">
            <x v="1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9"/>
          </reference>
        </references>
      </pivotArea>
    </format>
    <format dxfId="586">
      <pivotArea dataOnly="0" labelOnly="1" outline="0" fieldPosition="0">
        <references count="8">
          <reference field="0" count="1" selected="0">
            <x v="10"/>
          </reference>
          <reference field="4" count="1" selected="0">
            <x v="2359"/>
          </reference>
          <reference field="9" count="1">
            <x v="0"/>
          </reference>
          <reference field="10" count="1" selected="0">
            <x v="6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"/>
          </reference>
        </references>
      </pivotArea>
    </format>
    <format dxfId="585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291"/>
          </reference>
          <reference field="9" count="1">
            <x v="1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84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13"/>
          </reference>
          <reference field="9" count="1">
            <x v="0"/>
          </reference>
          <reference field="10" count="1" selected="0">
            <x v="19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583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2649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20"/>
          </reference>
        </references>
      </pivotArea>
    </format>
    <format dxfId="582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2355"/>
          </reference>
          <reference field="9" count="1">
            <x v="0"/>
          </reference>
          <reference field="10" count="1" selected="0">
            <x v="19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581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2648"/>
          </reference>
          <reference field="9" count="1">
            <x v="1"/>
          </reference>
          <reference field="10" count="1" selected="0">
            <x v="37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580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946"/>
          </reference>
          <reference field="9" count="1">
            <x v="1"/>
          </reference>
          <reference field="10" count="1" selected="0">
            <x v="2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0"/>
          </reference>
        </references>
      </pivotArea>
    </format>
    <format dxfId="579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5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78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441"/>
          </reference>
          <reference field="9" count="1">
            <x v="0"/>
          </reference>
          <reference field="10" count="1" selected="0">
            <x v="22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77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585"/>
          </reference>
          <reference field="9" count="1">
            <x v="0"/>
          </reference>
          <reference field="10" count="1" selected="0">
            <x v="22"/>
          </reference>
          <reference field="12" count="1" selected="0">
            <x v="3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576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5"/>
          </reference>
          <reference field="13" count="1" selected="0">
            <x v="1"/>
          </reference>
          <reference field="16" count="1" selected="0">
            <x v="1"/>
          </reference>
          <reference field="18" count="1" selected="0">
            <x v="17"/>
          </reference>
        </references>
      </pivotArea>
    </format>
    <format dxfId="575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3"/>
          </reference>
          <reference field="9" count="1">
            <x v="1"/>
          </reference>
          <reference field="10" count="1" selected="0">
            <x v="20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574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5"/>
          </reference>
          <reference field="9" count="1">
            <x v="1"/>
          </reference>
          <reference field="10" count="1" selected="0">
            <x v="20"/>
          </reference>
          <reference field="12" count="1" selected="0">
            <x v="3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573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25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7"/>
          </reference>
        </references>
      </pivotArea>
    </format>
    <format dxfId="572">
      <pivotArea dataOnly="0" labelOnly="1" outline="0" fieldPosition="0">
        <references count="8">
          <reference field="0" count="1" selected="0">
            <x v="12"/>
          </reference>
          <reference field="4" count="1" selected="0">
            <x v="3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571">
      <pivotArea dataOnly="0" labelOnly="1" outline="0" fieldPosition="0">
        <references count="8">
          <reference field="0" count="1" selected="0">
            <x v="12"/>
          </reference>
          <reference field="4" count="1" selected="0">
            <x v="38"/>
          </reference>
          <reference field="9" count="1">
            <x v="1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570">
      <pivotArea dataOnly="0" labelOnly="1" outline="0" fieldPosition="0">
        <references count="8">
          <reference field="0" count="1" selected="0">
            <x v="12"/>
          </reference>
          <reference field="4" count="1" selected="0">
            <x v="283"/>
          </reference>
          <reference field="9" count="1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569">
      <pivotArea dataOnly="0" labelOnly="1" outline="0" fieldPosition="0">
        <references count="9">
          <reference field="0" count="1" selected="0">
            <x v="0"/>
          </reference>
          <reference field="4" count="1" selected="0">
            <x v="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568">
      <pivotArea dataOnly="0" labelOnly="1" outline="0" fieldPosition="0">
        <references count="9">
          <reference field="0" count="1" selected="0">
            <x v="0"/>
          </reference>
          <reference field="4" count="1" selected="0">
            <x v="1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567">
      <pivotArea dataOnly="0" labelOnly="1" outline="0" fieldPosition="0">
        <references count="9">
          <reference field="0" count="1" selected="0">
            <x v="9"/>
          </reference>
          <reference field="4" count="1" selected="0">
            <x v="26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4"/>
          </reference>
        </references>
      </pivotArea>
    </format>
    <format dxfId="566">
      <pivotArea dataOnly="0" labelOnly="1" outline="0" fieldPosition="0">
        <references count="9">
          <reference field="0" count="1" selected="0">
            <x v="9"/>
          </reference>
          <reference field="4" count="1" selected="0">
            <x v="26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565">
      <pivotArea dataOnly="0" labelOnly="1" outline="0" fieldPosition="0">
        <references count="9">
          <reference field="0" count="1" selected="0">
            <x v="9"/>
          </reference>
          <reference field="4" count="1" selected="0">
            <x v="26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4"/>
          </reference>
        </references>
      </pivotArea>
    </format>
    <format dxfId="564">
      <pivotArea dataOnly="0" labelOnly="1" outline="0" fieldPosition="0">
        <references count="9">
          <reference field="0" count="1" selected="0">
            <x v="9"/>
          </reference>
          <reference field="4" count="1" selected="0">
            <x v="26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563">
      <pivotArea dataOnly="0" labelOnly="1" outline="0" fieldPosition="0">
        <references count="9">
          <reference field="0" count="1" selected="0">
            <x v="10"/>
          </reference>
          <reference field="4" count="1" selected="0">
            <x v="224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62">
      <pivotArea dataOnly="0" labelOnly="1" outline="0" fieldPosition="0">
        <references count="9">
          <reference field="0" count="1" selected="0">
            <x v="10"/>
          </reference>
          <reference field="4" count="1" selected="0">
            <x v="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61">
      <pivotArea dataOnly="0" labelOnly="1" outline="0" fieldPosition="0">
        <references count="9">
          <reference field="0" count="1" selected="0">
            <x v="10"/>
          </reference>
          <reference field="4" count="1" selected="0">
            <x v="24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60">
      <pivotArea dataOnly="0" labelOnly="1" outline="0" fieldPosition="0">
        <references count="9">
          <reference field="0" count="1" selected="0">
            <x v="10"/>
          </reference>
          <reference field="4" count="1" selected="0">
            <x v="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"/>
          </reference>
        </references>
      </pivotArea>
    </format>
    <format dxfId="559">
      <pivotArea dataOnly="0" labelOnly="1" outline="0" fieldPosition="0">
        <references count="9">
          <reference field="0" count="1" selected="0">
            <x v="10"/>
          </reference>
          <reference field="4" count="1" selected="0">
            <x v="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58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2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57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556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26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20"/>
          </reference>
        </references>
      </pivotArea>
    </format>
    <format dxfId="555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23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554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26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7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553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9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2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0"/>
          </reference>
        </references>
      </pivotArea>
    </format>
    <format dxfId="552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5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51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4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50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58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3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549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5"/>
          </reference>
          <reference field="13" count="1" selected="0">
            <x v="1"/>
          </reference>
          <reference field="16" count="1" selected="0">
            <x v="1"/>
          </reference>
          <reference field="18" count="1" selected="0">
            <x v="17"/>
          </reference>
        </references>
      </pivotArea>
    </format>
    <format dxfId="548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547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3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546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25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7"/>
          </reference>
        </references>
      </pivotArea>
    </format>
    <format dxfId="545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544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543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542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541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5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40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5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539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6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1"/>
          </reference>
        </references>
      </pivotArea>
    </format>
    <format dxfId="538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1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537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2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536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5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535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34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1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533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4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532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5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531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231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530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4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529">
      <pivotArea dataOnly="0" labelOnly="1" outline="0" fieldPosition="0">
        <references count="10">
          <reference field="0" count="1" selected="0">
            <x v="0"/>
          </reference>
          <reference field="3" count="1">
            <x v="2"/>
          </reference>
          <reference field="4" count="1" selected="0">
            <x v="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528">
      <pivotArea dataOnly="0" labelOnly="1" outline="0" fieldPosition="0">
        <references count="10">
          <reference field="0" count="1" selected="0">
            <x v="0"/>
          </reference>
          <reference field="3" count="1">
            <x v="1283"/>
          </reference>
          <reference field="4" count="1" selected="0">
            <x v="1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527">
      <pivotArea dataOnly="0" labelOnly="1" outline="0" fieldPosition="0">
        <references count="10">
          <reference field="0" count="1" selected="0">
            <x v="9"/>
          </reference>
          <reference field="3" count="1">
            <x v="0"/>
          </reference>
          <reference field="4" count="1" selected="0">
            <x v="26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4"/>
          </reference>
        </references>
      </pivotArea>
    </format>
    <format dxfId="526">
      <pivotArea dataOnly="0" labelOnly="1" outline="0" fieldPosition="0">
        <references count="10">
          <reference field="0" count="1" selected="0">
            <x v="9"/>
          </reference>
          <reference field="3" count="1">
            <x v="1843"/>
          </reference>
          <reference field="4" count="1" selected="0">
            <x v="26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525">
      <pivotArea dataOnly="0" labelOnly="1" outline="0" fieldPosition="0">
        <references count="10">
          <reference field="0" count="1" selected="0">
            <x v="9"/>
          </reference>
          <reference field="3" count="1">
            <x v="0"/>
          </reference>
          <reference field="4" count="1" selected="0">
            <x v="26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4"/>
          </reference>
        </references>
      </pivotArea>
    </format>
    <format dxfId="524">
      <pivotArea dataOnly="0" labelOnly="1" outline="0" fieldPosition="0">
        <references count="10">
          <reference field="0" count="1" selected="0">
            <x v="9"/>
          </reference>
          <reference field="3" count="1">
            <x v="1844"/>
          </reference>
          <reference field="4" count="1" selected="0">
            <x v="26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523">
      <pivotArea dataOnly="0" labelOnly="1" outline="0" fieldPosition="0">
        <references count="10">
          <reference field="0" count="1" selected="0">
            <x v="9"/>
          </reference>
          <reference field="3" count="1">
            <x v="1845"/>
          </reference>
          <reference field="4" count="1" selected="0">
            <x v="2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522">
      <pivotArea dataOnly="0" labelOnly="1" outline="0" fieldPosition="0">
        <references count="10">
          <reference field="0" count="1" selected="0">
            <x v="9"/>
          </reference>
          <reference field="3" count="1">
            <x v="1846"/>
          </reference>
          <reference field="4" count="1" selected="0">
            <x v="26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521">
      <pivotArea dataOnly="0" labelOnly="1" outline="0" fieldPosition="0">
        <references count="10">
          <reference field="0" count="1" selected="0">
            <x v="10"/>
          </reference>
          <reference field="3" count="1">
            <x v="0"/>
          </reference>
          <reference field="4" count="1" selected="0">
            <x v="22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20">
      <pivotArea dataOnly="0" labelOnly="1" outline="0" fieldPosition="0">
        <references count="10">
          <reference field="0" count="1" selected="0">
            <x v="10"/>
          </reference>
          <reference field="3" count="1">
            <x v="1724"/>
          </reference>
          <reference field="4" count="1" selected="0">
            <x v="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19">
      <pivotArea dataOnly="0" labelOnly="1" outline="0" fieldPosition="0">
        <references count="10">
          <reference field="0" count="1" selected="0">
            <x v="10"/>
          </reference>
          <reference field="3" count="1">
            <x v="46"/>
          </reference>
          <reference field="4" count="1" selected="0">
            <x v="24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18">
      <pivotArea dataOnly="0" labelOnly="1" outline="0" fieldPosition="0">
        <references count="10">
          <reference field="0" count="1" selected="0">
            <x v="10"/>
          </reference>
          <reference field="3" count="1">
            <x v="1731"/>
          </reference>
          <reference field="4" count="1" selected="0">
            <x v="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"/>
          </reference>
        </references>
      </pivotArea>
    </format>
    <format dxfId="517">
      <pivotArea dataOnly="0" labelOnly="1" outline="0" fieldPosition="0">
        <references count="10">
          <reference field="0" count="1" selected="0">
            <x v="10"/>
          </reference>
          <reference field="3" count="1">
            <x v="0"/>
          </reference>
          <reference field="4" count="1" selected="0">
            <x v="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16">
      <pivotArea dataOnly="0" labelOnly="1" outline="0" fieldPosition="0">
        <references count="10">
          <reference field="0" count="1" selected="0">
            <x v="11"/>
          </reference>
          <reference field="3" count="1">
            <x v="1728"/>
          </reference>
          <reference field="4" count="1" selected="0">
            <x v="2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15">
      <pivotArea dataOnly="0" labelOnly="1" outline="0" fieldPosition="0">
        <references count="10">
          <reference field="0" count="1" selected="0">
            <x v="11"/>
          </reference>
          <reference field="3" count="1">
            <x v="46"/>
          </reference>
          <reference field="4" count="1" selected="0">
            <x v="11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514">
      <pivotArea dataOnly="0" labelOnly="1" outline="0" fieldPosition="0">
        <references count="10">
          <reference field="0" count="1" selected="0">
            <x v="11"/>
          </reference>
          <reference field="3" count="1">
            <x v="1842"/>
          </reference>
          <reference field="4" count="1" selected="0">
            <x v="264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20"/>
          </reference>
        </references>
      </pivotArea>
    </format>
    <format dxfId="513">
      <pivotArea dataOnly="0" labelOnly="1" outline="0" fieldPosition="0">
        <references count="10">
          <reference field="0" count="1" selected="0">
            <x v="11"/>
          </reference>
          <reference field="3" count="1">
            <x v="1664"/>
          </reference>
          <reference field="4" count="1" selected="0">
            <x v="23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512">
      <pivotArea dataOnly="0" labelOnly="1" outline="0" fieldPosition="0">
        <references count="10">
          <reference field="0" count="1" selected="0">
            <x v="11"/>
          </reference>
          <reference field="3" count="1">
            <x v="556"/>
          </reference>
          <reference field="4" count="1" selected="0">
            <x v="26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7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511">
      <pivotArea dataOnly="0" labelOnly="1" outline="0" fieldPosition="0">
        <references count="10">
          <reference field="0" count="1" selected="0">
            <x v="11"/>
          </reference>
          <reference field="3" count="1">
            <x v="0"/>
          </reference>
          <reference field="4" count="1" selected="0">
            <x v="194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2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0"/>
          </reference>
        </references>
      </pivotArea>
    </format>
    <format dxfId="510">
      <pivotArea dataOnly="0" labelOnly="1" outline="0" fieldPosition="0">
        <references count="10">
          <reference field="0" count="1" selected="0">
            <x v="11"/>
          </reference>
          <reference field="3" count="1">
            <x v="0"/>
          </reference>
          <reference field="4" count="1" selected="0">
            <x v="157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09">
      <pivotArea dataOnly="0" labelOnly="1" outline="0" fieldPosition="0">
        <references count="10">
          <reference field="0" count="1" selected="0">
            <x v="11"/>
          </reference>
          <reference field="3" count="1">
            <x v="0"/>
          </reference>
          <reference field="4" count="1" selected="0">
            <x v="4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08">
      <pivotArea dataOnly="0" labelOnly="1" outline="0" fieldPosition="0">
        <references count="10">
          <reference field="0" count="1" selected="0">
            <x v="11"/>
          </reference>
          <reference field="3" count="1">
            <x v="0"/>
          </reference>
          <reference field="4" count="1" selected="0">
            <x v="1585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3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507">
      <pivotArea dataOnly="0" labelOnly="1" outline="0" fieldPosition="0">
        <references count="10">
          <reference field="0" count="1" selected="0">
            <x v="11"/>
          </reference>
          <reference field="3" count="1">
            <x v="2"/>
          </reference>
          <reference field="4" count="1" selected="0">
            <x v="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5"/>
          </reference>
          <reference field="13" count="1" selected="0">
            <x v="1"/>
          </reference>
          <reference field="16" count="1" selected="0">
            <x v="1"/>
          </reference>
          <reference field="18" count="1" selected="0">
            <x v="17"/>
          </reference>
        </references>
      </pivotArea>
    </format>
    <format dxfId="506">
      <pivotArea dataOnly="0" labelOnly="1" outline="0" fieldPosition="0">
        <references count="10">
          <reference field="0" count="1" selected="0">
            <x v="11"/>
          </reference>
          <reference field="3" count="1">
            <x v="2"/>
          </reference>
          <reference field="4" count="1" selected="0">
            <x v="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505">
      <pivotArea dataOnly="0" labelOnly="1" outline="0" fieldPosition="0">
        <references count="10">
          <reference field="0" count="1" selected="0">
            <x v="11"/>
          </reference>
          <reference field="3" count="1">
            <x v="1729"/>
          </reference>
          <reference field="4" count="1" selected="0">
            <x v="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3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504">
      <pivotArea dataOnly="0" labelOnly="1" outline="0" fieldPosition="0">
        <references count="10">
          <reference field="0" count="1" selected="0">
            <x v="11"/>
          </reference>
          <reference field="3" count="1">
            <x v="1727"/>
          </reference>
          <reference field="4" count="1" selected="0">
            <x v="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3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3"/>
          </reference>
        </references>
      </pivotArea>
    </format>
    <format dxfId="503">
      <pivotArea dataOnly="0" labelOnly="1" outline="0" fieldPosition="0">
        <references count="10">
          <reference field="0" count="1" selected="0">
            <x v="11"/>
          </reference>
          <reference field="3" count="1">
            <x v="2"/>
          </reference>
          <reference field="4" count="1" selected="0">
            <x v="25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7"/>
          </reference>
        </references>
      </pivotArea>
    </format>
    <format dxfId="502">
      <pivotArea dataOnly="0" labelOnly="1" outline="0" fieldPosition="0">
        <references count="10">
          <reference field="0" count="1" selected="0">
            <x v="12"/>
          </reference>
          <reference field="3" count="1">
            <x v="1726"/>
          </reference>
          <reference field="4" count="1" selected="0">
            <x v="3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501">
      <pivotArea dataOnly="0" labelOnly="1" outline="0" fieldPosition="0">
        <references count="10">
          <reference field="0" count="1" selected="0">
            <x v="12"/>
          </reference>
          <reference field="3" count="1">
            <x v="1786"/>
          </reference>
          <reference field="4" count="1" selected="0">
            <x v="20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1"/>
          </reference>
        </references>
      </pivotArea>
    </format>
    <format dxfId="500">
      <pivotArea dataOnly="0" labelOnly="1" outline="0" fieldPosition="0">
        <references count="10">
          <reference field="0" count="1" selected="0">
            <x v="12"/>
          </reference>
          <reference field="3" count="1">
            <x v="1725"/>
          </reference>
          <reference field="4" count="1" selected="0">
            <x v="24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499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3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498">
      <pivotArea dataOnly="0" labelOnly="1" outline="0" fieldPosition="0">
        <references count="10">
          <reference field="0" count="1" selected="0">
            <x v="12"/>
          </reference>
          <reference field="3" count="1">
            <x v="1723"/>
          </reference>
          <reference field="4" count="1" selected="0">
            <x v="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497">
      <pivotArea dataOnly="0" labelOnly="1" outline="0" fieldPosition="0">
        <references count="10">
          <reference field="0" count="1" selected="0">
            <x v="12"/>
          </reference>
          <reference field="3" count="1">
            <x v="1721"/>
          </reference>
          <reference field="4" count="1" selected="0">
            <x v="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496">
      <pivotArea dataOnly="0" labelOnly="1" outline="0" fieldPosition="0">
        <references count="10">
          <reference field="0" count="1" selected="0">
            <x v="12"/>
          </reference>
          <reference field="3" count="1">
            <x v="1722"/>
          </reference>
          <reference field="4" count="1" selected="0">
            <x v="3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495">
      <pivotArea dataOnly="0" labelOnly="1" outline="0" fieldPosition="0">
        <references count="10">
          <reference field="0" count="1" selected="0">
            <x v="12"/>
          </reference>
          <reference field="3" count="1">
            <x v="1140"/>
          </reference>
          <reference field="4" count="1" selected="0">
            <x v="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494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24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493">
      <pivotArea dataOnly="0" labelOnly="1" outline="0" fieldPosition="0">
        <references count="10">
          <reference field="0" count="1" selected="0">
            <x v="12"/>
          </reference>
          <reference field="3" count="1">
            <x v="1767"/>
          </reference>
          <reference field="4" count="1" selected="0">
            <x v="250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92">
      <pivotArea dataOnly="0" labelOnly="1" outline="0" fieldPosition="0">
        <references count="10">
          <reference field="0" count="1" selected="0">
            <x v="12"/>
          </reference>
          <reference field="3" count="1">
            <x v="1768"/>
          </reference>
          <reference field="4" count="1" selected="0">
            <x v="25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5"/>
          </reference>
        </references>
      </pivotArea>
    </format>
    <format dxfId="491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25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490">
      <pivotArea dataOnly="0" labelOnly="1" outline="0" fieldPosition="0">
        <references count="10">
          <reference field="0" count="1" selected="0">
            <x v="12"/>
          </reference>
          <reference field="3" count="1">
            <x v="1833"/>
          </reference>
          <reference field="4" count="1" selected="0">
            <x v="262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1"/>
          </reference>
        </references>
      </pivotArea>
    </format>
    <format dxfId="489">
      <pivotArea dataOnly="0" labelOnly="1" outline="0" fieldPosition="0">
        <references count="10">
          <reference field="0" count="1" selected="0">
            <x v="12"/>
          </reference>
          <reference field="3" count="1">
            <x v="1720"/>
          </reference>
          <reference field="4" count="1" selected="0">
            <x v="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88">
      <pivotArea dataOnly="0" labelOnly="1" outline="0" fieldPosition="0">
        <references count="10">
          <reference field="0" count="1" selected="0">
            <x v="12"/>
          </reference>
          <reference field="3" count="1">
            <x v="1673"/>
          </reference>
          <reference field="4" count="1" selected="0">
            <x v="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487">
      <pivotArea dataOnly="0" labelOnly="1" outline="0" fieldPosition="0">
        <references count="10">
          <reference field="0" count="1" selected="0">
            <x v="12"/>
          </reference>
          <reference field="3" count="1">
            <x v="1742"/>
          </reference>
          <reference field="4" count="1" selected="0">
            <x v="5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9"/>
          </reference>
        </references>
      </pivotArea>
    </format>
    <format dxfId="486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11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485">
      <pivotArea dataOnly="0" labelOnly="1" outline="0" fieldPosition="0">
        <references count="10">
          <reference field="0" count="1" selected="0">
            <x v="12"/>
          </reference>
          <reference field="3" count="1">
            <x v="1785"/>
          </reference>
          <reference field="4" count="1" selected="0">
            <x v="22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484">
      <pivotArea dataOnly="0" labelOnly="1" outline="0" fieldPosition="0">
        <references count="10">
          <reference field="0" count="1" selected="0">
            <x v="12"/>
          </reference>
          <reference field="3" count="1">
            <x v="1282"/>
          </reference>
          <reference field="4" count="1" selected="0">
            <x v="222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483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25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482">
      <pivotArea dataOnly="0" labelOnly="1" outline="0" fieldPosition="0">
        <references count="10">
          <reference field="0" count="1" selected="0">
            <x v="12"/>
          </reference>
          <reference field="3" count="1">
            <x v="1718"/>
          </reference>
          <reference field="4" count="1" selected="0">
            <x v="4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81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1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480">
      <pivotArea dataOnly="0" labelOnly="1" outline="0" fieldPosition="0">
        <references count="10">
          <reference field="0" count="1" selected="0">
            <x v="12"/>
          </reference>
          <reference field="3" count="1">
            <x v="1841"/>
          </reference>
          <reference field="4" count="1" selected="0">
            <x v="4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479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25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478">
      <pivotArea dataOnly="0" labelOnly="1" outline="0" fieldPosition="0">
        <references count="10">
          <reference field="0" count="1" selected="0">
            <x v="12"/>
          </reference>
          <reference field="3" count="1">
            <x v="1784"/>
          </reference>
          <reference field="4" count="1" selected="0">
            <x v="25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477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476">
      <pivotArea dataOnly="0" labelOnly="1" outline="0" fieldPosition="0">
        <references count="11">
          <reference field="0" count="1" selected="0">
            <x v="0"/>
          </reference>
          <reference field="1" count="1">
            <x v="5170"/>
          </reference>
          <reference field="3" count="1" selected="0">
            <x v="2"/>
          </reference>
          <reference field="4" count="1" selected="0">
            <x v="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475">
      <pivotArea dataOnly="0" labelOnly="1" outline="0" fieldPosition="0">
        <references count="11">
          <reference field="0" count="1" selected="0">
            <x v="0"/>
          </reference>
          <reference field="1" count="1">
            <x v="4930"/>
          </reference>
          <reference field="3" count="1" selected="0">
            <x v="1283"/>
          </reference>
          <reference field="4" count="1" selected="0">
            <x v="1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474">
      <pivotArea dataOnly="0" labelOnly="1" outline="0" fieldPosition="0">
        <references count="11">
          <reference field="0" count="1" selected="0">
            <x v="9"/>
          </reference>
          <reference field="1" count="1">
            <x v="5163"/>
          </reference>
          <reference field="3" count="1" selected="0">
            <x v="0"/>
          </reference>
          <reference field="4" count="1" selected="0">
            <x v="26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4"/>
          </reference>
        </references>
      </pivotArea>
    </format>
    <format dxfId="473">
      <pivotArea dataOnly="0" labelOnly="1" outline="0" fieldPosition="0">
        <references count="11">
          <reference field="0" count="1" selected="0">
            <x v="9"/>
          </reference>
          <reference field="1" count="1">
            <x v="5164"/>
          </reference>
          <reference field="3" count="1" selected="0">
            <x v="0"/>
          </reference>
          <reference field="4" count="1" selected="0">
            <x v="265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472">
      <pivotArea dataOnly="0" labelOnly="1" outline="0" fieldPosition="0">
        <references count="11">
          <reference field="0" count="1" selected="0">
            <x v="9"/>
          </reference>
          <reference field="1" count="1">
            <x v="5165"/>
          </reference>
          <reference field="3" count="1" selected="0">
            <x v="1843"/>
          </reference>
          <reference field="4" count="1" selected="0">
            <x v="26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471">
      <pivotArea dataOnly="0" labelOnly="1" outline="0" fieldPosition="0">
        <references count="11">
          <reference field="0" count="1" selected="0">
            <x v="9"/>
          </reference>
          <reference field="1" count="1">
            <x v="5166"/>
          </reference>
          <reference field="3" count="1" selected="0">
            <x v="0"/>
          </reference>
          <reference field="4" count="1" selected="0">
            <x v="26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4"/>
          </reference>
        </references>
      </pivotArea>
    </format>
    <format dxfId="470">
      <pivotArea dataOnly="0" labelOnly="1" outline="0" fieldPosition="0">
        <references count="11">
          <reference field="0" count="1" selected="0">
            <x v="9"/>
          </reference>
          <reference field="1" count="1">
            <x v="5167"/>
          </reference>
          <reference field="3" count="1" selected="0">
            <x v="1844"/>
          </reference>
          <reference field="4" count="1" selected="0">
            <x v="26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469">
      <pivotArea dataOnly="0" labelOnly="1" outline="0" fieldPosition="0">
        <references count="11">
          <reference field="0" count="1" selected="0">
            <x v="9"/>
          </reference>
          <reference field="1" count="1">
            <x v="5168"/>
          </reference>
          <reference field="3" count="1" selected="0">
            <x v="1845"/>
          </reference>
          <reference field="4" count="1" selected="0">
            <x v="2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468">
      <pivotArea dataOnly="0" labelOnly="1" outline="0" fieldPosition="0">
        <references count="11">
          <reference field="0" count="1" selected="0">
            <x v="9"/>
          </reference>
          <reference field="1" count="1">
            <x v="5169"/>
          </reference>
          <reference field="3" count="1" selected="0">
            <x v="1846"/>
          </reference>
          <reference field="4" count="1" selected="0">
            <x v="26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467">
      <pivotArea dataOnly="0" labelOnly="1" outline="0" fieldPosition="0">
        <references count="11">
          <reference field="0" count="1" selected="0">
            <x v="10"/>
          </reference>
          <reference field="1" count="1">
            <x v="4408"/>
          </reference>
          <reference field="3" count="1" selected="0">
            <x v="0"/>
          </reference>
          <reference field="4" count="1" selected="0">
            <x v="22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66">
      <pivotArea dataOnly="0" labelOnly="1" outline="0" fieldPosition="0">
        <references count="11">
          <reference field="0" count="1" selected="0">
            <x v="10"/>
          </reference>
          <reference field="1" count="1">
            <x v="4579"/>
          </reference>
          <reference field="3" count="1" selected="0">
            <x v="0"/>
          </reference>
          <reference field="4" count="1" selected="0">
            <x v="23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"/>
          </reference>
        </references>
      </pivotArea>
    </format>
    <format dxfId="465">
      <pivotArea dataOnly="0" labelOnly="1" outline="0" fieldPosition="0">
        <references count="11">
          <reference field="0" count="1" selected="0">
            <x v="10"/>
          </reference>
          <reference field="1" count="1">
            <x v="4709"/>
          </reference>
          <reference field="3" count="1" selected="0">
            <x v="0"/>
          </reference>
          <reference field="4" count="1" selected="0">
            <x v="23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464">
      <pivotArea dataOnly="0" labelOnly="1" outline="0" fieldPosition="0">
        <references count="11">
          <reference field="0" count="1" selected="0">
            <x v="10"/>
          </reference>
          <reference field="1" count="1">
            <x v="4839"/>
          </reference>
          <reference field="3" count="1" selected="0">
            <x v="0"/>
          </reference>
          <reference field="4" count="1" selected="0">
            <x v="24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"/>
          </reference>
        </references>
      </pivotArea>
    </format>
    <format dxfId="463">
      <pivotArea dataOnly="0" labelOnly="1" outline="0" fieldPosition="0">
        <references count="11">
          <reference field="0" count="1" selected="0">
            <x v="10"/>
          </reference>
          <reference field="1" count="1">
            <x v="5024"/>
          </reference>
          <reference field="3" count="1" selected="0">
            <x v="0"/>
          </reference>
          <reference field="4" count="1" selected="0">
            <x v="25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62">
      <pivotArea dataOnly="0" labelOnly="1" outline="0" fieldPosition="0">
        <references count="11">
          <reference field="0" count="1" selected="0">
            <x v="10"/>
          </reference>
          <reference field="1" count="1">
            <x v="4837"/>
          </reference>
          <reference field="3" count="1" selected="0">
            <x v="1724"/>
          </reference>
          <reference field="4" count="1" selected="0">
            <x v="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61">
      <pivotArea dataOnly="0" labelOnly="1" outline="0" fieldPosition="0">
        <references count="11">
          <reference field="0" count="1" selected="0">
            <x v="10"/>
          </reference>
          <reference field="1" count="1">
            <x v="4754"/>
          </reference>
          <reference field="3" count="1" selected="0">
            <x v="46"/>
          </reference>
          <reference field="4" count="1" selected="0">
            <x v="24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60">
      <pivotArea dataOnly="0" labelOnly="1" outline="0" fieldPosition="0">
        <references count="11">
          <reference field="0" count="1" selected="0">
            <x v="10"/>
          </reference>
          <reference field="1" count="1">
            <x v="4836"/>
          </reference>
          <reference field="3" count="1" selected="0">
            <x v="1731"/>
          </reference>
          <reference field="4" count="1" selected="0">
            <x v="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"/>
          </reference>
        </references>
      </pivotArea>
    </format>
    <format dxfId="459">
      <pivotArea dataOnly="0" labelOnly="1" outline="0" fieldPosition="0">
        <references count="11">
          <reference field="0" count="1" selected="0">
            <x v="10"/>
          </reference>
          <reference field="1" count="1">
            <x v="3957"/>
          </reference>
          <reference field="3" count="1" selected="0">
            <x v="0"/>
          </reference>
          <reference field="4" count="1" selected="0">
            <x v="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58">
      <pivotArea dataOnly="0" labelOnly="1" outline="0" fieldPosition="0">
        <references count="11">
          <reference field="0" count="1" selected="0">
            <x v="10"/>
          </reference>
          <reference field="1" count="1">
            <x v="5131"/>
          </reference>
          <reference field="3" count="1" selected="0">
            <x v="0"/>
          </reference>
          <reference field="4" count="1" selected="0">
            <x v="2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9"/>
          </reference>
        </references>
      </pivotArea>
    </format>
    <format dxfId="457">
      <pivotArea dataOnly="0" labelOnly="1" outline="0" fieldPosition="0">
        <references count="11">
          <reference field="0" count="1" selected="0">
            <x v="10"/>
          </reference>
          <reference field="1" count="1">
            <x v="4640"/>
          </reference>
          <reference field="3" count="1" selected="0">
            <x v="0"/>
          </reference>
          <reference field="4" count="1" selected="0">
            <x v="23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"/>
          </reference>
        </references>
      </pivotArea>
    </format>
    <format dxfId="456">
      <pivotArea dataOnly="0" labelOnly="1" outline="0" fieldPosition="0">
        <references count="11">
          <reference field="0" count="1" selected="0">
            <x v="10"/>
          </reference>
          <reference field="1" count="1">
            <x v="4641"/>
          </reference>
          <reference field="3" count="1" selected="0">
            <x v="0"/>
          </reference>
          <reference field="4" count="1" selected="0">
            <x v="23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"/>
          </reference>
        </references>
      </pivotArea>
    </format>
    <format dxfId="455">
      <pivotArea dataOnly="0" labelOnly="1" outline="0" fieldPosition="0">
        <references count="11">
          <reference field="0" count="1" selected="0">
            <x v="10"/>
          </reference>
          <reference field="1" count="1">
            <x v="5130"/>
          </reference>
          <reference field="3" count="1" selected="0">
            <x v="0"/>
          </reference>
          <reference field="4" count="1" selected="0">
            <x v="263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454">
      <pivotArea dataOnly="0" labelOnly="1" outline="0" fieldPosition="0">
        <references count="11">
          <reference field="0" count="1" selected="0">
            <x v="11"/>
          </reference>
          <reference field="1" count="1">
            <x v="4823"/>
          </reference>
          <reference field="3" count="1" selected="0">
            <x v="1728"/>
          </reference>
          <reference field="4" count="1" selected="0">
            <x v="2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453">
      <pivotArea dataOnly="0" labelOnly="1" outline="0" fieldPosition="0">
        <references count="11">
          <reference field="0" count="1" selected="0">
            <x v="11"/>
          </reference>
          <reference field="1" count="1">
            <x v="5161"/>
          </reference>
          <reference field="3" count="1" selected="0">
            <x v="46"/>
          </reference>
          <reference field="4" count="1" selected="0">
            <x v="11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452">
      <pivotArea dataOnly="0" labelOnly="1" outline="0" fieldPosition="0">
        <references count="11">
          <reference field="0" count="1" selected="0">
            <x v="11"/>
          </reference>
          <reference field="1" count="1">
            <x v="5160"/>
          </reference>
          <reference field="3" count="1" selected="0">
            <x v="1842"/>
          </reference>
          <reference field="4" count="1" selected="0">
            <x v="264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20"/>
          </reference>
        </references>
      </pivotArea>
    </format>
    <format dxfId="451">
      <pivotArea dataOnly="0" labelOnly="1" outline="0" fieldPosition="0">
        <references count="11">
          <reference field="0" count="1" selected="0">
            <x v="11"/>
          </reference>
          <reference field="1" count="1">
            <x v="5162"/>
          </reference>
          <reference field="3" count="1" selected="0">
            <x v="1664"/>
          </reference>
          <reference field="4" count="1" selected="0">
            <x v="23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450">
      <pivotArea dataOnly="0" labelOnly="1" outline="0" fieldPosition="0">
        <references count="11">
          <reference field="0" count="1" selected="0">
            <x v="11"/>
          </reference>
          <reference field="1" count="1">
            <x v="5159"/>
          </reference>
          <reference field="3" count="1" selected="0">
            <x v="556"/>
          </reference>
          <reference field="4" count="1" selected="0">
            <x v="26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7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449">
      <pivotArea dataOnly="0" labelOnly="1" outline="0" fieldPosition="0">
        <references count="11">
          <reference field="0" count="1" selected="0">
            <x v="11"/>
          </reference>
          <reference field="1" count="1">
            <x v="5158"/>
          </reference>
          <reference field="3" count="1" selected="0">
            <x v="0"/>
          </reference>
          <reference field="4" count="1" selected="0">
            <x v="194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2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0"/>
          </reference>
        </references>
      </pivotArea>
    </format>
    <format dxfId="448">
      <pivotArea dataOnly="0" labelOnly="1" outline="0" fieldPosition="0">
        <references count="11">
          <reference field="0" count="1" selected="0">
            <x v="11"/>
          </reference>
          <reference field="1" count="1">
            <x v="4886"/>
          </reference>
          <reference field="3" count="1" selected="0">
            <x v="0"/>
          </reference>
          <reference field="4" count="1" selected="0">
            <x v="157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447">
      <pivotArea dataOnly="0" labelOnly="1" outline="0" fieldPosition="0">
        <references count="11">
          <reference field="0" count="1" selected="0">
            <x v="11"/>
          </reference>
          <reference field="1" count="1">
            <x v="4911"/>
          </reference>
          <reference field="3" count="1" selected="0">
            <x v="0"/>
          </reference>
          <reference field="4" count="1" selected="0">
            <x v="4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46">
      <pivotArea dataOnly="0" labelOnly="1" outline="0" fieldPosition="0">
        <references count="11">
          <reference field="0" count="1" selected="0">
            <x v="11"/>
          </reference>
          <reference field="1" count="1">
            <x v="5157"/>
          </reference>
          <reference field="3" count="1" selected="0">
            <x v="0"/>
          </reference>
          <reference field="4" count="1" selected="0">
            <x v="1585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3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445">
      <pivotArea dataOnly="0" labelOnly="1" outline="0" fieldPosition="0">
        <references count="11">
          <reference field="0" count="1" selected="0">
            <x v="11"/>
          </reference>
          <reference field="1" count="1">
            <x v="4833"/>
          </reference>
          <reference field="3" count="1" selected="0">
            <x v="2"/>
          </reference>
          <reference field="4" count="1" selected="0">
            <x v="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5"/>
          </reference>
          <reference field="13" count="1" selected="0">
            <x v="1"/>
          </reference>
          <reference field="16" count="1" selected="0">
            <x v="1"/>
          </reference>
          <reference field="18" count="1" selected="0">
            <x v="17"/>
          </reference>
        </references>
      </pivotArea>
    </format>
    <format dxfId="444">
      <pivotArea dataOnly="0" labelOnly="1" outline="0" fieldPosition="0">
        <references count="11">
          <reference field="0" count="1" selected="0">
            <x v="11"/>
          </reference>
          <reference field="1" count="1">
            <x v="4822"/>
          </reference>
          <reference field="3" count="1" selected="0">
            <x v="2"/>
          </reference>
          <reference field="4" count="1" selected="0">
            <x v="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443">
      <pivotArea dataOnly="0" labelOnly="1" outline="0" fieldPosition="0">
        <references count="11">
          <reference field="0" count="1" selected="0">
            <x v="11"/>
          </reference>
          <reference field="1" count="1">
            <x v="4824"/>
          </reference>
          <reference field="3" count="1" selected="0">
            <x v="1729"/>
          </reference>
          <reference field="4" count="1" selected="0">
            <x v="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3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442">
      <pivotArea dataOnly="0" labelOnly="1" outline="0" fieldPosition="0">
        <references count="11">
          <reference field="0" count="1" selected="0">
            <x v="11"/>
          </reference>
          <reference field="1" count="1">
            <x v="4821"/>
          </reference>
          <reference field="3" count="1" selected="0">
            <x v="1727"/>
          </reference>
          <reference field="4" count="1" selected="0">
            <x v="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3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3"/>
          </reference>
        </references>
      </pivotArea>
    </format>
    <format dxfId="441">
      <pivotArea dataOnly="0" labelOnly="1" outline="0" fieldPosition="0">
        <references count="11">
          <reference field="0" count="1" selected="0">
            <x v="11"/>
          </reference>
          <reference field="1" count="1">
            <x v="5022"/>
          </reference>
          <reference field="3" count="1" selected="0">
            <x v="2"/>
          </reference>
          <reference field="4" count="1" selected="0">
            <x v="25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7"/>
          </reference>
        </references>
      </pivotArea>
    </format>
    <format dxfId="440">
      <pivotArea dataOnly="0" labelOnly="1" outline="0" fieldPosition="0">
        <references count="11">
          <reference field="0" count="1" selected="0">
            <x v="12"/>
          </reference>
          <reference field="1" count="1">
            <x v="4814"/>
          </reference>
          <reference field="3" count="1" selected="0">
            <x v="1726"/>
          </reference>
          <reference field="4" count="1" selected="0">
            <x v="3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439">
      <pivotArea dataOnly="0" labelOnly="1" outline="0" fieldPosition="0">
        <references count="11">
          <reference field="0" count="1" selected="0">
            <x v="12"/>
          </reference>
          <reference field="1" count="1">
            <x v="5010"/>
          </reference>
          <reference field="3" count="1" selected="0">
            <x v="1786"/>
          </reference>
          <reference field="4" count="1" selected="0">
            <x v="20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1"/>
          </reference>
        </references>
      </pivotArea>
    </format>
    <format dxfId="438">
      <pivotArea dataOnly="0" labelOnly="1" outline="0" fieldPosition="0">
        <references count="11">
          <reference field="0" count="1" selected="0">
            <x v="12"/>
          </reference>
          <reference field="1" count="1">
            <x v="4813"/>
          </reference>
          <reference field="3" count="1" selected="0">
            <x v="1725"/>
          </reference>
          <reference field="4" count="1" selected="0">
            <x v="24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437">
      <pivotArea dataOnly="0" labelOnly="1" outline="0" fieldPosition="0">
        <references count="11">
          <reference field="0" count="1" selected="0">
            <x v="12"/>
          </reference>
          <reference field="1" count="1">
            <x v="4200"/>
          </reference>
          <reference field="3" count="1" selected="0">
            <x v="0"/>
          </reference>
          <reference field="4" count="1" selected="0">
            <x v="3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436">
      <pivotArea dataOnly="0" labelOnly="1" outline="0" fieldPosition="0">
        <references count="11">
          <reference field="0" count="1" selected="0">
            <x v="12"/>
          </reference>
          <reference field="1" count="1">
            <x v="4476"/>
          </reference>
          <reference field="3" count="1" selected="0">
            <x v="0"/>
          </reference>
          <reference field="4" count="1" selected="0">
            <x v="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435">
      <pivotArea dataOnly="0" labelOnly="1" outline="0" fieldPosition="0">
        <references count="11">
          <reference field="0" count="1" selected="0">
            <x v="12"/>
          </reference>
          <reference field="1" count="1">
            <x v="4666"/>
          </reference>
          <reference field="3" count="1" selected="0">
            <x v="0"/>
          </reference>
          <reference field="4" count="1" selected="0">
            <x v="13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34">
      <pivotArea dataOnly="0" labelOnly="1" outline="0" fieldPosition="0">
        <references count="11">
          <reference field="0" count="1" selected="0">
            <x v="12"/>
          </reference>
          <reference field="1" count="1">
            <x v="4810"/>
          </reference>
          <reference field="3" count="1" selected="0">
            <x v="1723"/>
          </reference>
          <reference field="4" count="1" selected="0">
            <x v="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433">
      <pivotArea dataOnly="0" labelOnly="1" outline="0" fieldPosition="0">
        <references count="11">
          <reference field="0" count="1" selected="0">
            <x v="12"/>
          </reference>
          <reference field="1" count="1">
            <x v="4808"/>
          </reference>
          <reference field="3" count="1" selected="0">
            <x v="1721"/>
          </reference>
          <reference field="4" count="1" selected="0">
            <x v="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432">
      <pivotArea dataOnly="0" labelOnly="1" outline="0" fieldPosition="0">
        <references count="11">
          <reference field="0" count="1" selected="0">
            <x v="12"/>
          </reference>
          <reference field="1" count="1">
            <x v="4809"/>
          </reference>
          <reference field="3" count="1" selected="0">
            <x v="1722"/>
          </reference>
          <reference field="4" count="1" selected="0">
            <x v="3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431">
      <pivotArea dataOnly="0" labelOnly="1" outline="0" fieldPosition="0">
        <references count="11">
          <reference field="0" count="1" selected="0">
            <x v="12"/>
          </reference>
          <reference field="1" count="1">
            <x v="5005"/>
          </reference>
          <reference field="3" count="1" selected="0">
            <x v="1140"/>
          </reference>
          <reference field="4" count="1" selected="0">
            <x v="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430">
      <pivotArea dataOnly="0" labelOnly="1" outline="0" fieldPosition="0">
        <references count="11">
          <reference field="0" count="1" selected="0">
            <x v="12"/>
          </reference>
          <reference field="1" count="1">
            <x v="4806"/>
          </reference>
          <reference field="3" count="1" selected="0">
            <x v="0"/>
          </reference>
          <reference field="4" count="1" selected="0">
            <x v="24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429">
      <pivotArea dataOnly="0" labelOnly="1" outline="0" fieldPosition="0">
        <references count="11">
          <reference field="0" count="1" selected="0">
            <x v="12"/>
          </reference>
          <reference field="1" count="1">
            <x v="4935"/>
          </reference>
          <reference field="3" count="1" selected="0">
            <x v="1767"/>
          </reference>
          <reference field="4" count="1" selected="0">
            <x v="250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28">
      <pivotArea dataOnly="0" labelOnly="1" outline="0" fieldPosition="0">
        <references count="11">
          <reference field="0" count="1" selected="0">
            <x v="12"/>
          </reference>
          <reference field="1" count="1">
            <x v="4936"/>
          </reference>
          <reference field="3" count="1" selected="0">
            <x v="1768"/>
          </reference>
          <reference field="4" count="1" selected="0">
            <x v="25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5"/>
          </reference>
        </references>
      </pivotArea>
    </format>
    <format dxfId="427">
      <pivotArea dataOnly="0" labelOnly="1" outline="0" fieldPosition="0">
        <references count="11">
          <reference field="0" count="1" selected="0">
            <x v="12"/>
          </reference>
          <reference field="1" count="1">
            <x v="5003"/>
          </reference>
          <reference field="3" count="1" selected="0">
            <x v="0"/>
          </reference>
          <reference field="4" count="1" selected="0">
            <x v="25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426">
      <pivotArea dataOnly="0" labelOnly="1" outline="0" fieldPosition="0">
        <references count="11">
          <reference field="0" count="1" selected="0">
            <x v="12"/>
          </reference>
          <reference field="1" count="1">
            <x v="5076"/>
          </reference>
          <reference field="3" count="1" selected="0">
            <x v="0"/>
          </reference>
          <reference field="4" count="1" selected="0">
            <x v="2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425">
      <pivotArea dataOnly="0" labelOnly="1" outline="0" fieldPosition="0">
        <references count="11">
          <reference field="0" count="1" selected="0">
            <x v="12"/>
          </reference>
          <reference field="1" count="1">
            <x v="5110"/>
          </reference>
          <reference field="3" count="1" selected="0">
            <x v="0"/>
          </reference>
          <reference field="4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424">
      <pivotArea dataOnly="0" labelOnly="1" outline="0" fieldPosition="0">
        <references count="11">
          <reference field="0" count="1" selected="0">
            <x v="12"/>
          </reference>
          <reference field="1" count="1">
            <x v="5111"/>
          </reference>
          <reference field="3" count="1" selected="0">
            <x v="1833"/>
          </reference>
          <reference field="4" count="1" selected="0">
            <x v="262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1"/>
          </reference>
        </references>
      </pivotArea>
    </format>
    <format dxfId="423">
      <pivotArea dataOnly="0" labelOnly="1" outline="0" fieldPosition="0">
        <references count="11">
          <reference field="0" count="1" selected="0">
            <x v="12"/>
          </reference>
          <reference field="1" count="1">
            <x v="5154"/>
          </reference>
          <reference field="3" count="1" selected="0">
            <x v="1720"/>
          </reference>
          <reference field="4" count="1" selected="0">
            <x v="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422">
      <pivotArea dataOnly="0" labelOnly="1" outline="0" fieldPosition="0">
        <references count="11">
          <reference field="0" count="1" selected="0">
            <x v="12"/>
          </reference>
          <reference field="1" count="1">
            <x v="5152"/>
          </reference>
          <reference field="3" count="1" selected="0">
            <x v="1673"/>
          </reference>
          <reference field="4" count="1" selected="0">
            <x v="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421">
      <pivotArea dataOnly="0" labelOnly="1" outline="0" fieldPosition="0">
        <references count="11">
          <reference field="0" count="1" selected="0">
            <x v="12"/>
          </reference>
          <reference field="1" count="1">
            <x v="5153"/>
          </reference>
          <reference field="3" count="1" selected="0">
            <x v="1742"/>
          </reference>
          <reference field="4" count="1" selected="0">
            <x v="5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9"/>
          </reference>
        </references>
      </pivotArea>
    </format>
    <format dxfId="420">
      <pivotArea dataOnly="0" labelOnly="1" outline="0" fieldPosition="0">
        <references count="11">
          <reference field="0" count="1" selected="0">
            <x v="12"/>
          </reference>
          <reference field="1" count="1">
            <x v="4621"/>
          </reference>
          <reference field="3" count="1" selected="0">
            <x v="0"/>
          </reference>
          <reference field="4" count="1" selected="0">
            <x v="11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419">
      <pivotArea dataOnly="0" labelOnly="1" outline="0" fieldPosition="0">
        <references count="11">
          <reference field="0" count="1" selected="0">
            <x v="12"/>
          </reference>
          <reference field="1" count="1">
            <x v="5001"/>
          </reference>
          <reference field="3" count="1" selected="0">
            <x v="0"/>
          </reference>
          <reference field="4" count="1" selected="0">
            <x v="16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1"/>
          </reference>
        </references>
      </pivotArea>
    </format>
    <format dxfId="418">
      <pivotArea dataOnly="0" labelOnly="1" outline="0" fieldPosition="0">
        <references count="11">
          <reference field="0" count="1" selected="0">
            <x v="12"/>
          </reference>
          <reference field="1" count="1">
            <x v="4998"/>
          </reference>
          <reference field="3" count="1" selected="0">
            <x v="1785"/>
          </reference>
          <reference field="4" count="1" selected="0">
            <x v="22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417">
      <pivotArea dataOnly="0" labelOnly="1" outline="0" fieldPosition="0">
        <references count="11">
          <reference field="0" count="1" selected="0">
            <x v="12"/>
          </reference>
          <reference field="1" count="1">
            <x v="4999"/>
          </reference>
          <reference field="3" count="1" selected="0">
            <x v="1282"/>
          </reference>
          <reference field="4" count="1" selected="0">
            <x v="222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416">
      <pivotArea dataOnly="0" labelOnly="1" outline="0" fieldPosition="0">
        <references count="11">
          <reference field="0" count="1" selected="0">
            <x v="12"/>
          </reference>
          <reference field="1" count="1">
            <x v="4934"/>
          </reference>
          <reference field="3" count="1" selected="0">
            <x v="0"/>
          </reference>
          <reference field="4" count="1" selected="0">
            <x v="25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415">
      <pivotArea dataOnly="0" labelOnly="1" outline="0" fieldPosition="0">
        <references count="11">
          <reference field="0" count="1" selected="0">
            <x v="12"/>
          </reference>
          <reference field="1" count="1">
            <x v="5000"/>
          </reference>
          <reference field="3" count="1" selected="0">
            <x v="0"/>
          </reference>
          <reference field="4" count="1" selected="0">
            <x v="25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414">
      <pivotArea dataOnly="0" labelOnly="1" outline="0" fieldPosition="0">
        <references count="11">
          <reference field="0" count="1" selected="0">
            <x v="12"/>
          </reference>
          <reference field="1" count="1">
            <x v="5108"/>
          </reference>
          <reference field="3" count="1" selected="0">
            <x v="0"/>
          </reference>
          <reference field="4" count="1" selected="0">
            <x v="26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413">
      <pivotArea dataOnly="0" labelOnly="1" outline="0" fieldPosition="0">
        <references count="11">
          <reference field="0" count="1" selected="0">
            <x v="12"/>
          </reference>
          <reference field="1" count="1">
            <x v="4799"/>
          </reference>
          <reference field="3" count="1" selected="0">
            <x v="1718"/>
          </reference>
          <reference field="4" count="1" selected="0">
            <x v="4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412">
      <pivotArea dataOnly="0" labelOnly="1" outline="0" fieldPosition="0">
        <references count="11">
          <reference field="0" count="1" selected="0">
            <x v="12"/>
          </reference>
          <reference field="1" count="1">
            <x v="4997"/>
          </reference>
          <reference field="3" count="1" selected="0">
            <x v="0"/>
          </reference>
          <reference field="4" count="1" selected="0">
            <x v="1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411">
      <pivotArea dataOnly="0" labelOnly="1" outline="0" fieldPosition="0">
        <references count="11">
          <reference field="0" count="1" selected="0">
            <x v="12"/>
          </reference>
          <reference field="1" count="1">
            <x v="5151"/>
          </reference>
          <reference field="3" count="1" selected="0">
            <x v="1841"/>
          </reference>
          <reference field="4" count="1" selected="0">
            <x v="4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410">
      <pivotArea dataOnly="0" labelOnly="1" outline="0" fieldPosition="0">
        <references count="11">
          <reference field="0" count="1" selected="0">
            <x v="12"/>
          </reference>
          <reference field="1" count="1">
            <x v="4995"/>
          </reference>
          <reference field="3" count="1" selected="0">
            <x v="0"/>
          </reference>
          <reference field="4" count="1" selected="0">
            <x v="25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409">
      <pivotArea dataOnly="0" labelOnly="1" outline="0" fieldPosition="0">
        <references count="11">
          <reference field="0" count="1" selected="0">
            <x v="12"/>
          </reference>
          <reference field="1" count="1">
            <x v="4996"/>
          </reference>
          <reference field="3" count="1" selected="0">
            <x v="1784"/>
          </reference>
          <reference field="4" count="1" selected="0">
            <x v="25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408">
      <pivotArea dataOnly="0" labelOnly="1" outline="0" fieldPosition="0">
        <references count="11">
          <reference field="0" count="1" selected="0">
            <x v="12"/>
          </reference>
          <reference field="1" count="1">
            <x v="5150"/>
          </reference>
          <reference field="3" count="1" selected="0">
            <x v="0"/>
          </reference>
          <reference field="4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407">
      <pivotArea dataOnly="0" labelOnly="1" outline="0" fieldPosition="0">
        <references count="11">
          <reference field="0" count="1" selected="0">
            <x v="12"/>
          </reference>
          <reference field="1" count="1">
            <x v="4994"/>
          </reference>
          <reference field="3" count="1" selected="0">
            <x v="0"/>
          </reference>
          <reference field="4" count="1" selected="0">
            <x v="19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406">
      <pivotArea dataOnly="0" labelOnly="1" outline="0" fieldPosition="0">
        <references count="11">
          <reference field="0" count="1" selected="0">
            <x v="12"/>
          </reference>
          <reference field="1" count="1">
            <x v="5106"/>
          </reference>
          <reference field="3" count="1" selected="0">
            <x v="0"/>
          </reference>
          <reference field="4" count="1" selected="0">
            <x v="1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405">
      <pivotArea dataOnly="0" labelOnly="1" outline="0" fieldPosition="0">
        <references count="11">
          <reference field="0" count="1" selected="0">
            <x v="12"/>
          </reference>
          <reference field="1" count="1">
            <x v="4852"/>
          </reference>
          <reference field="3" count="1" selected="0">
            <x v="0"/>
          </reference>
          <reference field="4" count="1" selected="0">
            <x v="2231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404">
      <pivotArea dataOnly="0" labelOnly="1" outline="0" fieldPosition="0">
        <references count="11">
          <reference field="0" count="1" selected="0">
            <x v="12"/>
          </reference>
          <reference field="1" count="1">
            <x v="4796"/>
          </reference>
          <reference field="3" count="1" selected="0">
            <x v="0"/>
          </reference>
          <reference field="4" count="1" selected="0">
            <x v="24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403">
      <pivotArea dataOnly="0" labelOnly="1" outline="0" fieldPosition="0">
        <references count="11">
          <reference field="0" count="1" selected="0">
            <x v="12"/>
          </reference>
          <reference field="1" count="1">
            <x v="4992"/>
          </reference>
          <reference field="3" count="1" selected="0">
            <x v="0"/>
          </reference>
          <reference field="4" count="1" selected="0">
            <x v="25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402">
      <pivotArea dataOnly="0" labelOnly="1" outline="0" fieldPosition="0">
        <references count="11">
          <reference field="0" count="1" selected="0">
            <x v="12"/>
          </reference>
          <reference field="1" count="1">
            <x v="4993"/>
          </reference>
          <reference field="3" count="1" selected="0">
            <x v="0"/>
          </reference>
          <reference field="4" count="1" selected="0">
            <x v="25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401">
      <pivotArea dataOnly="0" labelOnly="1" outline="0" fieldPosition="0">
        <references count="11">
          <reference field="0" count="1" selected="0">
            <x v="12"/>
          </reference>
          <reference field="1" count="1">
            <x v="5013"/>
          </reference>
          <reference field="3" count="1" selected="0">
            <x v="0"/>
          </reference>
          <reference field="4" count="1" selected="0">
            <x v="25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400">
      <pivotArea dataOnly="0" labelOnly="1" outline="0" fieldPosition="0">
        <references count="11">
          <reference field="0" count="1" selected="0">
            <x v="12"/>
          </reference>
          <reference field="1" count="1">
            <x v="5156"/>
          </reference>
          <reference field="3" count="1" selected="0">
            <x v="0"/>
          </reference>
          <reference field="4" count="1" selected="0">
            <x v="26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399">
      <pivotArea dataOnly="0" labelOnly="1" outline="0" fieldPosition="0">
        <references count="11">
          <reference field="0" count="1" selected="0">
            <x v="12"/>
          </reference>
          <reference field="1" count="1">
            <x v="5148"/>
          </reference>
          <reference field="3" count="1" selected="0">
            <x v="0"/>
          </reference>
          <reference field="4" count="1" selected="0">
            <x v="26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98">
      <pivotArea dataOnly="0" labelOnly="1" outline="0" fieldPosition="0">
        <references count="11">
          <reference field="0" count="1" selected="0">
            <x v="12"/>
          </reference>
          <reference field="1" count="1">
            <x v="5149"/>
          </reference>
          <reference field="3" count="1" selected="0">
            <x v="0"/>
          </reference>
          <reference field="4" count="1" selected="0">
            <x v="26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397">
      <pivotArea dataOnly="0" labelOnly="1" outline="0" fieldPosition="0">
        <references count="11">
          <reference field="0" count="1" selected="0">
            <x v="12"/>
          </reference>
          <reference field="1" count="1">
            <x v="5155"/>
          </reference>
          <reference field="3" count="1" selected="0">
            <x v="0"/>
          </reference>
          <reference field="4" count="1" selected="0">
            <x v="36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396">
      <pivotArea dataOnly="0" labelOnly="1" outline="0" fieldPosition="0">
        <references count="11">
          <reference field="0" count="1" selected="0">
            <x v="12"/>
          </reference>
          <reference field="1" count="1">
            <x v="4472"/>
          </reference>
          <reference field="3" count="1" selected="0">
            <x v="0"/>
          </reference>
          <reference field="4" count="1" selected="0">
            <x v="22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395">
      <pivotArea dataOnly="0" labelOnly="1" outline="0" axis="axisValues" fieldPosition="0"/>
    </format>
    <format dxfId="394">
      <pivotArea dataOnly="0" outline="0" fieldPosition="0">
        <references count="1">
          <reference field="12" count="0" defaultSubtotal="1"/>
        </references>
      </pivotArea>
    </format>
    <format dxfId="393">
      <pivotArea outline="0" collapsedLevelsAreSubtotals="1" fieldPosition="0"/>
    </format>
    <format dxfId="392">
      <pivotArea dataOnly="0" labelOnly="1" outline="0" axis="axisValues" fieldPosition="0"/>
    </format>
    <format dxfId="391">
      <pivotArea dataOnly="0" outline="0" fieldPosition="0">
        <references count="1">
          <reference field="12" count="0" defaultSubtotal="1"/>
        </references>
      </pivotArea>
    </format>
    <format dxfId="390">
      <pivotArea dataOnly="0" labelOnly="1" outline="0" fieldPosition="0">
        <references count="1">
          <reference field="0" count="0"/>
        </references>
      </pivotArea>
    </format>
    <format dxfId="389">
      <pivotArea type="all" dataOnly="0" outline="0" fieldPosition="0"/>
    </format>
    <format dxfId="388">
      <pivotArea outline="0" collapsedLevelsAreSubtotals="1" fieldPosition="0"/>
    </format>
    <format dxfId="387">
      <pivotArea field="0" type="button" dataOnly="0" labelOnly="1" outline="0" axis="axisRow" fieldPosition="0"/>
    </format>
    <format dxfId="386">
      <pivotArea field="12" type="button" dataOnly="0" labelOnly="1" outline="0" axis="axisRow" fieldPosition="1"/>
    </format>
    <format dxfId="385">
      <pivotArea field="10" type="button" dataOnly="0" labelOnly="1" outline="0" axis="axisRow" fieldPosition="2"/>
    </format>
    <format dxfId="384">
      <pivotArea field="4" type="button" dataOnly="0" labelOnly="1" outline="0" axis="axisRow" fieldPosition="3"/>
    </format>
    <format dxfId="383">
      <pivotArea field="13" type="button" dataOnly="0" labelOnly="1" outline="0" axis="axisRow" fieldPosition="4"/>
    </format>
    <format dxfId="382">
      <pivotArea field="16" type="button" dataOnly="0" labelOnly="1" outline="0" axis="axisRow" fieldPosition="5"/>
    </format>
    <format dxfId="381">
      <pivotArea field="18" type="button" dataOnly="0" labelOnly="1" outline="0" axis="axisRow" fieldPosition="6"/>
    </format>
    <format dxfId="380">
      <pivotArea field="9" type="button" dataOnly="0" labelOnly="1" outline="0" axis="axisRow" fieldPosition="7"/>
    </format>
    <format dxfId="379">
      <pivotArea field="7" type="button" dataOnly="0" labelOnly="1" outline="0" axis="axisRow" fieldPosition="8"/>
    </format>
    <format dxfId="378">
      <pivotArea field="3" type="button" dataOnly="0" labelOnly="1" outline="0" axis="axisRow" fieldPosition="9"/>
    </format>
    <format dxfId="377">
      <pivotArea field="1" type="button" dataOnly="0" labelOnly="1" outline="0" axis="axisRow" fieldPosition="10"/>
    </format>
    <format dxfId="376">
      <pivotArea dataOnly="0" labelOnly="1" outline="0" fieldPosition="0">
        <references count="1">
          <reference field="0" count="0"/>
        </references>
      </pivotArea>
    </format>
    <format dxfId="375">
      <pivotArea dataOnly="0" labelOnly="1" outline="0" fieldPosition="0">
        <references count="2">
          <reference field="0" count="1" selected="0">
            <x v="0"/>
          </reference>
          <reference field="12" count="2">
            <x v="2"/>
            <x v="3"/>
          </reference>
        </references>
      </pivotArea>
    </format>
    <format dxfId="374">
      <pivotArea dataOnly="0" labelOnly="1" outline="0" fieldPosition="0">
        <references count="2">
          <reference field="0" count="1" selected="0">
            <x v="0"/>
          </reference>
          <reference field="12" count="2" defaultSubtotal="1">
            <x v="2"/>
            <x v="3"/>
          </reference>
        </references>
      </pivotArea>
    </format>
    <format dxfId="373">
      <pivotArea dataOnly="0" labelOnly="1" outline="0" fieldPosition="0">
        <references count="2">
          <reference field="0" count="1" selected="0">
            <x v="9"/>
          </reference>
          <reference field="12" count="1">
            <x v="0"/>
          </reference>
        </references>
      </pivotArea>
    </format>
    <format dxfId="372">
      <pivotArea dataOnly="0" labelOnly="1" outline="0" fieldPosition="0">
        <references count="2">
          <reference field="0" count="1" selected="0">
            <x v="9"/>
          </reference>
          <reference field="12" count="1" defaultSubtotal="1">
            <x v="0"/>
          </reference>
        </references>
      </pivotArea>
    </format>
    <format dxfId="371">
      <pivotArea dataOnly="0" labelOnly="1" outline="0" fieldPosition="0">
        <references count="2">
          <reference field="0" count="1" selected="0">
            <x v="10"/>
          </reference>
          <reference field="12" count="1">
            <x v="0"/>
          </reference>
        </references>
      </pivotArea>
    </format>
    <format dxfId="370">
      <pivotArea dataOnly="0" labelOnly="1" outline="0" fieldPosition="0">
        <references count="2">
          <reference field="0" count="1" selected="0">
            <x v="10"/>
          </reference>
          <reference field="12" count="1" defaultSubtotal="1">
            <x v="0"/>
          </reference>
        </references>
      </pivotArea>
    </format>
    <format dxfId="369">
      <pivotArea dataOnly="0" labelOnly="1" outline="0" fieldPosition="0">
        <references count="2">
          <reference field="0" count="1" selected="0">
            <x v="11"/>
          </reference>
          <reference field="12" count="13">
            <x v="0"/>
            <x v="4"/>
            <x v="5"/>
            <x v="15"/>
            <x v="23"/>
            <x v="26"/>
            <x v="27"/>
            <x v="28"/>
            <x v="33"/>
            <x v="35"/>
            <x v="38"/>
            <x v="39"/>
            <x v="40"/>
          </reference>
        </references>
      </pivotArea>
    </format>
    <format dxfId="368">
      <pivotArea dataOnly="0" labelOnly="1" outline="0" fieldPosition="0">
        <references count="2">
          <reference field="0" count="1" selected="0">
            <x v="11"/>
          </reference>
          <reference field="12" count="13" defaultSubtotal="1">
            <x v="0"/>
            <x v="4"/>
            <x v="5"/>
            <x v="15"/>
            <x v="23"/>
            <x v="26"/>
            <x v="27"/>
            <x v="28"/>
            <x v="33"/>
            <x v="35"/>
            <x v="38"/>
            <x v="39"/>
            <x v="40"/>
          </reference>
        </references>
      </pivotArea>
    </format>
    <format dxfId="367">
      <pivotArea dataOnly="0" labelOnly="1" outline="0" fieldPosition="0">
        <references count="2">
          <reference field="0" count="1" selected="0">
            <x v="12"/>
          </reference>
          <reference field="12" count="1">
            <x v="0"/>
          </reference>
        </references>
      </pivotArea>
    </format>
    <format dxfId="366">
      <pivotArea dataOnly="0" labelOnly="1" outline="0" fieldPosition="0">
        <references count="2">
          <reference field="0" count="1" selected="0">
            <x v="12"/>
          </reference>
          <reference field="12" count="1" defaultSubtotal="1">
            <x v="0"/>
          </reference>
        </references>
      </pivotArea>
    </format>
    <format dxfId="365">
      <pivotArea dataOnly="0" labelOnly="1" outline="0" fieldPosition="0">
        <references count="3">
          <reference field="0" count="1" selected="0">
            <x v="0"/>
          </reference>
          <reference field="10" count="1">
            <x v="21"/>
          </reference>
          <reference field="12" count="1" selected="0">
            <x v="2"/>
          </reference>
        </references>
      </pivotArea>
    </format>
    <format dxfId="364">
      <pivotArea dataOnly="0" labelOnly="1" outline="0" fieldPosition="0">
        <references count="3">
          <reference field="0" count="1" selected="0">
            <x v="0"/>
          </reference>
          <reference field="10" count="1">
            <x v="21"/>
          </reference>
          <reference field="12" count="1" selected="0">
            <x v="3"/>
          </reference>
        </references>
      </pivotArea>
    </format>
    <format dxfId="363">
      <pivotArea dataOnly="0" labelOnly="1" outline="0" fieldPosition="0">
        <references count="3">
          <reference field="0" count="1" selected="0">
            <x v="9"/>
          </reference>
          <reference field="10" count="1">
            <x v="16"/>
          </reference>
          <reference field="12" count="1" selected="0">
            <x v="0"/>
          </reference>
        </references>
      </pivotArea>
    </format>
    <format dxfId="362">
      <pivotArea dataOnly="0" labelOnly="1" outline="0" fieldPosition="0">
        <references count="3">
          <reference field="0" count="1" selected="0">
            <x v="10"/>
          </reference>
          <reference field="10" count="7">
            <x v="5"/>
            <x v="6"/>
            <x v="7"/>
            <x v="23"/>
            <x v="28"/>
            <x v="62"/>
            <x v="68"/>
          </reference>
          <reference field="12" count="1" selected="0">
            <x v="0"/>
          </reference>
        </references>
      </pivotArea>
    </format>
    <format dxfId="361">
      <pivotArea dataOnly="0" labelOnly="1" outline="0" fieldPosition="0">
        <references count="3">
          <reference field="0" count="1" selected="0">
            <x v="11"/>
          </reference>
          <reference field="10" count="1">
            <x v="20"/>
          </reference>
          <reference field="12" count="1" selected="0">
            <x v="0"/>
          </reference>
        </references>
      </pivotArea>
    </format>
    <format dxfId="360">
      <pivotArea dataOnly="0" labelOnly="1" outline="0" fieldPosition="0">
        <references count="3">
          <reference field="0" count="1" selected="0">
            <x v="11"/>
          </reference>
          <reference field="10" count="1">
            <x v="19"/>
          </reference>
          <reference field="12" count="1" selected="0">
            <x v="4"/>
          </reference>
        </references>
      </pivotArea>
    </format>
    <format dxfId="359">
      <pivotArea dataOnly="0" labelOnly="1" outline="0" fieldPosition="0">
        <references count="3">
          <reference field="0" count="1" selected="0">
            <x v="11"/>
          </reference>
          <reference field="10" count="1">
            <x v="63"/>
          </reference>
          <reference field="12" count="1" selected="0">
            <x v="5"/>
          </reference>
        </references>
      </pivotArea>
    </format>
    <format dxfId="358">
      <pivotArea dataOnly="0" labelOnly="1" outline="0" fieldPosition="0">
        <references count="3">
          <reference field="0" count="1" selected="0">
            <x v="11"/>
          </reference>
          <reference field="10" count="1">
            <x v="19"/>
          </reference>
          <reference field="12" count="1" selected="0">
            <x v="15"/>
          </reference>
        </references>
      </pivotArea>
    </format>
    <format dxfId="357">
      <pivotArea dataOnly="0" labelOnly="1" outline="0" fieldPosition="0">
        <references count="3">
          <reference field="0" count="1" selected="0">
            <x v="11"/>
          </reference>
          <reference field="10" count="1">
            <x v="37"/>
          </reference>
          <reference field="12" count="1" selected="0">
            <x v="23"/>
          </reference>
        </references>
      </pivotArea>
    </format>
    <format dxfId="356">
      <pivotArea dataOnly="0" labelOnly="1" outline="0" fieldPosition="0">
        <references count="3">
          <reference field="0" count="1" selected="0">
            <x v="11"/>
          </reference>
          <reference field="10" count="1">
            <x v="22"/>
          </reference>
          <reference field="12" count="1" selected="0">
            <x v="26"/>
          </reference>
        </references>
      </pivotArea>
    </format>
    <format dxfId="355">
      <pivotArea dataOnly="0" labelOnly="1" outline="0" fieldPosition="0">
        <references count="3">
          <reference field="0" count="1" selected="0">
            <x v="11"/>
          </reference>
          <reference field="10" count="1">
            <x v="0"/>
          </reference>
          <reference field="12" count="1" selected="0">
            <x v="27"/>
          </reference>
        </references>
      </pivotArea>
    </format>
    <format dxfId="354">
      <pivotArea dataOnly="0" labelOnly="1" outline="0" fieldPosition="0">
        <references count="3">
          <reference field="0" count="1" selected="0">
            <x v="11"/>
          </reference>
          <reference field="10" count="1">
            <x v="22"/>
          </reference>
          <reference field="12" count="1" selected="0">
            <x v="28"/>
          </reference>
        </references>
      </pivotArea>
    </format>
    <format dxfId="353">
      <pivotArea dataOnly="0" labelOnly="1" outline="0" fieldPosition="0">
        <references count="3">
          <reference field="0" count="1" selected="0">
            <x v="11"/>
          </reference>
          <reference field="10" count="1">
            <x v="22"/>
          </reference>
          <reference field="12" count="1" selected="0">
            <x v="33"/>
          </reference>
        </references>
      </pivotArea>
    </format>
    <format dxfId="352">
      <pivotArea dataOnly="0" labelOnly="1" outline="0" fieldPosition="0">
        <references count="3">
          <reference field="0" count="1" selected="0">
            <x v="11"/>
          </reference>
          <reference field="10" count="1">
            <x v="0"/>
          </reference>
          <reference field="12" count="1" selected="0">
            <x v="35"/>
          </reference>
        </references>
      </pivotArea>
    </format>
    <format dxfId="351">
      <pivotArea dataOnly="0" labelOnly="1" outline="0" fieldPosition="0">
        <references count="3">
          <reference field="0" count="1" selected="0">
            <x v="11"/>
          </reference>
          <reference field="10" count="1">
            <x v="20"/>
          </reference>
          <reference field="12" count="1" selected="0">
            <x v="38"/>
          </reference>
        </references>
      </pivotArea>
    </format>
    <format dxfId="350">
      <pivotArea dataOnly="0" labelOnly="1" outline="0" fieldPosition="0">
        <references count="3">
          <reference field="0" count="1" selected="0">
            <x v="11"/>
          </reference>
          <reference field="10" count="2">
            <x v="20"/>
            <x v="21"/>
          </reference>
          <reference field="12" count="1" selected="0">
            <x v="39"/>
          </reference>
        </references>
      </pivotArea>
    </format>
    <format dxfId="349">
      <pivotArea dataOnly="0" labelOnly="1" outline="0" fieldPosition="0">
        <references count="3">
          <reference field="0" count="1" selected="0">
            <x v="11"/>
          </reference>
          <reference field="10" count="1">
            <x v="0"/>
          </reference>
          <reference field="12" count="1" selected="0">
            <x v="40"/>
          </reference>
        </references>
      </pivotArea>
    </format>
    <format dxfId="348">
      <pivotArea dataOnly="0" labelOnly="1" outline="0" fieldPosition="0">
        <references count="3">
          <reference field="0" count="1" selected="0">
            <x v="12"/>
          </reference>
          <reference field="10" count="17">
            <x v="1"/>
            <x v="2"/>
            <x v="3"/>
            <x v="4"/>
            <x v="8"/>
            <x v="9"/>
            <x v="10"/>
            <x v="11"/>
            <x v="12"/>
            <x v="13"/>
            <x v="14"/>
            <x v="15"/>
            <x v="25"/>
            <x v="31"/>
            <x v="34"/>
            <x v="40"/>
            <x v="42"/>
          </reference>
          <reference field="12" count="1" selected="0">
            <x v="0"/>
          </reference>
        </references>
      </pivotArea>
    </format>
    <format dxfId="347">
      <pivotArea dataOnly="0" labelOnly="1" outline="0" fieldPosition="0">
        <references count="4">
          <reference field="0" count="1" selected="0">
            <x v="0"/>
          </reference>
          <reference field="4" count="1">
            <x v="2"/>
          </reference>
          <reference field="10" count="1" selected="0">
            <x v="21"/>
          </reference>
          <reference field="12" count="1" selected="0">
            <x v="2"/>
          </reference>
        </references>
      </pivotArea>
    </format>
    <format dxfId="346">
      <pivotArea dataOnly="0" labelOnly="1" outline="0" fieldPosition="0">
        <references count="4">
          <reference field="0" count="1" selected="0">
            <x v="0"/>
          </reference>
          <reference field="4" count="1">
            <x v="120"/>
          </reference>
          <reference field="10" count="1" selected="0">
            <x v="21"/>
          </reference>
          <reference field="12" count="1" selected="0">
            <x v="3"/>
          </reference>
        </references>
      </pivotArea>
    </format>
    <format dxfId="345">
      <pivotArea dataOnly="0" labelOnly="1" outline="0" fieldPosition="0">
        <references count="4">
          <reference field="0" count="1" selected="0">
            <x v="9"/>
          </reference>
          <reference field="4" count="7">
            <x v="2650"/>
            <x v="2651"/>
            <x v="2652"/>
            <x v="2653"/>
            <x v="2654"/>
            <x v="2655"/>
            <x v="2656"/>
          </reference>
          <reference field="10" count="1" selected="0">
            <x v="16"/>
          </reference>
          <reference field="12" count="1" selected="0">
            <x v="0"/>
          </reference>
        </references>
      </pivotArea>
    </format>
    <format dxfId="344">
      <pivotArea dataOnly="0" labelOnly="1" outline="0" fieldPosition="0">
        <references count="4">
          <reference field="0" count="1" selected="0">
            <x v="10"/>
          </reference>
          <reference field="4" count="5">
            <x v="2245"/>
            <x v="2328"/>
            <x v="2393"/>
            <x v="2460"/>
            <x v="2559"/>
          </reference>
          <reference field="10" count="1" selected="0">
            <x v="5"/>
          </reference>
          <reference field="12" count="1" selected="0">
            <x v="0"/>
          </reference>
        </references>
      </pivotArea>
    </format>
    <format dxfId="343">
      <pivotArea dataOnly="0" labelOnly="1" outline="0" fieldPosition="0">
        <references count="4">
          <reference field="0" count="1" selected="0">
            <x v="10"/>
          </reference>
          <reference field="4" count="2">
            <x v="4"/>
            <x v="2419"/>
          </reference>
          <reference field="10" count="1" selected="0">
            <x v="6"/>
          </reference>
          <reference field="12" count="1" selected="0">
            <x v="0"/>
          </reference>
        </references>
      </pivotArea>
    </format>
    <format dxfId="342">
      <pivotArea dataOnly="0" labelOnly="1" outline="0" fieldPosition="0">
        <references count="4">
          <reference field="0" count="1" selected="0">
            <x v="10"/>
          </reference>
          <reference field="4" count="1">
            <x v="2"/>
          </reference>
          <reference field="10" count="1" selected="0">
            <x v="7"/>
          </reference>
          <reference field="12" count="1" selected="0">
            <x v="0"/>
          </reference>
        </references>
      </pivotArea>
    </format>
    <format dxfId="341">
      <pivotArea dataOnly="0" labelOnly="1" outline="0" fieldPosition="0">
        <references count="4">
          <reference field="0" count="1" selected="0">
            <x v="10"/>
          </reference>
          <reference field="4" count="1">
            <x v="19"/>
          </reference>
          <reference field="10" count="1" selected="0">
            <x v="23"/>
          </reference>
          <reference field="12" count="1" selected="0">
            <x v="0"/>
          </reference>
        </references>
      </pivotArea>
    </format>
    <format dxfId="340">
      <pivotArea dataOnly="0" labelOnly="1" outline="0" fieldPosition="0">
        <references count="4">
          <reference field="0" count="1" selected="0">
            <x v="10"/>
          </reference>
          <reference field="4" count="1">
            <x v="26"/>
          </reference>
          <reference field="10" count="1" selected="0">
            <x v="28"/>
          </reference>
          <reference field="12" count="1" selected="0">
            <x v="0"/>
          </reference>
        </references>
      </pivotArea>
    </format>
    <format dxfId="339">
      <pivotArea dataOnly="0" labelOnly="1" outline="0" fieldPosition="0">
        <references count="4">
          <reference field="0" count="1" selected="0">
            <x v="10"/>
          </reference>
          <reference field="4" count="2">
            <x v="2359"/>
            <x v="2360"/>
          </reference>
          <reference field="10" count="1" selected="0">
            <x v="62"/>
          </reference>
          <reference field="12" count="1" selected="0">
            <x v="0"/>
          </reference>
        </references>
      </pivotArea>
    </format>
    <format dxfId="338">
      <pivotArea dataOnly="0" labelOnly="1" outline="0" fieldPosition="0">
        <references count="4">
          <reference field="0" count="1" selected="0">
            <x v="10"/>
          </reference>
          <reference field="4" count="1">
            <x v="2636"/>
          </reference>
          <reference field="10" count="1" selected="0">
            <x v="68"/>
          </reference>
          <reference field="12" count="1" selected="0">
            <x v="0"/>
          </reference>
        </references>
      </pivotArea>
    </format>
    <format dxfId="337">
      <pivotArea dataOnly="0" labelOnly="1" outline="0" fieldPosition="0">
        <references count="4">
          <reference field="0" count="1" selected="0">
            <x v="11"/>
          </reference>
          <reference field="4" count="1">
            <x v="291"/>
          </reference>
          <reference field="10" count="1" selected="0">
            <x v="20"/>
          </reference>
          <reference field="12" count="1" selected="0">
            <x v="0"/>
          </reference>
        </references>
      </pivotArea>
    </format>
    <format dxfId="336">
      <pivotArea dataOnly="0" labelOnly="1" outline="0" fieldPosition="0">
        <references count="4">
          <reference field="0" count="1" selected="0">
            <x v="11"/>
          </reference>
          <reference field="4" count="1">
            <x v="113"/>
          </reference>
          <reference field="10" count="1" selected="0">
            <x v="19"/>
          </reference>
          <reference field="12" count="1" selected="0">
            <x v="4"/>
          </reference>
        </references>
      </pivotArea>
    </format>
    <format dxfId="335">
      <pivotArea dataOnly="0" labelOnly="1" outline="0" fieldPosition="0">
        <references count="4">
          <reference field="0" count="1" selected="0">
            <x v="11"/>
          </reference>
          <reference field="4" count="1">
            <x v="2649"/>
          </reference>
          <reference field="10" count="1" selected="0">
            <x v="63"/>
          </reference>
          <reference field="12" count="1" selected="0">
            <x v="5"/>
          </reference>
        </references>
      </pivotArea>
    </format>
    <format dxfId="334">
      <pivotArea dataOnly="0" labelOnly="1" outline="0" fieldPosition="0">
        <references count="4">
          <reference field="0" count="1" selected="0">
            <x v="11"/>
          </reference>
          <reference field="4" count="1">
            <x v="2355"/>
          </reference>
          <reference field="10" count="1" selected="0">
            <x v="19"/>
          </reference>
          <reference field="12" count="1" selected="0">
            <x v="15"/>
          </reference>
        </references>
      </pivotArea>
    </format>
    <format dxfId="333">
      <pivotArea dataOnly="0" labelOnly="1" outline="0" fieldPosition="0">
        <references count="4">
          <reference field="0" count="1" selected="0">
            <x v="11"/>
          </reference>
          <reference field="4" count="1">
            <x v="2648"/>
          </reference>
          <reference field="10" count="1" selected="0">
            <x v="37"/>
          </reference>
          <reference field="12" count="1" selected="0">
            <x v="23"/>
          </reference>
        </references>
      </pivotArea>
    </format>
    <format dxfId="332">
      <pivotArea dataOnly="0" labelOnly="1" outline="0" fieldPosition="0">
        <references count="4">
          <reference field="0" count="1" selected="0">
            <x v="11"/>
          </reference>
          <reference field="4" count="1">
            <x v="1946"/>
          </reference>
          <reference field="10" count="1" selected="0">
            <x v="22"/>
          </reference>
          <reference field="12" count="1" selected="0">
            <x v="26"/>
          </reference>
        </references>
      </pivotArea>
    </format>
    <format dxfId="331">
      <pivotArea dataOnly="0" labelOnly="1" outline="0" fieldPosition="0">
        <references count="4">
          <reference field="0" count="1" selected="0">
            <x v="11"/>
          </reference>
          <reference field="4" count="1">
            <x v="1576"/>
          </reference>
          <reference field="10" count="1" selected="0">
            <x v="0"/>
          </reference>
          <reference field="12" count="1" selected="0">
            <x v="27"/>
          </reference>
        </references>
      </pivotArea>
    </format>
    <format dxfId="330">
      <pivotArea dataOnly="0" labelOnly="1" outline="0" fieldPosition="0">
        <references count="4">
          <reference field="0" count="1" selected="0">
            <x v="11"/>
          </reference>
          <reference field="4" count="1">
            <x v="441"/>
          </reference>
          <reference field="10" count="1" selected="0">
            <x v="22"/>
          </reference>
          <reference field="12" count="1" selected="0">
            <x v="28"/>
          </reference>
        </references>
      </pivotArea>
    </format>
    <format dxfId="329">
      <pivotArea dataOnly="0" labelOnly="1" outline="0" fieldPosition="0">
        <references count="4">
          <reference field="0" count="1" selected="0">
            <x v="11"/>
          </reference>
          <reference field="4" count="1">
            <x v="1585"/>
          </reference>
          <reference field="10" count="1" selected="0">
            <x v="22"/>
          </reference>
          <reference field="12" count="1" selected="0">
            <x v="33"/>
          </reference>
        </references>
      </pivotArea>
    </format>
    <format dxfId="328">
      <pivotArea dataOnly="0" labelOnly="1" outline="0" fieldPosition="0">
        <references count="4">
          <reference field="0" count="1" selected="0">
            <x v="11"/>
          </reference>
          <reference field="4" count="1">
            <x v="14"/>
          </reference>
          <reference field="10" count="1" selected="0">
            <x v="0"/>
          </reference>
          <reference field="12" count="1" selected="0">
            <x v="35"/>
          </reference>
        </references>
      </pivotArea>
    </format>
    <format dxfId="327">
      <pivotArea dataOnly="0" labelOnly="1" outline="0" fieldPosition="0">
        <references count="4">
          <reference field="0" count="1" selected="0">
            <x v="11"/>
          </reference>
          <reference field="4" count="1">
            <x v="13"/>
          </reference>
          <reference field="10" count="1" selected="0">
            <x v="20"/>
          </reference>
          <reference field="12" count="1" selected="0">
            <x v="38"/>
          </reference>
        </references>
      </pivotArea>
    </format>
    <format dxfId="326">
      <pivotArea dataOnly="0" labelOnly="1" outline="0" fieldPosition="0">
        <references count="4">
          <reference field="0" count="1" selected="0">
            <x v="11"/>
          </reference>
          <reference field="4" count="1">
            <x v="15"/>
          </reference>
          <reference field="10" count="1" selected="0">
            <x v="20"/>
          </reference>
          <reference field="12" count="1" selected="0">
            <x v="39"/>
          </reference>
        </references>
      </pivotArea>
    </format>
    <format dxfId="325">
      <pivotArea dataOnly="0" labelOnly="1" outline="0" fieldPosition="0">
        <references count="4">
          <reference field="0" count="1" selected="0">
            <x v="11"/>
          </reference>
          <reference field="4" count="1">
            <x v="41"/>
          </reference>
          <reference field="10" count="1" selected="0">
            <x v="21"/>
          </reference>
          <reference field="12" count="1" selected="0">
            <x v="39"/>
          </reference>
        </references>
      </pivotArea>
    </format>
    <format dxfId="324">
      <pivotArea dataOnly="0" labelOnly="1" outline="0" fieldPosition="0">
        <references count="4">
          <reference field="0" count="1" selected="0">
            <x v="11"/>
          </reference>
          <reference field="4" count="1">
            <x v="2557"/>
          </reference>
          <reference field="10" count="1" selected="0">
            <x v="0"/>
          </reference>
          <reference field="12" count="1" selected="0">
            <x v="40"/>
          </reference>
        </references>
      </pivotArea>
    </format>
    <format dxfId="323">
      <pivotArea dataOnly="0" labelOnly="1" outline="0" fieldPosition="0">
        <references count="4">
          <reference field="0" count="1" selected="0">
            <x v="12"/>
          </reference>
          <reference field="4" count="3">
            <x v="32"/>
            <x v="2080"/>
            <x v="2452"/>
          </reference>
          <reference field="10" count="1" selected="0">
            <x v="1"/>
          </reference>
          <reference field="12" count="1" selected="0">
            <x v="0"/>
          </reference>
        </references>
      </pivotArea>
    </format>
    <format dxfId="322">
      <pivotArea dataOnly="0" labelOnly="1" outline="0" fieldPosition="0">
        <references count="4">
          <reference field="0" count="1" selected="0">
            <x v="12"/>
          </reference>
          <reference field="4" count="2">
            <x v="38"/>
            <x v="283"/>
          </reference>
          <reference field="10" count="1" selected="0">
            <x v="2"/>
          </reference>
          <reference field="12" count="1" selected="0">
            <x v="0"/>
          </reference>
        </references>
      </pivotArea>
    </format>
    <format dxfId="321">
      <pivotArea dataOnly="0" labelOnly="1" outline="0" fieldPosition="0">
        <references count="4">
          <reference field="0" count="1" selected="0">
            <x v="12"/>
          </reference>
          <reference field="4" count="1">
            <x v="136"/>
          </reference>
          <reference field="10" count="1" selected="0">
            <x v="3"/>
          </reference>
          <reference field="12" count="1" selected="0">
            <x v="0"/>
          </reference>
        </references>
      </pivotArea>
    </format>
    <format dxfId="320">
      <pivotArea dataOnly="0" labelOnly="1" outline="0" fieldPosition="0">
        <references count="4">
          <reference field="0" count="1" selected="0">
            <x v="12"/>
          </reference>
          <reference field="4" count="3">
            <x v="5"/>
            <x v="6"/>
            <x v="31"/>
          </reference>
          <reference field="10" count="1" selected="0">
            <x v="4"/>
          </reference>
          <reference field="12" count="1" selected="0">
            <x v="0"/>
          </reference>
        </references>
      </pivotArea>
    </format>
    <format dxfId="319">
      <pivotArea dataOnly="0" labelOnly="1" outline="0" fieldPosition="0">
        <references count="4">
          <reference field="0" count="1" selected="0">
            <x v="12"/>
          </reference>
          <reference field="4" count="1">
            <x v="10"/>
          </reference>
          <reference field="10" count="1" selected="0">
            <x v="8"/>
          </reference>
          <reference field="12" count="1" selected="0">
            <x v="0"/>
          </reference>
        </references>
      </pivotArea>
    </format>
    <format dxfId="318">
      <pivotArea dataOnly="0" labelOnly="1" outline="0" fieldPosition="0">
        <references count="4">
          <reference field="0" count="1" selected="0">
            <x v="12"/>
          </reference>
          <reference field="4" count="1">
            <x v="2450"/>
          </reference>
          <reference field="10" count="1" selected="0">
            <x v="9"/>
          </reference>
          <reference field="12" count="1" selected="0">
            <x v="0"/>
          </reference>
        </references>
      </pivotArea>
    </format>
    <format dxfId="317">
      <pivotArea dataOnly="0" labelOnly="1" outline="0" fieldPosition="0">
        <references count="4">
          <reference field="0" count="1" selected="0">
            <x v="12"/>
          </reference>
          <reference field="4" count="6">
            <x v="2501"/>
            <x v="2502"/>
            <x v="2547"/>
            <x v="2607"/>
            <x v="2623"/>
            <x v="2624"/>
          </reference>
          <reference field="10" count="1" selected="0">
            <x v="10"/>
          </reference>
          <reference field="12" count="1" selected="0">
            <x v="0"/>
          </reference>
        </references>
      </pivotArea>
    </format>
    <format dxfId="316">
      <pivotArea dataOnly="0" labelOnly="1" outline="0" fieldPosition="0">
        <references count="4">
          <reference field="0" count="1" selected="0">
            <x v="12"/>
          </reference>
          <reference field="4" count="3">
            <x v="23"/>
            <x v="46"/>
            <x v="53"/>
          </reference>
          <reference field="10" count="1" selected="0">
            <x v="11"/>
          </reference>
          <reference field="12" count="1" selected="0">
            <x v="0"/>
          </reference>
        </references>
      </pivotArea>
    </format>
    <format dxfId="315">
      <pivotArea dataOnly="0" labelOnly="1" outline="0" fieldPosition="0">
        <references count="4">
          <reference field="0" count="1" selected="0">
            <x v="12"/>
          </reference>
          <reference field="4" count="7">
            <x v="1198"/>
            <x v="1672"/>
            <x v="2219"/>
            <x v="2220"/>
            <x v="2500"/>
            <x v="2546"/>
            <x v="2622"/>
          </reference>
          <reference field="10" count="1" selected="0">
            <x v="12"/>
          </reference>
          <reference field="12" count="1" selected="0">
            <x v="0"/>
          </reference>
        </references>
      </pivotArea>
    </format>
    <format dxfId="314">
      <pivotArea dataOnly="0" labelOnly="1" outline="0" fieldPosition="0">
        <references count="4">
          <reference field="0" count="1" selected="0">
            <x v="12"/>
          </reference>
          <reference field="4" count="6">
            <x v="43"/>
            <x v="126"/>
            <x v="438"/>
            <x v="2544"/>
            <x v="2545"/>
            <x v="2646"/>
          </reference>
          <reference field="10" count="1" selected="0">
            <x v="13"/>
          </reference>
          <reference field="12" count="1" selected="0">
            <x v="0"/>
          </reference>
        </references>
      </pivotArea>
    </format>
    <format dxfId="313">
      <pivotArea dataOnly="0" labelOnly="1" outline="0" fieldPosition="0">
        <references count="4">
          <reference field="0" count="1" selected="0">
            <x v="12"/>
          </reference>
          <reference field="4" count="1">
            <x v="1955"/>
          </reference>
          <reference field="10" count="1" selected="0">
            <x v="14"/>
          </reference>
          <reference field="12" count="1" selected="0">
            <x v="0"/>
          </reference>
        </references>
      </pivotArea>
    </format>
    <format dxfId="312">
      <pivotArea dataOnly="0" labelOnly="1" outline="0" fieldPosition="0">
        <references count="4">
          <reference field="0" count="1" selected="0">
            <x v="12"/>
          </reference>
          <reference field="4" count="5">
            <x v="121"/>
            <x v="2231"/>
            <x v="2446"/>
            <x v="2542"/>
            <x v="2543"/>
          </reference>
          <reference field="10" count="1" selected="0">
            <x v="15"/>
          </reference>
          <reference field="12" count="1" selected="0">
            <x v="0"/>
          </reference>
        </references>
      </pivotArea>
    </format>
    <format dxfId="311">
      <pivotArea dataOnly="0" labelOnly="1" outline="0" fieldPosition="0">
        <references count="4">
          <reference field="0" count="1" selected="0">
            <x v="12"/>
          </reference>
          <reference field="4" count="1">
            <x v="2552"/>
          </reference>
          <reference field="10" count="1" selected="0">
            <x v="25"/>
          </reference>
          <reference field="12" count="1" selected="0">
            <x v="0"/>
          </reference>
        </references>
      </pivotArea>
    </format>
    <format dxfId="310">
      <pivotArea dataOnly="0" labelOnly="1" outline="0" fieldPosition="0">
        <references count="4">
          <reference field="0" count="1" selected="0">
            <x v="12"/>
          </reference>
          <reference field="4" count="1">
            <x v="2647"/>
          </reference>
          <reference field="10" count="1" selected="0">
            <x v="31"/>
          </reference>
          <reference field="12" count="1" selected="0">
            <x v="0"/>
          </reference>
        </references>
      </pivotArea>
    </format>
    <format dxfId="309">
      <pivotArea dataOnly="0" labelOnly="1" outline="0" fieldPosition="0">
        <references count="4">
          <reference field="0" count="1" selected="0">
            <x v="12"/>
          </reference>
          <reference field="4" count="2">
            <x v="2644"/>
            <x v="2645"/>
          </reference>
          <reference field="10" count="1" selected="0">
            <x v="34"/>
          </reference>
          <reference field="12" count="1" selected="0">
            <x v="0"/>
          </reference>
        </references>
      </pivotArea>
    </format>
    <format dxfId="308">
      <pivotArea dataOnly="0" labelOnly="1" outline="0" fieldPosition="0">
        <references count="4">
          <reference field="0" count="1" selected="0">
            <x v="12"/>
          </reference>
          <reference field="4" count="1">
            <x v="362"/>
          </reference>
          <reference field="10" count="1" selected="0">
            <x v="40"/>
          </reference>
          <reference field="12" count="1" selected="0">
            <x v="0"/>
          </reference>
        </references>
      </pivotArea>
    </format>
    <format dxfId="307">
      <pivotArea dataOnly="0" labelOnly="1" outline="0" fieldPosition="0">
        <references count="4">
          <reference field="0" count="1" selected="0">
            <x v="12"/>
          </reference>
          <reference field="4" count="1">
            <x v="2235"/>
          </reference>
          <reference field="10" count="1" selected="0">
            <x v="42"/>
          </reference>
          <reference field="12" count="1" selected="0">
            <x v="0"/>
          </reference>
        </references>
      </pivotArea>
    </format>
    <format dxfId="306">
      <pivotArea dataOnly="0" labelOnly="1" outline="0" fieldPosition="0">
        <references count="5">
          <reference field="0" count="1" selected="0">
            <x v="0"/>
          </reference>
          <reference field="4" count="1" selected="0">
            <x v="2"/>
          </reference>
          <reference field="10" count="1" selected="0">
            <x v="21"/>
          </reference>
          <reference field="12" count="1" selected="0">
            <x v="2"/>
          </reference>
          <reference field="13" count="1">
            <x v="0"/>
          </reference>
        </references>
      </pivotArea>
    </format>
    <format dxfId="305">
      <pivotArea dataOnly="0" labelOnly="1" outline="0" fieldPosition="0">
        <references count="5">
          <reference field="0" count="1" selected="0">
            <x v="0"/>
          </reference>
          <reference field="4" count="1" selected="0">
            <x v="120"/>
          </reference>
          <reference field="10" count="1" selected="0">
            <x v="21"/>
          </reference>
          <reference field="12" count="1" selected="0">
            <x v="3"/>
          </reference>
          <reference field="13" count="1">
            <x v="0"/>
          </reference>
        </references>
      </pivotArea>
    </format>
    <format dxfId="304">
      <pivotArea dataOnly="0" labelOnly="1" outline="0" fieldPosition="0">
        <references count="5">
          <reference field="0" count="1" selected="0">
            <x v="9"/>
          </reference>
          <reference field="4" count="1" selected="0">
            <x v="2650"/>
          </reference>
          <reference field="10" count="1" selected="0">
            <x v="16"/>
          </reference>
          <reference field="12" count="1" selected="0">
            <x v="0"/>
          </reference>
          <reference field="13" count="1">
            <x v="0"/>
          </reference>
        </references>
      </pivotArea>
    </format>
    <format dxfId="303">
      <pivotArea dataOnly="0" labelOnly="1" outline="0" fieldPosition="0">
        <references count="5">
          <reference field="0" count="1" selected="0">
            <x v="10"/>
          </reference>
          <reference field="4" count="1" selected="0">
            <x v="2245"/>
          </reference>
          <reference field="10" count="1" selected="0">
            <x v="5"/>
          </reference>
          <reference field="12" count="1" selected="0">
            <x v="0"/>
          </reference>
          <reference field="13" count="1">
            <x v="0"/>
          </reference>
        </references>
      </pivotArea>
    </format>
    <format dxfId="302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291"/>
          </reference>
          <reference field="10" count="1" selected="0">
            <x v="20"/>
          </reference>
          <reference field="12" count="1" selected="0">
            <x v="0"/>
          </reference>
          <reference field="13" count="1">
            <x v="0"/>
          </reference>
        </references>
      </pivotArea>
    </format>
    <format dxfId="301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13"/>
          </reference>
          <reference field="10" count="1" selected="0">
            <x v="19"/>
          </reference>
          <reference field="12" count="1" selected="0">
            <x v="4"/>
          </reference>
          <reference field="13" count="1">
            <x v="0"/>
          </reference>
        </references>
      </pivotArea>
    </format>
    <format dxfId="300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2649"/>
          </reference>
          <reference field="10" count="1" selected="0">
            <x v="63"/>
          </reference>
          <reference field="12" count="1" selected="0">
            <x v="5"/>
          </reference>
          <reference field="13" count="1">
            <x v="0"/>
          </reference>
        </references>
      </pivotArea>
    </format>
    <format dxfId="299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2355"/>
          </reference>
          <reference field="10" count="1" selected="0">
            <x v="19"/>
          </reference>
          <reference field="12" count="1" selected="0">
            <x v="15"/>
          </reference>
          <reference field="13" count="1">
            <x v="0"/>
          </reference>
        </references>
      </pivotArea>
    </format>
    <format dxfId="298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2648"/>
          </reference>
          <reference field="10" count="1" selected="0">
            <x v="37"/>
          </reference>
          <reference field="12" count="1" selected="0">
            <x v="23"/>
          </reference>
          <reference field="13" count="1">
            <x v="0"/>
          </reference>
        </references>
      </pivotArea>
    </format>
    <format dxfId="297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946"/>
          </reference>
          <reference field="10" count="1" selected="0">
            <x v="22"/>
          </reference>
          <reference field="12" count="1" selected="0">
            <x v="26"/>
          </reference>
          <reference field="13" count="1">
            <x v="0"/>
          </reference>
        </references>
      </pivotArea>
    </format>
    <format dxfId="296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576"/>
          </reference>
          <reference field="10" count="1" selected="0">
            <x v="0"/>
          </reference>
          <reference field="12" count="1" selected="0">
            <x v="27"/>
          </reference>
          <reference field="13" count="1">
            <x v="1"/>
          </reference>
        </references>
      </pivotArea>
    </format>
    <format dxfId="295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441"/>
          </reference>
          <reference field="10" count="1" selected="0">
            <x v="22"/>
          </reference>
          <reference field="12" count="1" selected="0">
            <x v="28"/>
          </reference>
          <reference field="13" count="1">
            <x v="0"/>
          </reference>
        </references>
      </pivotArea>
    </format>
    <format dxfId="294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585"/>
          </reference>
          <reference field="10" count="1" selected="0">
            <x v="22"/>
          </reference>
          <reference field="12" count="1" selected="0">
            <x v="33"/>
          </reference>
          <reference field="13" count="1">
            <x v="0"/>
          </reference>
        </references>
      </pivotArea>
    </format>
    <format dxfId="293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4"/>
          </reference>
          <reference field="10" count="1" selected="0">
            <x v="0"/>
          </reference>
          <reference field="12" count="1" selected="0">
            <x v="35"/>
          </reference>
          <reference field="13" count="1">
            <x v="1"/>
          </reference>
        </references>
      </pivotArea>
    </format>
    <format dxfId="292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3"/>
          </reference>
          <reference field="10" count="1" selected="0">
            <x v="20"/>
          </reference>
          <reference field="12" count="1" selected="0">
            <x v="38"/>
          </reference>
          <reference field="13" count="1">
            <x v="0"/>
          </reference>
        </references>
      </pivotArea>
    </format>
    <format dxfId="291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15"/>
          </reference>
          <reference field="10" count="1" selected="0">
            <x v="20"/>
          </reference>
          <reference field="12" count="1" selected="0">
            <x v="39"/>
          </reference>
          <reference field="13" count="1">
            <x v="0"/>
          </reference>
        </references>
      </pivotArea>
    </format>
    <format dxfId="290">
      <pivotArea dataOnly="0" labelOnly="1" outline="0" fieldPosition="0">
        <references count="5">
          <reference field="0" count="1" selected="0">
            <x v="11"/>
          </reference>
          <reference field="4" count="1" selected="0">
            <x v="2557"/>
          </reference>
          <reference field="10" count="1" selected="0">
            <x v="0"/>
          </reference>
          <reference field="12" count="1" selected="0">
            <x v="40"/>
          </reference>
          <reference field="13" count="1">
            <x v="0"/>
          </reference>
        </references>
      </pivotArea>
    </format>
    <format dxfId="289">
      <pivotArea dataOnly="0" labelOnly="1" outline="0" fieldPosition="0">
        <references count="5">
          <reference field="0" count="1" selected="0">
            <x v="12"/>
          </reference>
          <reference field="4" count="1" selected="0">
            <x v="32"/>
          </reference>
          <reference field="10" count="1" selected="0">
            <x v="1"/>
          </reference>
          <reference field="12" count="1" selected="0">
            <x v="0"/>
          </reference>
          <reference field="13" count="1">
            <x v="0"/>
          </reference>
        </references>
      </pivotArea>
    </format>
    <format dxfId="288">
      <pivotArea dataOnly="0" labelOnly="1" outline="0" fieldPosition="0">
        <references count="6">
          <reference field="0" count="1" selected="0">
            <x v="0"/>
          </reference>
          <reference field="4" count="1" selected="0">
            <x v="2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7">
      <pivotArea dataOnly="0" labelOnly="1" outline="0" fieldPosition="0">
        <references count="6">
          <reference field="0" count="1" selected="0">
            <x v="0"/>
          </reference>
          <reference field="4" count="1" selected="0">
            <x v="120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6">
      <pivotArea dataOnly="0" labelOnly="1" outline="0" fieldPosition="0">
        <references count="6">
          <reference field="0" count="1" selected="0">
            <x v="9"/>
          </reference>
          <reference field="4" count="1" selected="0">
            <x v="265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5">
      <pivotArea dataOnly="0" labelOnly="1" outline="0" fieldPosition="0">
        <references count="6">
          <reference field="0" count="1" selected="0">
            <x v="10"/>
          </reference>
          <reference field="4" count="1" selected="0">
            <x v="2245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4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291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3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13"/>
          </reference>
          <reference field="10" count="1" selected="0">
            <x v="19"/>
          </reference>
          <reference field="12" count="1" selected="0">
            <x v="4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82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2649"/>
          </reference>
          <reference field="10" count="1" selected="0">
            <x v="63"/>
          </reference>
          <reference field="12" count="1" selected="0">
            <x v="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81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2355"/>
          </reference>
          <reference field="10" count="1" selected="0">
            <x v="19"/>
          </reference>
          <reference field="12" count="1" selected="0">
            <x v="15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80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2648"/>
          </reference>
          <reference field="10" count="1" selected="0">
            <x v="37"/>
          </reference>
          <reference field="12" count="1" selected="0">
            <x v="2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9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946"/>
          </reference>
          <reference field="10" count="1" selected="0">
            <x v="22"/>
          </reference>
          <reference field="12" count="1" selected="0">
            <x v="26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8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576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1"/>
          </reference>
          <reference field="16" count="1">
            <x v="0"/>
          </reference>
        </references>
      </pivotArea>
    </format>
    <format dxfId="277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441"/>
          </reference>
          <reference field="10" count="1" selected="0">
            <x v="22"/>
          </reference>
          <reference field="12" count="1" selected="0">
            <x v="2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6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585"/>
          </reference>
          <reference field="10" count="1" selected="0">
            <x v="22"/>
          </reference>
          <reference field="12" count="1" selected="0">
            <x v="33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5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4"/>
          </reference>
          <reference field="10" count="1" selected="0">
            <x v="0"/>
          </reference>
          <reference field="12" count="1" selected="0">
            <x v="35"/>
          </reference>
          <reference field="13" count="1" selected="0">
            <x v="1"/>
          </reference>
          <reference field="16" count="1">
            <x v="1"/>
          </reference>
        </references>
      </pivotArea>
    </format>
    <format dxfId="274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3"/>
          </reference>
          <reference field="10" count="1" selected="0">
            <x v="20"/>
          </reference>
          <reference field="12" count="1" selected="0">
            <x v="38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3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15"/>
          </reference>
          <reference field="10" count="1" selected="0">
            <x v="20"/>
          </reference>
          <reference field="12" count="1" selected="0">
            <x v="39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2">
      <pivotArea dataOnly="0" labelOnly="1" outline="0" fieldPosition="0">
        <references count="6">
          <reference field="0" count="1" selected="0">
            <x v="11"/>
          </reference>
          <reference field="4" count="1" selected="0">
            <x v="2557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0"/>
          </reference>
          <reference field="16" count="1">
            <x v="1"/>
          </reference>
        </references>
      </pivotArea>
    </format>
    <format dxfId="271">
      <pivotArea dataOnly="0" labelOnly="1" outline="0" fieldPosition="0">
        <references count="6">
          <reference field="0" count="1" selected="0">
            <x v="12"/>
          </reference>
          <reference field="4" count="1" selected="0">
            <x v="3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>
            <x v="0"/>
          </reference>
        </references>
      </pivotArea>
    </format>
    <format dxfId="270">
      <pivotArea dataOnly="0" labelOnly="1" outline="0" fieldPosition="0">
        <references count="7">
          <reference field="0" count="1" selected="0">
            <x v="0"/>
          </reference>
          <reference field="4" count="1" selected="0">
            <x v="2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0"/>
          </reference>
        </references>
      </pivotArea>
    </format>
    <format dxfId="269">
      <pivotArea dataOnly="0" labelOnly="1" outline="0" fieldPosition="0">
        <references count="7">
          <reference field="0" count="1" selected="0">
            <x v="0"/>
          </reference>
          <reference field="4" count="1" selected="0">
            <x v="120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4"/>
          </reference>
        </references>
      </pivotArea>
    </format>
    <format dxfId="268">
      <pivotArea dataOnly="0" labelOnly="1" outline="0" fieldPosition="0">
        <references count="7">
          <reference field="0" count="1" selected="0">
            <x v="9"/>
          </reference>
          <reference field="4" count="1" selected="0">
            <x v="265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4"/>
          </reference>
        </references>
      </pivotArea>
    </format>
    <format dxfId="267">
      <pivotArea dataOnly="0" labelOnly="1" outline="0" fieldPosition="0">
        <references count="7">
          <reference field="0" count="1" selected="0">
            <x v="9"/>
          </reference>
          <reference field="4" count="1" selected="0">
            <x v="265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4"/>
          </reference>
        </references>
      </pivotArea>
    </format>
    <format dxfId="266">
      <pivotArea dataOnly="0" labelOnly="1" outline="0" fieldPosition="0">
        <references count="7">
          <reference field="0" count="1" selected="0">
            <x v="9"/>
          </reference>
          <reference field="4" count="1" selected="0">
            <x v="2652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0"/>
          </reference>
        </references>
      </pivotArea>
    </format>
    <format dxfId="265">
      <pivotArea dataOnly="0" labelOnly="1" outline="0" fieldPosition="0">
        <references count="7">
          <reference field="0" count="1" selected="0">
            <x v="9"/>
          </reference>
          <reference field="4" count="1" selected="0">
            <x v="2653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4"/>
          </reference>
        </references>
      </pivotArea>
    </format>
    <format dxfId="264">
      <pivotArea dataOnly="0" labelOnly="1" outline="0" fieldPosition="0">
        <references count="7">
          <reference field="0" count="1" selected="0">
            <x v="9"/>
          </reference>
          <reference field="4" count="1" selected="0">
            <x v="2654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"/>
          </reference>
        </references>
      </pivotArea>
    </format>
    <format dxfId="263">
      <pivotArea dataOnly="0" labelOnly="1" outline="0" fieldPosition="0">
        <references count="7">
          <reference field="0" count="1" selected="0">
            <x v="9"/>
          </reference>
          <reference field="4" count="1" selected="0">
            <x v="2655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0"/>
          </reference>
        </references>
      </pivotArea>
    </format>
    <format dxfId="262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2245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61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2328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"/>
          </reference>
        </references>
      </pivotArea>
    </format>
    <format dxfId="260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2393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0"/>
          </reference>
        </references>
      </pivotArea>
    </format>
    <format dxfId="259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246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"/>
          </reference>
        </references>
      </pivotArea>
    </format>
    <format dxfId="258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2559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57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2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2"/>
          </reference>
        </references>
      </pivotArea>
    </format>
    <format dxfId="256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19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55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26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9"/>
          </reference>
        </references>
      </pivotArea>
    </format>
    <format dxfId="254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2359"/>
          </reference>
          <reference field="10" count="1" selected="0">
            <x v="6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0"/>
          </reference>
        </references>
      </pivotArea>
    </format>
    <format dxfId="253">
      <pivotArea dataOnly="0" labelOnly="1" outline="0" fieldPosition="0">
        <references count="7">
          <reference field="0" count="1" selected="0">
            <x v="10"/>
          </reference>
          <reference field="4" count="1" selected="0">
            <x v="2636"/>
          </reference>
          <reference field="10" count="1" selected="0">
            <x v="6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0"/>
          </reference>
        </references>
      </pivotArea>
    </format>
    <format dxfId="252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291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1"/>
          </reference>
        </references>
      </pivotArea>
    </format>
    <format dxfId="251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113"/>
          </reference>
          <reference field="10" count="1" selected="0">
            <x v="19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4"/>
          </reference>
        </references>
      </pivotArea>
    </format>
    <format dxfId="250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2649"/>
          </reference>
          <reference field="10" count="1" selected="0">
            <x v="63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20"/>
          </reference>
        </references>
      </pivotArea>
    </format>
    <format dxfId="249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2355"/>
          </reference>
          <reference field="10" count="1" selected="0">
            <x v="19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1"/>
          </reference>
        </references>
      </pivotArea>
    </format>
    <format dxfId="248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2648"/>
          </reference>
          <reference field="10" count="1" selected="0">
            <x v="37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7"/>
          </reference>
        </references>
      </pivotArea>
    </format>
    <format dxfId="247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1946"/>
          </reference>
          <reference field="10" count="1" selected="0">
            <x v="2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0"/>
          </reference>
        </references>
      </pivotArea>
    </format>
    <format dxfId="246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1576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1"/>
          </reference>
          <reference field="16" count="1" selected="0">
            <x v="0"/>
          </reference>
          <reference field="18" count="1">
            <x v="35"/>
          </reference>
        </references>
      </pivotArea>
    </format>
    <format dxfId="245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441"/>
          </reference>
          <reference field="10" count="1" selected="0">
            <x v="22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44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1585"/>
          </reference>
          <reference field="10" count="1" selected="0">
            <x v="22"/>
          </reference>
          <reference field="12" count="1" selected="0">
            <x v="33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7"/>
          </reference>
        </references>
      </pivotArea>
    </format>
    <format dxfId="243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14"/>
          </reference>
          <reference field="10" count="1" selected="0">
            <x v="0"/>
          </reference>
          <reference field="12" count="1" selected="0">
            <x v="35"/>
          </reference>
          <reference field="13" count="1" selected="0">
            <x v="1"/>
          </reference>
          <reference field="16" count="1" selected="0">
            <x v="1"/>
          </reference>
          <reference field="18" count="1">
            <x v="17"/>
          </reference>
        </references>
      </pivotArea>
    </format>
    <format dxfId="242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13"/>
          </reference>
          <reference field="10" count="1" selected="0">
            <x v="20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6"/>
          </reference>
        </references>
      </pivotArea>
    </format>
    <format dxfId="241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15"/>
          </reference>
          <reference field="10" count="1" selected="0">
            <x v="20"/>
          </reference>
          <reference field="12" count="1" selected="0">
            <x v="3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6"/>
          </reference>
        </references>
      </pivotArea>
    </format>
    <format dxfId="240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41"/>
          </reference>
          <reference field="10" count="1" selected="0">
            <x v="21"/>
          </reference>
          <reference field="12" count="1" selected="0">
            <x v="39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3"/>
          </reference>
        </references>
      </pivotArea>
    </format>
    <format dxfId="239">
      <pivotArea dataOnly="0" labelOnly="1" outline="0" fieldPosition="0">
        <references count="7">
          <reference field="0" count="1" selected="0">
            <x v="11"/>
          </reference>
          <reference field="4" count="1" selected="0">
            <x v="2557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1"/>
          </reference>
          <reference field="18" count="1">
            <x v="17"/>
          </reference>
        </references>
      </pivotArea>
    </format>
    <format dxfId="238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3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237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08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1"/>
          </reference>
        </references>
      </pivotArea>
    </format>
    <format dxfId="236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452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235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38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0"/>
          </reference>
        </references>
      </pivotArea>
    </format>
    <format dxfId="234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136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33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5"/>
          </reference>
          <reference field="10" count="1" selected="0">
            <x v="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232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1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"/>
          </reference>
        </references>
      </pivotArea>
    </format>
    <format dxfId="231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45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0"/>
          </reference>
        </references>
      </pivotArea>
    </format>
    <format dxfId="230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501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29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502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5"/>
          </reference>
        </references>
      </pivotArea>
    </format>
    <format dxfId="228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54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227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607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"/>
          </reference>
        </references>
      </pivotArea>
    </format>
    <format dxfId="226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623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0"/>
          </reference>
        </references>
      </pivotArea>
    </format>
    <format dxfId="225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624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1"/>
          </reference>
        </references>
      </pivotArea>
    </format>
    <format dxfId="224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8"/>
          </reference>
        </references>
      </pivotArea>
    </format>
    <format dxfId="223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46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"/>
          </reference>
        </references>
      </pivotArea>
    </format>
    <format dxfId="222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53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9"/>
          </reference>
        </references>
      </pivotArea>
    </format>
    <format dxfId="221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1198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"/>
          </reference>
        </references>
      </pivotArea>
    </format>
    <format dxfId="220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167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1"/>
          </reference>
        </references>
      </pivotArea>
    </format>
    <format dxfId="219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219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5"/>
          </reference>
        </references>
      </pivotArea>
    </format>
    <format dxfId="218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22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"/>
          </reference>
        </references>
      </pivotArea>
    </format>
    <format dxfId="217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50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0"/>
          </reference>
        </references>
      </pivotArea>
    </format>
    <format dxfId="216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546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215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622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214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43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4"/>
          </reference>
        </references>
      </pivotArea>
    </format>
    <format dxfId="213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126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212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438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0"/>
          </reference>
        </references>
      </pivotArea>
    </format>
    <format dxfId="211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544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2"/>
          </reference>
        </references>
      </pivotArea>
    </format>
    <format dxfId="210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545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"/>
          </reference>
        </references>
      </pivotArea>
    </format>
    <format dxfId="209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646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208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12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207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231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0"/>
          </reference>
        </references>
      </pivotArea>
    </format>
    <format dxfId="206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446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"/>
          </reference>
        </references>
      </pivotArea>
    </format>
    <format dxfId="205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542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0"/>
          </reference>
        </references>
      </pivotArea>
    </format>
    <format dxfId="204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552"/>
          </reference>
          <reference field="10" count="1" selected="0">
            <x v="2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37"/>
          </reference>
        </references>
      </pivotArea>
    </format>
    <format dxfId="203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647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58"/>
          </reference>
        </references>
      </pivotArea>
    </format>
    <format dxfId="202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644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0"/>
          </reference>
        </references>
      </pivotArea>
    </format>
    <format dxfId="201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645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1"/>
          </reference>
        </references>
      </pivotArea>
    </format>
    <format dxfId="200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362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6"/>
          </reference>
        </references>
      </pivotArea>
    </format>
    <format dxfId="199">
      <pivotArea dataOnly="0" labelOnly="1" outline="0" fieldPosition="0">
        <references count="7">
          <reference field="0" count="1" selected="0">
            <x v="12"/>
          </reference>
          <reference field="4" count="1" selected="0">
            <x v="2235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>
            <x v="7"/>
          </reference>
        </references>
      </pivotArea>
    </format>
    <format dxfId="198">
      <pivotArea dataOnly="0" labelOnly="1" outline="0" fieldPosition="0">
        <references count="8">
          <reference field="0" count="1" selected="0">
            <x v="0"/>
          </reference>
          <reference field="4" count="1" selected="0">
            <x v="2"/>
          </reference>
          <reference field="9" count="1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197">
      <pivotArea dataOnly="0" labelOnly="1" outline="0" fieldPosition="0">
        <references count="8">
          <reference field="0" count="1" selected="0">
            <x v="0"/>
          </reference>
          <reference field="4" count="1" selected="0">
            <x v="120"/>
          </reference>
          <reference field="9" count="1">
            <x v="1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196">
      <pivotArea dataOnly="0" labelOnly="1" outline="0" fieldPosition="0">
        <references count="8">
          <reference field="0" count="1" selected="0">
            <x v="9"/>
          </reference>
          <reference field="4" count="1" selected="0">
            <x v="2650"/>
          </reference>
          <reference field="9" count="1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4"/>
          </reference>
        </references>
      </pivotArea>
    </format>
    <format dxfId="195">
      <pivotArea dataOnly="0" labelOnly="1" outline="0" fieldPosition="0">
        <references count="8">
          <reference field="0" count="1" selected="0">
            <x v="9"/>
          </reference>
          <reference field="4" count="1" selected="0">
            <x v="2654"/>
          </reference>
          <reference field="9" count="1">
            <x v="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194">
      <pivotArea dataOnly="0" labelOnly="1" outline="0" fieldPosition="0">
        <references count="8">
          <reference field="0" count="1" selected="0">
            <x v="9"/>
          </reference>
          <reference field="4" count="1" selected="0">
            <x v="2655"/>
          </reference>
          <reference field="9" count="1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193">
      <pivotArea dataOnly="0" labelOnly="1" outline="0" fieldPosition="0">
        <references count="8">
          <reference field="0" count="1" selected="0">
            <x v="10"/>
          </reference>
          <reference field="4" count="1" selected="0">
            <x v="2245"/>
          </reference>
          <reference field="9" count="1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92">
      <pivotArea dataOnly="0" labelOnly="1" outline="0" fieldPosition="0">
        <references count="8">
          <reference field="0" count="1" selected="0">
            <x v="10"/>
          </reference>
          <reference field="4" count="1" selected="0">
            <x v="26"/>
          </reference>
          <reference field="9" count="1">
            <x v="1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9"/>
          </reference>
        </references>
      </pivotArea>
    </format>
    <format dxfId="191">
      <pivotArea dataOnly="0" labelOnly="1" outline="0" fieldPosition="0">
        <references count="8">
          <reference field="0" count="1" selected="0">
            <x v="10"/>
          </reference>
          <reference field="4" count="1" selected="0">
            <x v="2359"/>
          </reference>
          <reference field="9" count="1">
            <x v="0"/>
          </reference>
          <reference field="10" count="1" selected="0">
            <x v="6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"/>
          </reference>
        </references>
      </pivotArea>
    </format>
    <format dxfId="190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291"/>
          </reference>
          <reference field="9" count="1">
            <x v="1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89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13"/>
          </reference>
          <reference field="9" count="1">
            <x v="0"/>
          </reference>
          <reference field="10" count="1" selected="0">
            <x v="19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188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2649"/>
          </reference>
          <reference field="9" count="1">
            <x v="0"/>
          </reference>
          <reference field="10" count="1" selected="0">
            <x v="63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20"/>
          </reference>
        </references>
      </pivotArea>
    </format>
    <format dxfId="187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2355"/>
          </reference>
          <reference field="9" count="1">
            <x v="0"/>
          </reference>
          <reference field="10" count="1" selected="0">
            <x v="19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186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2648"/>
          </reference>
          <reference field="9" count="1">
            <x v="1"/>
          </reference>
          <reference field="10" count="1" selected="0">
            <x v="37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185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946"/>
          </reference>
          <reference field="9" count="1">
            <x v="1"/>
          </reference>
          <reference field="10" count="1" selected="0">
            <x v="2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0"/>
          </reference>
        </references>
      </pivotArea>
    </format>
    <format dxfId="184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576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83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441"/>
          </reference>
          <reference field="9" count="1">
            <x v="0"/>
          </reference>
          <reference field="10" count="1" selected="0">
            <x v="22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82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585"/>
          </reference>
          <reference field="9" count="1">
            <x v="0"/>
          </reference>
          <reference field="10" count="1" selected="0">
            <x v="22"/>
          </reference>
          <reference field="12" count="1" selected="0">
            <x v="3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181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4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35"/>
          </reference>
          <reference field="13" count="1" selected="0">
            <x v="1"/>
          </reference>
          <reference field="16" count="1" selected="0">
            <x v="1"/>
          </reference>
          <reference field="18" count="1" selected="0">
            <x v="17"/>
          </reference>
        </references>
      </pivotArea>
    </format>
    <format dxfId="180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3"/>
          </reference>
          <reference field="9" count="1">
            <x v="1"/>
          </reference>
          <reference field="10" count="1" selected="0">
            <x v="20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179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15"/>
          </reference>
          <reference field="9" count="1">
            <x v="1"/>
          </reference>
          <reference field="10" count="1" selected="0">
            <x v="20"/>
          </reference>
          <reference field="12" count="1" selected="0">
            <x v="3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178">
      <pivotArea dataOnly="0" labelOnly="1" outline="0" fieldPosition="0">
        <references count="8">
          <reference field="0" count="1" selected="0">
            <x v="11"/>
          </reference>
          <reference field="4" count="1" selected="0">
            <x v="2557"/>
          </reference>
          <reference field="9" count="1">
            <x v="1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7"/>
          </reference>
        </references>
      </pivotArea>
    </format>
    <format dxfId="177">
      <pivotArea dataOnly="0" labelOnly="1" outline="0" fieldPosition="0">
        <references count="8">
          <reference field="0" count="1" selected="0">
            <x v="12"/>
          </reference>
          <reference field="4" count="1" selected="0">
            <x v="32"/>
          </reference>
          <reference field="9" count="1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76">
      <pivotArea dataOnly="0" labelOnly="1" outline="0" fieldPosition="0">
        <references count="8">
          <reference field="0" count="1" selected="0">
            <x v="12"/>
          </reference>
          <reference field="4" count="1" selected="0">
            <x v="38"/>
          </reference>
          <reference field="9" count="1">
            <x v="1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75">
      <pivotArea dataOnly="0" labelOnly="1" outline="0" fieldPosition="0">
        <references count="8">
          <reference field="0" count="1" selected="0">
            <x v="12"/>
          </reference>
          <reference field="4" count="1" selected="0">
            <x v="283"/>
          </reference>
          <reference field="9" count="1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74">
      <pivotArea dataOnly="0" labelOnly="1" outline="0" fieldPosition="0">
        <references count="9">
          <reference field="0" count="1" selected="0">
            <x v="0"/>
          </reference>
          <reference field="4" count="1" selected="0">
            <x v="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173">
      <pivotArea dataOnly="0" labelOnly="1" outline="0" fieldPosition="0">
        <references count="9">
          <reference field="0" count="1" selected="0">
            <x v="0"/>
          </reference>
          <reference field="4" count="1" selected="0">
            <x v="120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172">
      <pivotArea dataOnly="0" labelOnly="1" outline="0" fieldPosition="0">
        <references count="9">
          <reference field="0" count="1" selected="0">
            <x v="9"/>
          </reference>
          <reference field="4" count="1" selected="0">
            <x v="2650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4"/>
          </reference>
        </references>
      </pivotArea>
    </format>
    <format dxfId="171">
      <pivotArea dataOnly="0" labelOnly="1" outline="0" fieldPosition="0">
        <references count="9">
          <reference field="0" count="1" selected="0">
            <x v="9"/>
          </reference>
          <reference field="4" count="1" selected="0">
            <x v="2652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170">
      <pivotArea dataOnly="0" labelOnly="1" outline="0" fieldPosition="0">
        <references count="9">
          <reference field="0" count="1" selected="0">
            <x v="9"/>
          </reference>
          <reference field="4" count="1" selected="0">
            <x v="2653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4"/>
          </reference>
        </references>
      </pivotArea>
    </format>
    <format dxfId="169">
      <pivotArea dataOnly="0" labelOnly="1" outline="0" fieldPosition="0">
        <references count="9">
          <reference field="0" count="1" selected="0">
            <x v="9"/>
          </reference>
          <reference field="4" count="1" selected="0">
            <x v="265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168">
      <pivotArea dataOnly="0" labelOnly="1" outline="0" fieldPosition="0">
        <references count="9">
          <reference field="0" count="1" selected="0">
            <x v="10"/>
          </reference>
          <reference field="4" count="1" selected="0">
            <x v="2245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7">
      <pivotArea dataOnly="0" labelOnly="1" outline="0" fieldPosition="0">
        <references count="9">
          <reference field="0" count="1" selected="0">
            <x v="10"/>
          </reference>
          <reference field="4" count="1" selected="0">
            <x v="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6">
      <pivotArea dataOnly="0" labelOnly="1" outline="0" fieldPosition="0">
        <references count="9">
          <reference field="0" count="1" selected="0">
            <x v="10"/>
          </reference>
          <reference field="4" count="1" selected="0">
            <x v="24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5">
      <pivotArea dataOnly="0" labelOnly="1" outline="0" fieldPosition="0">
        <references count="9">
          <reference field="0" count="1" selected="0">
            <x v="10"/>
          </reference>
          <reference field="4" count="1" selected="0">
            <x v="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"/>
          </reference>
        </references>
      </pivotArea>
    </format>
    <format dxfId="164">
      <pivotArea dataOnly="0" labelOnly="1" outline="0" fieldPosition="0">
        <references count="9">
          <reference field="0" count="1" selected="0">
            <x v="10"/>
          </reference>
          <reference field="4" count="1" selected="0">
            <x v="19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3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291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62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1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161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264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20"/>
          </reference>
        </references>
      </pivotArea>
    </format>
    <format dxfId="160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235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159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2648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37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158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94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2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0"/>
          </reference>
        </references>
      </pivotArea>
    </format>
    <format dxfId="157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576"/>
          </reference>
          <reference field="7" count="1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56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441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55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585"/>
          </reference>
          <reference field="7" count="1">
            <x v="2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3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154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4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5"/>
          </reference>
          <reference field="13" count="1" selected="0">
            <x v="1"/>
          </reference>
          <reference field="16" count="1" selected="0">
            <x v="1"/>
          </reference>
          <reference field="18" count="1" selected="0">
            <x v="17"/>
          </reference>
        </references>
      </pivotArea>
    </format>
    <format dxfId="153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3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152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15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3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151">
      <pivotArea dataOnly="0" labelOnly="1" outline="0" fieldPosition="0">
        <references count="9">
          <reference field="0" count="1" selected="0">
            <x v="11"/>
          </reference>
          <reference field="4" count="1" selected="0">
            <x v="2557"/>
          </reference>
          <reference field="7" count="1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7"/>
          </reference>
        </references>
      </pivotArea>
    </format>
    <format dxfId="150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32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49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38"/>
          </reference>
          <reference field="7" count="1">
            <x v="0"/>
          </reference>
          <reference field="9" count="1" selected="0">
            <x v="1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48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5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47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1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146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501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45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547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44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624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1"/>
          </reference>
        </references>
      </pivotArea>
    </format>
    <format dxfId="143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1198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142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219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141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500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40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43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39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12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38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438"/>
          </reference>
          <reference field="7" count="1">
            <x v="1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37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544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136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231"/>
          </reference>
          <reference field="7" count="1">
            <x v="3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35">
      <pivotArea dataOnly="0" labelOnly="1" outline="0" fieldPosition="0">
        <references count="9">
          <reference field="0" count="1" selected="0">
            <x v="12"/>
          </reference>
          <reference field="4" count="1" selected="0">
            <x v="2446"/>
          </reference>
          <reference field="7" count="1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34">
      <pivotArea dataOnly="0" labelOnly="1" outline="0" fieldPosition="0">
        <references count="10">
          <reference field="0" count="1" selected="0">
            <x v="0"/>
          </reference>
          <reference field="3" count="1">
            <x v="2"/>
          </reference>
          <reference field="4" count="1" selected="0">
            <x v="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133">
      <pivotArea dataOnly="0" labelOnly="1" outline="0" fieldPosition="0">
        <references count="10">
          <reference field="0" count="1" selected="0">
            <x v="0"/>
          </reference>
          <reference field="3" count="1">
            <x v="1283"/>
          </reference>
          <reference field="4" count="1" selected="0">
            <x v="1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132">
      <pivotArea dataOnly="0" labelOnly="1" outline="0" fieldPosition="0">
        <references count="10">
          <reference field="0" count="1" selected="0">
            <x v="9"/>
          </reference>
          <reference field="3" count="1">
            <x v="0"/>
          </reference>
          <reference field="4" count="1" selected="0">
            <x v="26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4"/>
          </reference>
        </references>
      </pivotArea>
    </format>
    <format dxfId="131">
      <pivotArea dataOnly="0" labelOnly="1" outline="0" fieldPosition="0">
        <references count="10">
          <reference field="0" count="1" selected="0">
            <x v="9"/>
          </reference>
          <reference field="3" count="1">
            <x v="1843"/>
          </reference>
          <reference field="4" count="1" selected="0">
            <x v="26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130">
      <pivotArea dataOnly="0" labelOnly="1" outline="0" fieldPosition="0">
        <references count="10">
          <reference field="0" count="1" selected="0">
            <x v="9"/>
          </reference>
          <reference field="3" count="1">
            <x v="0"/>
          </reference>
          <reference field="4" count="1" selected="0">
            <x v="26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4"/>
          </reference>
        </references>
      </pivotArea>
    </format>
    <format dxfId="129">
      <pivotArea dataOnly="0" labelOnly="1" outline="0" fieldPosition="0">
        <references count="10">
          <reference field="0" count="1" selected="0">
            <x v="9"/>
          </reference>
          <reference field="3" count="1">
            <x v="1844"/>
          </reference>
          <reference field="4" count="1" selected="0">
            <x v="26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128">
      <pivotArea dataOnly="0" labelOnly="1" outline="0" fieldPosition="0">
        <references count="10">
          <reference field="0" count="1" selected="0">
            <x v="9"/>
          </reference>
          <reference field="3" count="1">
            <x v="1845"/>
          </reference>
          <reference field="4" count="1" selected="0">
            <x v="2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127">
      <pivotArea dataOnly="0" labelOnly="1" outline="0" fieldPosition="0">
        <references count="10">
          <reference field="0" count="1" selected="0">
            <x v="9"/>
          </reference>
          <reference field="3" count="1">
            <x v="1846"/>
          </reference>
          <reference field="4" count="1" selected="0">
            <x v="26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126">
      <pivotArea dataOnly="0" labelOnly="1" outline="0" fieldPosition="0">
        <references count="10">
          <reference field="0" count="1" selected="0">
            <x v="10"/>
          </reference>
          <reference field="3" count="1">
            <x v="0"/>
          </reference>
          <reference field="4" count="1" selected="0">
            <x v="22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5">
      <pivotArea dataOnly="0" labelOnly="1" outline="0" fieldPosition="0">
        <references count="10">
          <reference field="0" count="1" selected="0">
            <x v="10"/>
          </reference>
          <reference field="3" count="1">
            <x v="1724"/>
          </reference>
          <reference field="4" count="1" selected="0">
            <x v="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4">
      <pivotArea dataOnly="0" labelOnly="1" outline="0" fieldPosition="0">
        <references count="10">
          <reference field="0" count="1" selected="0">
            <x v="10"/>
          </reference>
          <reference field="3" count="1">
            <x v="46"/>
          </reference>
          <reference field="4" count="1" selected="0">
            <x v="24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3">
      <pivotArea dataOnly="0" labelOnly="1" outline="0" fieldPosition="0">
        <references count="10">
          <reference field="0" count="1" selected="0">
            <x v="10"/>
          </reference>
          <reference field="3" count="1">
            <x v="1731"/>
          </reference>
          <reference field="4" count="1" selected="0">
            <x v="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"/>
          </reference>
        </references>
      </pivotArea>
    </format>
    <format dxfId="122">
      <pivotArea dataOnly="0" labelOnly="1" outline="0" fieldPosition="0">
        <references count="10">
          <reference field="0" count="1" selected="0">
            <x v="10"/>
          </reference>
          <reference field="3" count="1">
            <x v="0"/>
          </reference>
          <reference field="4" count="1" selected="0">
            <x v="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1">
      <pivotArea dataOnly="0" labelOnly="1" outline="0" fieldPosition="0">
        <references count="10">
          <reference field="0" count="1" selected="0">
            <x v="11"/>
          </reference>
          <reference field="3" count="1">
            <x v="1728"/>
          </reference>
          <reference field="4" count="1" selected="0">
            <x v="2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120">
      <pivotArea dataOnly="0" labelOnly="1" outline="0" fieldPosition="0">
        <references count="10">
          <reference field="0" count="1" selected="0">
            <x v="11"/>
          </reference>
          <reference field="3" count="1">
            <x v="46"/>
          </reference>
          <reference field="4" count="1" selected="0">
            <x v="11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119">
      <pivotArea dataOnly="0" labelOnly="1" outline="0" fieldPosition="0">
        <references count="10">
          <reference field="0" count="1" selected="0">
            <x v="11"/>
          </reference>
          <reference field="3" count="1">
            <x v="1842"/>
          </reference>
          <reference field="4" count="1" selected="0">
            <x v="264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20"/>
          </reference>
        </references>
      </pivotArea>
    </format>
    <format dxfId="118">
      <pivotArea dataOnly="0" labelOnly="1" outline="0" fieldPosition="0">
        <references count="10">
          <reference field="0" count="1" selected="0">
            <x v="11"/>
          </reference>
          <reference field="3" count="1">
            <x v="1664"/>
          </reference>
          <reference field="4" count="1" selected="0">
            <x v="23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117">
      <pivotArea dataOnly="0" labelOnly="1" outline="0" fieldPosition="0">
        <references count="10">
          <reference field="0" count="1" selected="0">
            <x v="11"/>
          </reference>
          <reference field="3" count="1">
            <x v="556"/>
          </reference>
          <reference field="4" count="1" selected="0">
            <x v="26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7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116">
      <pivotArea dataOnly="0" labelOnly="1" outline="0" fieldPosition="0">
        <references count="10">
          <reference field="0" count="1" selected="0">
            <x v="11"/>
          </reference>
          <reference field="3" count="1">
            <x v="0"/>
          </reference>
          <reference field="4" count="1" selected="0">
            <x v="194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2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0"/>
          </reference>
        </references>
      </pivotArea>
    </format>
    <format dxfId="115">
      <pivotArea dataOnly="0" labelOnly="1" outline="0" fieldPosition="0">
        <references count="10">
          <reference field="0" count="1" selected="0">
            <x v="11"/>
          </reference>
          <reference field="3" count="1">
            <x v="0"/>
          </reference>
          <reference field="4" count="1" selected="0">
            <x v="157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114">
      <pivotArea dataOnly="0" labelOnly="1" outline="0" fieldPosition="0">
        <references count="10">
          <reference field="0" count="1" selected="0">
            <x v="11"/>
          </reference>
          <reference field="3" count="1">
            <x v="0"/>
          </reference>
          <reference field="4" count="1" selected="0">
            <x v="4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13">
      <pivotArea dataOnly="0" labelOnly="1" outline="0" fieldPosition="0">
        <references count="10">
          <reference field="0" count="1" selected="0">
            <x v="11"/>
          </reference>
          <reference field="3" count="1">
            <x v="0"/>
          </reference>
          <reference field="4" count="1" selected="0">
            <x v="1585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3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112">
      <pivotArea dataOnly="0" labelOnly="1" outline="0" fieldPosition="0">
        <references count="10">
          <reference field="0" count="1" selected="0">
            <x v="11"/>
          </reference>
          <reference field="3" count="1">
            <x v="2"/>
          </reference>
          <reference field="4" count="1" selected="0">
            <x v="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5"/>
          </reference>
          <reference field="13" count="1" selected="0">
            <x v="1"/>
          </reference>
          <reference field="16" count="1" selected="0">
            <x v="1"/>
          </reference>
          <reference field="18" count="1" selected="0">
            <x v="17"/>
          </reference>
        </references>
      </pivotArea>
    </format>
    <format dxfId="111">
      <pivotArea dataOnly="0" labelOnly="1" outline="0" fieldPosition="0">
        <references count="10">
          <reference field="0" count="1" selected="0">
            <x v="11"/>
          </reference>
          <reference field="3" count="1">
            <x v="2"/>
          </reference>
          <reference field="4" count="1" selected="0">
            <x v="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110">
      <pivotArea dataOnly="0" labelOnly="1" outline="0" fieldPosition="0">
        <references count="10">
          <reference field="0" count="1" selected="0">
            <x v="11"/>
          </reference>
          <reference field="3" count="1">
            <x v="1729"/>
          </reference>
          <reference field="4" count="1" selected="0">
            <x v="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3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109">
      <pivotArea dataOnly="0" labelOnly="1" outline="0" fieldPosition="0">
        <references count="10">
          <reference field="0" count="1" selected="0">
            <x v="11"/>
          </reference>
          <reference field="3" count="1">
            <x v="1727"/>
          </reference>
          <reference field="4" count="1" selected="0">
            <x v="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3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3"/>
          </reference>
        </references>
      </pivotArea>
    </format>
    <format dxfId="108">
      <pivotArea dataOnly="0" labelOnly="1" outline="0" fieldPosition="0">
        <references count="10">
          <reference field="0" count="1" selected="0">
            <x v="11"/>
          </reference>
          <reference field="3" count="1">
            <x v="2"/>
          </reference>
          <reference field="4" count="1" selected="0">
            <x v="25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7"/>
          </reference>
        </references>
      </pivotArea>
    </format>
    <format dxfId="107">
      <pivotArea dataOnly="0" labelOnly="1" outline="0" fieldPosition="0">
        <references count="10">
          <reference field="0" count="1" selected="0">
            <x v="12"/>
          </reference>
          <reference field="3" count="1">
            <x v="1726"/>
          </reference>
          <reference field="4" count="1" selected="0">
            <x v="3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06">
      <pivotArea dataOnly="0" labelOnly="1" outline="0" fieldPosition="0">
        <references count="10">
          <reference field="0" count="1" selected="0">
            <x v="12"/>
          </reference>
          <reference field="3" count="1">
            <x v="1786"/>
          </reference>
          <reference field="4" count="1" selected="0">
            <x v="20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1"/>
          </reference>
        </references>
      </pivotArea>
    </format>
    <format dxfId="105">
      <pivotArea dataOnly="0" labelOnly="1" outline="0" fieldPosition="0">
        <references count="10">
          <reference field="0" count="1" selected="0">
            <x v="12"/>
          </reference>
          <reference field="3" count="1">
            <x v="1725"/>
          </reference>
          <reference field="4" count="1" selected="0">
            <x v="24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04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3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03">
      <pivotArea dataOnly="0" labelOnly="1" outline="0" fieldPosition="0">
        <references count="10">
          <reference field="0" count="1" selected="0">
            <x v="12"/>
          </reference>
          <reference field="3" count="1">
            <x v="1723"/>
          </reference>
          <reference field="4" count="1" selected="0">
            <x v="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02">
      <pivotArea dataOnly="0" labelOnly="1" outline="0" fieldPosition="0">
        <references count="10">
          <reference field="0" count="1" selected="0">
            <x v="12"/>
          </reference>
          <reference field="3" count="1">
            <x v="1721"/>
          </reference>
          <reference field="4" count="1" selected="0">
            <x v="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01">
      <pivotArea dataOnly="0" labelOnly="1" outline="0" fieldPosition="0">
        <references count="10">
          <reference field="0" count="1" selected="0">
            <x v="12"/>
          </reference>
          <reference field="3" count="1">
            <x v="1722"/>
          </reference>
          <reference field="4" count="1" selected="0">
            <x v="3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00">
      <pivotArea dataOnly="0" labelOnly="1" outline="0" fieldPosition="0">
        <references count="10">
          <reference field="0" count="1" selected="0">
            <x v="12"/>
          </reference>
          <reference field="3" count="1">
            <x v="1140"/>
          </reference>
          <reference field="4" count="1" selected="0">
            <x v="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99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24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98">
      <pivotArea dataOnly="0" labelOnly="1" outline="0" fieldPosition="0">
        <references count="10">
          <reference field="0" count="1" selected="0">
            <x v="12"/>
          </reference>
          <reference field="3" count="1">
            <x v="1767"/>
          </reference>
          <reference field="4" count="1" selected="0">
            <x v="250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97">
      <pivotArea dataOnly="0" labelOnly="1" outline="0" fieldPosition="0">
        <references count="10">
          <reference field="0" count="1" selected="0">
            <x v="12"/>
          </reference>
          <reference field="3" count="1">
            <x v="1768"/>
          </reference>
          <reference field="4" count="1" selected="0">
            <x v="25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5"/>
          </reference>
        </references>
      </pivotArea>
    </format>
    <format dxfId="96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25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95">
      <pivotArea dataOnly="0" labelOnly="1" outline="0" fieldPosition="0">
        <references count="10">
          <reference field="0" count="1" selected="0">
            <x v="12"/>
          </reference>
          <reference field="3" count="1">
            <x v="1833"/>
          </reference>
          <reference field="4" count="1" selected="0">
            <x v="262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1"/>
          </reference>
        </references>
      </pivotArea>
    </format>
    <format dxfId="94">
      <pivotArea dataOnly="0" labelOnly="1" outline="0" fieldPosition="0">
        <references count="10">
          <reference field="0" count="1" selected="0">
            <x v="12"/>
          </reference>
          <reference field="3" count="1">
            <x v="1720"/>
          </reference>
          <reference field="4" count="1" selected="0">
            <x v="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93">
      <pivotArea dataOnly="0" labelOnly="1" outline="0" fieldPosition="0">
        <references count="10">
          <reference field="0" count="1" selected="0">
            <x v="12"/>
          </reference>
          <reference field="3" count="1">
            <x v="1673"/>
          </reference>
          <reference field="4" count="1" selected="0">
            <x v="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92">
      <pivotArea dataOnly="0" labelOnly="1" outline="0" fieldPosition="0">
        <references count="10">
          <reference field="0" count="1" selected="0">
            <x v="12"/>
          </reference>
          <reference field="3" count="1">
            <x v="1742"/>
          </reference>
          <reference field="4" count="1" selected="0">
            <x v="5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9"/>
          </reference>
        </references>
      </pivotArea>
    </format>
    <format dxfId="91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11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90">
      <pivotArea dataOnly="0" labelOnly="1" outline="0" fieldPosition="0">
        <references count="10">
          <reference field="0" count="1" selected="0">
            <x v="12"/>
          </reference>
          <reference field="3" count="1">
            <x v="1785"/>
          </reference>
          <reference field="4" count="1" selected="0">
            <x v="22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89">
      <pivotArea dataOnly="0" labelOnly="1" outline="0" fieldPosition="0">
        <references count="10">
          <reference field="0" count="1" selected="0">
            <x v="12"/>
          </reference>
          <reference field="3" count="1">
            <x v="1282"/>
          </reference>
          <reference field="4" count="1" selected="0">
            <x v="222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88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25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87">
      <pivotArea dataOnly="0" labelOnly="1" outline="0" fieldPosition="0">
        <references count="10">
          <reference field="0" count="1" selected="0">
            <x v="12"/>
          </reference>
          <reference field="3" count="1">
            <x v="1718"/>
          </reference>
          <reference field="4" count="1" selected="0">
            <x v="4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86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1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85">
      <pivotArea dataOnly="0" labelOnly="1" outline="0" fieldPosition="0">
        <references count="10">
          <reference field="0" count="1" selected="0">
            <x v="12"/>
          </reference>
          <reference field="3" count="1">
            <x v="1841"/>
          </reference>
          <reference field="4" count="1" selected="0">
            <x v="4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84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25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83">
      <pivotArea dataOnly="0" labelOnly="1" outline="0" fieldPosition="0">
        <references count="10">
          <reference field="0" count="1" selected="0">
            <x v="12"/>
          </reference>
          <reference field="3" count="1">
            <x v="1784"/>
          </reference>
          <reference field="4" count="1" selected="0">
            <x v="25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82">
      <pivotArea dataOnly="0" labelOnly="1" outline="0" fieldPosition="0">
        <references count="10">
          <reference field="0" count="1" selected="0">
            <x v="12"/>
          </reference>
          <reference field="3" count="1">
            <x v="0"/>
          </reference>
          <reference field="4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81">
      <pivotArea dataOnly="0" labelOnly="1" outline="0" fieldPosition="0">
        <references count="11">
          <reference field="0" count="1" selected="0">
            <x v="0"/>
          </reference>
          <reference field="1" count="1">
            <x v="5170"/>
          </reference>
          <reference field="3" count="1" selected="0">
            <x v="2"/>
          </reference>
          <reference field="4" count="1" selected="0">
            <x v="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2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80">
      <pivotArea dataOnly="0" labelOnly="1" outline="0" fieldPosition="0">
        <references count="11">
          <reference field="0" count="1" selected="0">
            <x v="0"/>
          </reference>
          <reference field="1" count="1">
            <x v="4930"/>
          </reference>
          <reference field="3" count="1" selected="0">
            <x v="1283"/>
          </reference>
          <reference field="4" count="1" selected="0">
            <x v="120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79">
      <pivotArea dataOnly="0" labelOnly="1" outline="0" fieldPosition="0">
        <references count="11">
          <reference field="0" count="1" selected="0">
            <x v="9"/>
          </reference>
          <reference field="1" count="1">
            <x v="5163"/>
          </reference>
          <reference field="3" count="1" selected="0">
            <x v="0"/>
          </reference>
          <reference field="4" count="1" selected="0">
            <x v="2650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4"/>
          </reference>
        </references>
      </pivotArea>
    </format>
    <format dxfId="78">
      <pivotArea dataOnly="0" labelOnly="1" outline="0" fieldPosition="0">
        <references count="11">
          <reference field="0" count="1" selected="0">
            <x v="9"/>
          </reference>
          <reference field="1" count="1">
            <x v="5164"/>
          </reference>
          <reference field="3" count="1" selected="0">
            <x v="0"/>
          </reference>
          <reference field="4" count="1" selected="0">
            <x v="2651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77">
      <pivotArea dataOnly="0" labelOnly="1" outline="0" fieldPosition="0">
        <references count="11">
          <reference field="0" count="1" selected="0">
            <x v="9"/>
          </reference>
          <reference field="1" count="1">
            <x v="5165"/>
          </reference>
          <reference field="3" count="1" selected="0">
            <x v="1843"/>
          </reference>
          <reference field="4" count="1" selected="0">
            <x v="2652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76">
      <pivotArea dataOnly="0" labelOnly="1" outline="0" fieldPosition="0">
        <references count="11">
          <reference field="0" count="1" selected="0">
            <x v="9"/>
          </reference>
          <reference field="1" count="1">
            <x v="5166"/>
          </reference>
          <reference field="3" count="1" selected="0">
            <x v="0"/>
          </reference>
          <reference field="4" count="1" selected="0">
            <x v="2653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4"/>
          </reference>
        </references>
      </pivotArea>
    </format>
    <format dxfId="75">
      <pivotArea dataOnly="0" labelOnly="1" outline="0" fieldPosition="0">
        <references count="11">
          <reference field="0" count="1" selected="0">
            <x v="9"/>
          </reference>
          <reference field="1" count="1">
            <x v="5167"/>
          </reference>
          <reference field="3" count="1" selected="0">
            <x v="1844"/>
          </reference>
          <reference field="4" count="1" selected="0">
            <x v="265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74">
      <pivotArea dataOnly="0" labelOnly="1" outline="0" fieldPosition="0">
        <references count="11">
          <reference field="0" count="1" selected="0">
            <x v="9"/>
          </reference>
          <reference field="1" count="1">
            <x v="5168"/>
          </reference>
          <reference field="3" count="1" selected="0">
            <x v="1845"/>
          </reference>
          <reference field="4" count="1" selected="0">
            <x v="265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73">
      <pivotArea dataOnly="0" labelOnly="1" outline="0" fieldPosition="0">
        <references count="11">
          <reference field="0" count="1" selected="0">
            <x v="9"/>
          </reference>
          <reference field="1" count="1">
            <x v="5169"/>
          </reference>
          <reference field="3" count="1" selected="0">
            <x v="1846"/>
          </reference>
          <reference field="4" count="1" selected="0">
            <x v="2656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1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72">
      <pivotArea dataOnly="0" labelOnly="1" outline="0" fieldPosition="0">
        <references count="11">
          <reference field="0" count="1" selected="0">
            <x v="10"/>
          </reference>
          <reference field="1" count="1">
            <x v="4408"/>
          </reference>
          <reference field="3" count="1" selected="0">
            <x v="0"/>
          </reference>
          <reference field="4" count="1" selected="0">
            <x v="22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71">
      <pivotArea dataOnly="0" labelOnly="1" outline="0" fieldPosition="0">
        <references count="11">
          <reference field="0" count="1" selected="0">
            <x v="10"/>
          </reference>
          <reference field="1" count="1">
            <x v="4579"/>
          </reference>
          <reference field="3" count="1" selected="0">
            <x v="0"/>
          </reference>
          <reference field="4" count="1" selected="0">
            <x v="232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"/>
          </reference>
        </references>
      </pivotArea>
    </format>
    <format dxfId="70">
      <pivotArea dataOnly="0" labelOnly="1" outline="0" fieldPosition="0">
        <references count="11">
          <reference field="0" count="1" selected="0">
            <x v="10"/>
          </reference>
          <reference field="1" count="1">
            <x v="4709"/>
          </reference>
          <reference field="3" count="1" selected="0">
            <x v="0"/>
          </reference>
          <reference field="4" count="1" selected="0">
            <x v="239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69">
      <pivotArea dataOnly="0" labelOnly="1" outline="0" fieldPosition="0">
        <references count="11">
          <reference field="0" count="1" selected="0">
            <x v="10"/>
          </reference>
          <reference field="1" count="1">
            <x v="4839"/>
          </reference>
          <reference field="3" count="1" selected="0">
            <x v="0"/>
          </reference>
          <reference field="4" count="1" selected="0">
            <x v="24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"/>
          </reference>
        </references>
      </pivotArea>
    </format>
    <format dxfId="68">
      <pivotArea dataOnly="0" labelOnly="1" outline="0" fieldPosition="0">
        <references count="11">
          <reference field="0" count="1" selected="0">
            <x v="10"/>
          </reference>
          <reference field="1" count="1">
            <x v="5024"/>
          </reference>
          <reference field="3" count="1" selected="0">
            <x v="0"/>
          </reference>
          <reference field="4" count="1" selected="0">
            <x v="25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7">
      <pivotArea dataOnly="0" labelOnly="1" outline="0" fieldPosition="0">
        <references count="11">
          <reference field="0" count="1" selected="0">
            <x v="10"/>
          </reference>
          <reference field="1" count="1">
            <x v="4837"/>
          </reference>
          <reference field="3" count="1" selected="0">
            <x v="1724"/>
          </reference>
          <reference field="4" count="1" selected="0">
            <x v="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6">
      <pivotArea dataOnly="0" labelOnly="1" outline="0" fieldPosition="0">
        <references count="11">
          <reference field="0" count="1" selected="0">
            <x v="10"/>
          </reference>
          <reference field="1" count="1">
            <x v="4754"/>
          </reference>
          <reference field="3" count="1" selected="0">
            <x v="46"/>
          </reference>
          <reference field="4" count="1" selected="0">
            <x v="24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5">
      <pivotArea dataOnly="0" labelOnly="1" outline="0" fieldPosition="0">
        <references count="11">
          <reference field="0" count="1" selected="0">
            <x v="10"/>
          </reference>
          <reference field="1" count="1">
            <x v="4836"/>
          </reference>
          <reference field="3" count="1" selected="0">
            <x v="1731"/>
          </reference>
          <reference field="4" count="1" selected="0">
            <x v="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7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2"/>
          </reference>
        </references>
      </pivotArea>
    </format>
    <format dxfId="64">
      <pivotArea dataOnly="0" labelOnly="1" outline="0" fieldPosition="0">
        <references count="11">
          <reference field="0" count="1" selected="0">
            <x v="10"/>
          </reference>
          <reference field="1" count="1">
            <x v="3957"/>
          </reference>
          <reference field="3" count="1" selected="0">
            <x v="0"/>
          </reference>
          <reference field="4" count="1" selected="0">
            <x v="1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63">
      <pivotArea dataOnly="0" labelOnly="1" outline="0" fieldPosition="0">
        <references count="11">
          <reference field="0" count="1" selected="0">
            <x v="10"/>
          </reference>
          <reference field="1" count="1">
            <x v="5131"/>
          </reference>
          <reference field="3" count="1" selected="0">
            <x v="0"/>
          </reference>
          <reference field="4" count="1" selected="0">
            <x v="26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9"/>
          </reference>
        </references>
      </pivotArea>
    </format>
    <format dxfId="62">
      <pivotArea dataOnly="0" labelOnly="1" outline="0" fieldPosition="0">
        <references count="11">
          <reference field="0" count="1" selected="0">
            <x v="10"/>
          </reference>
          <reference field="1" count="1">
            <x v="4640"/>
          </reference>
          <reference field="3" count="1" selected="0">
            <x v="0"/>
          </reference>
          <reference field="4" count="1" selected="0">
            <x v="2359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"/>
          </reference>
        </references>
      </pivotArea>
    </format>
    <format dxfId="61">
      <pivotArea dataOnly="0" labelOnly="1" outline="0" fieldPosition="0">
        <references count="11">
          <reference field="0" count="1" selected="0">
            <x v="10"/>
          </reference>
          <reference field="1" count="1">
            <x v="4641"/>
          </reference>
          <reference field="3" count="1" selected="0">
            <x v="0"/>
          </reference>
          <reference field="4" count="1" selected="0">
            <x v="236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0"/>
          </reference>
        </references>
      </pivotArea>
    </format>
    <format dxfId="60">
      <pivotArea dataOnly="0" labelOnly="1" outline="0" fieldPosition="0">
        <references count="11">
          <reference field="0" count="1" selected="0">
            <x v="10"/>
          </reference>
          <reference field="1" count="1">
            <x v="5130"/>
          </reference>
          <reference field="3" count="1" selected="0">
            <x v="0"/>
          </reference>
          <reference field="4" count="1" selected="0">
            <x v="263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6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0"/>
          </reference>
        </references>
      </pivotArea>
    </format>
    <format dxfId="59">
      <pivotArea dataOnly="0" labelOnly="1" outline="0" fieldPosition="0">
        <references count="11">
          <reference field="0" count="1" selected="0">
            <x v="11"/>
          </reference>
          <reference field="1" count="1">
            <x v="4823"/>
          </reference>
          <reference field="3" count="1" selected="0">
            <x v="1728"/>
          </reference>
          <reference field="4" count="1" selected="0">
            <x v="29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1"/>
          </reference>
        </references>
      </pivotArea>
    </format>
    <format dxfId="58">
      <pivotArea dataOnly="0" labelOnly="1" outline="0" fieldPosition="0">
        <references count="11">
          <reference field="0" count="1" selected="0">
            <x v="11"/>
          </reference>
          <reference field="1" count="1">
            <x v="5161"/>
          </reference>
          <reference field="3" count="1" selected="0">
            <x v="46"/>
          </reference>
          <reference field="4" count="1" selected="0">
            <x v="11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4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4"/>
          </reference>
        </references>
      </pivotArea>
    </format>
    <format dxfId="57">
      <pivotArea dataOnly="0" labelOnly="1" outline="0" fieldPosition="0">
        <references count="11">
          <reference field="0" count="1" selected="0">
            <x v="11"/>
          </reference>
          <reference field="1" count="1">
            <x v="5160"/>
          </reference>
          <reference field="3" count="1" selected="0">
            <x v="1842"/>
          </reference>
          <reference field="4" count="1" selected="0">
            <x v="264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63"/>
          </reference>
          <reference field="12" count="1" selected="0">
            <x v="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20"/>
          </reference>
        </references>
      </pivotArea>
    </format>
    <format dxfId="56">
      <pivotArea dataOnly="0" labelOnly="1" outline="0" fieldPosition="0">
        <references count="11">
          <reference field="0" count="1" selected="0">
            <x v="11"/>
          </reference>
          <reference field="1" count="1">
            <x v="5162"/>
          </reference>
          <reference field="3" count="1" selected="0">
            <x v="1664"/>
          </reference>
          <reference field="4" count="1" selected="0">
            <x v="235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9"/>
          </reference>
          <reference field="12" count="1" selected="0">
            <x v="15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1"/>
          </reference>
        </references>
      </pivotArea>
    </format>
    <format dxfId="55">
      <pivotArea dataOnly="0" labelOnly="1" outline="0" fieldPosition="0">
        <references count="11">
          <reference field="0" count="1" selected="0">
            <x v="11"/>
          </reference>
          <reference field="1" count="1">
            <x v="5159"/>
          </reference>
          <reference field="3" count="1" selected="0">
            <x v="556"/>
          </reference>
          <reference field="4" count="1" selected="0">
            <x v="2648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37"/>
          </reference>
          <reference field="12" count="1" selected="0">
            <x v="2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54">
      <pivotArea dataOnly="0" labelOnly="1" outline="0" fieldPosition="0">
        <references count="11">
          <reference field="0" count="1" selected="0">
            <x v="11"/>
          </reference>
          <reference field="1" count="1">
            <x v="5158"/>
          </reference>
          <reference field="3" count="1" selected="0">
            <x v="0"/>
          </reference>
          <reference field="4" count="1" selected="0">
            <x v="194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22"/>
          </reference>
          <reference field="12" count="1" selected="0">
            <x v="26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0"/>
          </reference>
        </references>
      </pivotArea>
    </format>
    <format dxfId="53">
      <pivotArea dataOnly="0" labelOnly="1" outline="0" fieldPosition="0">
        <references count="11">
          <reference field="0" count="1" selected="0">
            <x v="11"/>
          </reference>
          <reference field="1" count="1">
            <x v="4886"/>
          </reference>
          <reference field="3" count="1" selected="0">
            <x v="0"/>
          </reference>
          <reference field="4" count="1" selected="0">
            <x v="1576"/>
          </reference>
          <reference field="7" count="1" selected="0">
            <x v="2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27"/>
          </reference>
          <reference field="13" count="1" selected="0">
            <x v="1"/>
          </reference>
          <reference field="16" count="1" selected="0">
            <x v="0"/>
          </reference>
          <reference field="18" count="1" selected="0">
            <x v="35"/>
          </reference>
        </references>
      </pivotArea>
    </format>
    <format dxfId="52">
      <pivotArea dataOnly="0" labelOnly="1" outline="0" fieldPosition="0">
        <references count="11">
          <reference field="0" count="1" selected="0">
            <x v="11"/>
          </reference>
          <reference field="1" count="1">
            <x v="4911"/>
          </reference>
          <reference field="3" count="1" selected="0">
            <x v="0"/>
          </reference>
          <reference field="4" count="1" selected="0">
            <x v="44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2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51">
      <pivotArea dataOnly="0" labelOnly="1" outline="0" fieldPosition="0">
        <references count="11">
          <reference field="0" count="1" selected="0">
            <x v="11"/>
          </reference>
          <reference field="1" count="1">
            <x v="5157"/>
          </reference>
          <reference field="3" count="1" selected="0">
            <x v="0"/>
          </reference>
          <reference field="4" count="1" selected="0">
            <x v="1585"/>
          </reference>
          <reference field="7" count="1" selected="0">
            <x v="2"/>
          </reference>
          <reference field="9" count="1" selected="0">
            <x v="0"/>
          </reference>
          <reference field="10" count="1" selected="0">
            <x v="22"/>
          </reference>
          <reference field="12" count="1" selected="0">
            <x v="33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7"/>
          </reference>
        </references>
      </pivotArea>
    </format>
    <format dxfId="50">
      <pivotArea dataOnly="0" labelOnly="1" outline="0" fieldPosition="0">
        <references count="11">
          <reference field="0" count="1" selected="0">
            <x v="11"/>
          </reference>
          <reference field="1" count="1">
            <x v="4833"/>
          </reference>
          <reference field="3" count="1" selected="0">
            <x v="2"/>
          </reference>
          <reference field="4" count="1" selected="0">
            <x v="14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35"/>
          </reference>
          <reference field="13" count="1" selected="0">
            <x v="1"/>
          </reference>
          <reference field="16" count="1" selected="0">
            <x v="1"/>
          </reference>
          <reference field="18" count="1" selected="0">
            <x v="17"/>
          </reference>
        </references>
      </pivotArea>
    </format>
    <format dxfId="49">
      <pivotArea dataOnly="0" labelOnly="1" outline="0" fieldPosition="0">
        <references count="11">
          <reference field="0" count="1" selected="0">
            <x v="11"/>
          </reference>
          <reference field="1" count="1">
            <x v="4822"/>
          </reference>
          <reference field="3" count="1" selected="0">
            <x v="2"/>
          </reference>
          <reference field="4" count="1" selected="0">
            <x v="13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38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48">
      <pivotArea dataOnly="0" labelOnly="1" outline="0" fieldPosition="0">
        <references count="11">
          <reference field="0" count="1" selected="0">
            <x v="11"/>
          </reference>
          <reference field="1" count="1">
            <x v="4824"/>
          </reference>
          <reference field="3" count="1" selected="0">
            <x v="1729"/>
          </reference>
          <reference field="4" count="1" selected="0">
            <x v="15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0"/>
          </reference>
          <reference field="12" count="1" selected="0">
            <x v="3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6"/>
          </reference>
        </references>
      </pivotArea>
    </format>
    <format dxfId="47">
      <pivotArea dataOnly="0" labelOnly="1" outline="0" fieldPosition="0">
        <references count="11">
          <reference field="0" count="1" selected="0">
            <x v="11"/>
          </reference>
          <reference field="1" count="1">
            <x v="4821"/>
          </reference>
          <reference field="3" count="1" selected="0">
            <x v="1727"/>
          </reference>
          <reference field="4" count="1" selected="0">
            <x v="41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21"/>
          </reference>
          <reference field="12" count="1" selected="0">
            <x v="39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3"/>
          </reference>
        </references>
      </pivotArea>
    </format>
    <format dxfId="46">
      <pivotArea dataOnly="0" labelOnly="1" outline="0" fieldPosition="0">
        <references count="11">
          <reference field="0" count="1" selected="0">
            <x v="11"/>
          </reference>
          <reference field="1" count="1">
            <x v="5022"/>
          </reference>
          <reference field="3" count="1" selected="0">
            <x v="2"/>
          </reference>
          <reference field="4" count="1" selected="0">
            <x v="2557"/>
          </reference>
          <reference field="7" count="1" selected="0">
            <x v="1"/>
          </reference>
          <reference field="9" count="1" selected="0">
            <x v="1"/>
          </reference>
          <reference field="10" count="1" selected="0">
            <x v="0"/>
          </reference>
          <reference field="12" count="1" selected="0">
            <x v="40"/>
          </reference>
          <reference field="13" count="1" selected="0">
            <x v="0"/>
          </reference>
          <reference field="16" count="1" selected="0">
            <x v="1"/>
          </reference>
          <reference field="18" count="1" selected="0">
            <x v="17"/>
          </reference>
        </references>
      </pivotArea>
    </format>
    <format dxfId="45">
      <pivotArea dataOnly="0" labelOnly="1" outline="0" fieldPosition="0">
        <references count="11">
          <reference field="0" count="1" selected="0">
            <x v="12"/>
          </reference>
          <reference field="1" count="1">
            <x v="4814"/>
          </reference>
          <reference field="3" count="1" selected="0">
            <x v="1726"/>
          </reference>
          <reference field="4" count="1" selected="0">
            <x v="3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44">
      <pivotArea dataOnly="0" labelOnly="1" outline="0" fieldPosition="0">
        <references count="11">
          <reference field="0" count="1" selected="0">
            <x v="12"/>
          </reference>
          <reference field="1" count="1">
            <x v="5010"/>
          </reference>
          <reference field="3" count="1" selected="0">
            <x v="1786"/>
          </reference>
          <reference field="4" count="1" selected="0">
            <x v="208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1"/>
          </reference>
        </references>
      </pivotArea>
    </format>
    <format dxfId="43">
      <pivotArea dataOnly="0" labelOnly="1" outline="0" fieldPosition="0">
        <references count="11">
          <reference field="0" count="1" selected="0">
            <x v="12"/>
          </reference>
          <reference field="1" count="1">
            <x v="4813"/>
          </reference>
          <reference field="3" count="1" selected="0">
            <x v="1725"/>
          </reference>
          <reference field="4" count="1" selected="0">
            <x v="245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42">
      <pivotArea dataOnly="0" labelOnly="1" outline="0" fieldPosition="0">
        <references count="11">
          <reference field="0" count="1" selected="0">
            <x v="12"/>
          </reference>
          <reference field="1" count="1">
            <x v="4200"/>
          </reference>
          <reference field="3" count="1" selected="0">
            <x v="0"/>
          </reference>
          <reference field="4" count="1" selected="0">
            <x v="38"/>
          </reference>
          <reference field="7" count="1" selected="0">
            <x v="0"/>
          </reference>
          <reference field="9" count="1" selected="0">
            <x v="1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41">
      <pivotArea dataOnly="0" labelOnly="1" outline="0" fieldPosition="0">
        <references count="11">
          <reference field="0" count="1" selected="0">
            <x v="12"/>
          </reference>
          <reference field="1" count="1">
            <x v="4476"/>
          </reference>
          <reference field="3" count="1" selected="0">
            <x v="0"/>
          </reference>
          <reference field="4" count="1" selected="0">
            <x v="28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40">
      <pivotArea dataOnly="0" labelOnly="1" outline="0" fieldPosition="0">
        <references count="11">
          <reference field="0" count="1" selected="0">
            <x v="12"/>
          </reference>
          <reference field="1" count="1">
            <x v="4666"/>
          </reference>
          <reference field="3" count="1" selected="0">
            <x v="0"/>
          </reference>
          <reference field="4" count="1" selected="0">
            <x v="13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9">
      <pivotArea dataOnly="0" labelOnly="1" outline="0" fieldPosition="0">
        <references count="11">
          <reference field="0" count="1" selected="0">
            <x v="12"/>
          </reference>
          <reference field="1" count="1">
            <x v="4810"/>
          </reference>
          <reference field="3" count="1" selected="0">
            <x v="1723"/>
          </reference>
          <reference field="4" count="1" selected="0">
            <x v="5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8">
      <pivotArea dataOnly="0" labelOnly="1" outline="0" fieldPosition="0">
        <references count="11">
          <reference field="0" count="1" selected="0">
            <x v="12"/>
          </reference>
          <reference field="1" count="1">
            <x v="4808"/>
          </reference>
          <reference field="3" count="1" selected="0">
            <x v="1721"/>
          </reference>
          <reference field="4" count="1" selected="0">
            <x v="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7">
      <pivotArea dataOnly="0" labelOnly="1" outline="0" fieldPosition="0">
        <references count="11">
          <reference field="0" count="1" selected="0">
            <x v="12"/>
          </reference>
          <reference field="1" count="1">
            <x v="4809"/>
          </reference>
          <reference field="3" count="1" selected="0">
            <x v="1722"/>
          </reference>
          <reference field="4" count="1" selected="0">
            <x v="3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36">
      <pivotArea dataOnly="0" labelOnly="1" outline="0" fieldPosition="0">
        <references count="11">
          <reference field="0" count="1" selected="0">
            <x v="12"/>
          </reference>
          <reference field="1" count="1">
            <x v="5005"/>
          </reference>
          <reference field="3" count="1" selected="0">
            <x v="1140"/>
          </reference>
          <reference field="4" count="1" selected="0">
            <x v="1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8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35">
      <pivotArea dataOnly="0" labelOnly="1" outline="0" fieldPosition="0">
        <references count="11">
          <reference field="0" count="1" selected="0">
            <x v="12"/>
          </reference>
          <reference field="1" count="1">
            <x v="4806"/>
          </reference>
          <reference field="3" count="1" selected="0">
            <x v="0"/>
          </reference>
          <reference field="4" count="1" selected="0">
            <x v="245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9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4">
      <pivotArea dataOnly="0" labelOnly="1" outline="0" fieldPosition="0">
        <references count="11">
          <reference field="0" count="1" selected="0">
            <x v="12"/>
          </reference>
          <reference field="1" count="1">
            <x v="4935"/>
          </reference>
          <reference field="3" count="1" selected="0">
            <x v="1767"/>
          </reference>
          <reference field="4" count="1" selected="0">
            <x v="2501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33">
      <pivotArea dataOnly="0" labelOnly="1" outline="0" fieldPosition="0">
        <references count="11">
          <reference field="0" count="1" selected="0">
            <x v="12"/>
          </reference>
          <reference field="1" count="1">
            <x v="4936"/>
          </reference>
          <reference field="3" count="1" selected="0">
            <x v="1768"/>
          </reference>
          <reference field="4" count="1" selected="0">
            <x v="2502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5"/>
          </reference>
        </references>
      </pivotArea>
    </format>
    <format dxfId="32">
      <pivotArea dataOnly="0" labelOnly="1" outline="0" fieldPosition="0">
        <references count="11">
          <reference field="0" count="1" selected="0">
            <x v="12"/>
          </reference>
          <reference field="1" count="1">
            <x v="5003"/>
          </reference>
          <reference field="3" count="1" selected="0">
            <x v="0"/>
          </reference>
          <reference field="4" count="1" selected="0">
            <x v="25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31">
      <pivotArea dataOnly="0" labelOnly="1" outline="0" fieldPosition="0">
        <references count="11">
          <reference field="0" count="1" selected="0">
            <x v="12"/>
          </reference>
          <reference field="1" count="1">
            <x v="5076"/>
          </reference>
          <reference field="3" count="1" selected="0">
            <x v="0"/>
          </reference>
          <reference field="4" count="1" selected="0">
            <x v="260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30">
      <pivotArea dataOnly="0" labelOnly="1" outline="0" fieldPosition="0">
        <references count="11">
          <reference field="0" count="1" selected="0">
            <x v="12"/>
          </reference>
          <reference field="1" count="1">
            <x v="5110"/>
          </reference>
          <reference field="3" count="1" selected="0">
            <x v="0"/>
          </reference>
          <reference field="4" count="1" selected="0">
            <x v="262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29">
      <pivotArea dataOnly="0" labelOnly="1" outline="0" fieldPosition="0">
        <references count="11">
          <reference field="0" count="1" selected="0">
            <x v="12"/>
          </reference>
          <reference field="1" count="1">
            <x v="5111"/>
          </reference>
          <reference field="3" count="1" selected="0">
            <x v="1833"/>
          </reference>
          <reference field="4" count="1" selected="0">
            <x v="2624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1"/>
          </reference>
        </references>
      </pivotArea>
    </format>
    <format dxfId="28">
      <pivotArea dataOnly="0" labelOnly="1" outline="0" fieldPosition="0">
        <references count="11">
          <reference field="0" count="1" selected="0">
            <x v="12"/>
          </reference>
          <reference field="1" count="1">
            <x v="5154"/>
          </reference>
          <reference field="3" count="1" selected="0">
            <x v="1720"/>
          </reference>
          <reference field="4" count="1" selected="0">
            <x v="2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8"/>
          </reference>
        </references>
      </pivotArea>
    </format>
    <format dxfId="27">
      <pivotArea dataOnly="0" labelOnly="1" outline="0" fieldPosition="0">
        <references count="11">
          <reference field="0" count="1" selected="0">
            <x v="12"/>
          </reference>
          <reference field="1" count="1">
            <x v="5152"/>
          </reference>
          <reference field="3" count="1" selected="0">
            <x v="1673"/>
          </reference>
          <reference field="4" count="1" selected="0">
            <x v="46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26">
      <pivotArea dataOnly="0" labelOnly="1" outline="0" fieldPosition="0">
        <references count="11">
          <reference field="0" count="1" selected="0">
            <x v="12"/>
          </reference>
          <reference field="1" count="1">
            <x v="5153"/>
          </reference>
          <reference field="3" count="1" selected="0">
            <x v="1742"/>
          </reference>
          <reference field="4" count="1" selected="0">
            <x v="5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9"/>
          </reference>
        </references>
      </pivotArea>
    </format>
    <format dxfId="25">
      <pivotArea dataOnly="0" labelOnly="1" outline="0" fieldPosition="0">
        <references count="11">
          <reference field="0" count="1" selected="0">
            <x v="12"/>
          </reference>
          <reference field="1" count="1">
            <x v="4621"/>
          </reference>
          <reference field="3" count="1" selected="0">
            <x v="0"/>
          </reference>
          <reference field="4" count="1" selected="0">
            <x v="1198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24">
      <pivotArea dataOnly="0" labelOnly="1" outline="0" fieldPosition="0">
        <references count="11">
          <reference field="0" count="1" selected="0">
            <x v="12"/>
          </reference>
          <reference field="1" count="1">
            <x v="5001"/>
          </reference>
          <reference field="3" count="1" selected="0">
            <x v="0"/>
          </reference>
          <reference field="4" count="1" selected="0">
            <x v="167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1"/>
          </reference>
        </references>
      </pivotArea>
    </format>
    <format dxfId="23">
      <pivotArea dataOnly="0" labelOnly="1" outline="0" fieldPosition="0">
        <references count="11">
          <reference field="0" count="1" selected="0">
            <x v="12"/>
          </reference>
          <reference field="1" count="1">
            <x v="4998"/>
          </reference>
          <reference field="3" count="1" selected="0">
            <x v="1785"/>
          </reference>
          <reference field="4" count="1" selected="0">
            <x v="2219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5"/>
          </reference>
        </references>
      </pivotArea>
    </format>
    <format dxfId="22">
      <pivotArea dataOnly="0" labelOnly="1" outline="0" fieldPosition="0">
        <references count="11">
          <reference field="0" count="1" selected="0">
            <x v="12"/>
          </reference>
          <reference field="1" count="1">
            <x v="4999"/>
          </reference>
          <reference field="3" count="1" selected="0">
            <x v="1282"/>
          </reference>
          <reference field="4" count="1" selected="0">
            <x v="2220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21">
      <pivotArea dataOnly="0" labelOnly="1" outline="0" fieldPosition="0">
        <references count="11">
          <reference field="0" count="1" selected="0">
            <x v="12"/>
          </reference>
          <reference field="1" count="1">
            <x v="4934"/>
          </reference>
          <reference field="3" count="1" selected="0">
            <x v="0"/>
          </reference>
          <reference field="4" count="1" selected="0">
            <x v="2500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20">
      <pivotArea dataOnly="0" labelOnly="1" outline="0" fieldPosition="0">
        <references count="11">
          <reference field="0" count="1" selected="0">
            <x v="12"/>
          </reference>
          <reference field="1" count="1">
            <x v="5000"/>
          </reference>
          <reference field="3" count="1" selected="0">
            <x v="0"/>
          </reference>
          <reference field="4" count="1" selected="0">
            <x v="25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9">
      <pivotArea dataOnly="0" labelOnly="1" outline="0" fieldPosition="0">
        <references count="11">
          <reference field="0" count="1" selected="0">
            <x v="12"/>
          </reference>
          <reference field="1" count="1">
            <x v="5108"/>
          </reference>
          <reference field="3" count="1" selected="0">
            <x v="0"/>
          </reference>
          <reference field="4" count="1" selected="0">
            <x v="262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8">
      <pivotArea dataOnly="0" labelOnly="1" outline="0" fieldPosition="0">
        <references count="11">
          <reference field="0" count="1" selected="0">
            <x v="12"/>
          </reference>
          <reference field="1" count="1">
            <x v="4799"/>
          </reference>
          <reference field="3" count="1" selected="0">
            <x v="1718"/>
          </reference>
          <reference field="4" count="1" selected="0">
            <x v="43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4"/>
          </reference>
        </references>
      </pivotArea>
    </format>
    <format dxfId="17">
      <pivotArea dataOnly="0" labelOnly="1" outline="0" fieldPosition="0">
        <references count="11">
          <reference field="0" count="1" selected="0">
            <x v="12"/>
          </reference>
          <reference field="1" count="1">
            <x v="4997"/>
          </reference>
          <reference field="3" count="1" selected="0">
            <x v="0"/>
          </reference>
          <reference field="4" count="1" selected="0">
            <x v="12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6">
      <pivotArea dataOnly="0" labelOnly="1" outline="0" fieldPosition="0">
        <references count="11">
          <reference field="0" count="1" selected="0">
            <x v="12"/>
          </reference>
          <reference field="1" count="1">
            <x v="5151"/>
          </reference>
          <reference field="3" count="1" selected="0">
            <x v="1841"/>
          </reference>
          <reference field="4" count="1" selected="0">
            <x v="438"/>
          </reference>
          <reference field="7" count="1" selected="0">
            <x v="1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15">
      <pivotArea dataOnly="0" labelOnly="1" outline="0" fieldPosition="0">
        <references count="11">
          <reference field="0" count="1" selected="0">
            <x v="12"/>
          </reference>
          <reference field="1" count="1">
            <x v="4995"/>
          </reference>
          <reference field="3" count="1" selected="0">
            <x v="0"/>
          </reference>
          <reference field="4" count="1" selected="0">
            <x v="25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2"/>
          </reference>
        </references>
      </pivotArea>
    </format>
    <format dxfId="14">
      <pivotArea dataOnly="0" labelOnly="1" outline="0" fieldPosition="0">
        <references count="11">
          <reference field="0" count="1" selected="0">
            <x v="12"/>
          </reference>
          <reference field="1" count="1">
            <x v="4996"/>
          </reference>
          <reference field="3" count="1" selected="0">
            <x v="1784"/>
          </reference>
          <reference field="4" count="1" selected="0">
            <x v="25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13">
      <pivotArea dataOnly="0" labelOnly="1" outline="0" fieldPosition="0">
        <references count="11">
          <reference field="0" count="1" selected="0">
            <x v="12"/>
          </reference>
          <reference field="1" count="1">
            <x v="5150"/>
          </reference>
          <reference field="3" count="1" selected="0">
            <x v="0"/>
          </reference>
          <reference field="4" count="1" selected="0">
            <x v="26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3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2">
      <pivotArea dataOnly="0" labelOnly="1" outline="0" fieldPosition="0">
        <references count="11">
          <reference field="0" count="1" selected="0">
            <x v="12"/>
          </reference>
          <reference field="1" count="1">
            <x v="4994"/>
          </reference>
          <reference field="3" count="1" selected="0">
            <x v="0"/>
          </reference>
          <reference field="4" count="1" selected="0">
            <x v="195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11">
      <pivotArea dataOnly="0" labelOnly="1" outline="0" fieldPosition="0">
        <references count="11">
          <reference field="0" count="1" selected="0">
            <x v="12"/>
          </reference>
          <reference field="1" count="1">
            <x v="5106"/>
          </reference>
          <reference field="3" count="1" selected="0">
            <x v="0"/>
          </reference>
          <reference field="4" count="1" selected="0">
            <x v="121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10">
      <pivotArea dataOnly="0" labelOnly="1" outline="0" fieldPosition="0">
        <references count="11">
          <reference field="0" count="1" selected="0">
            <x v="12"/>
          </reference>
          <reference field="1" count="1">
            <x v="4852"/>
          </reference>
          <reference field="3" count="1" selected="0">
            <x v="0"/>
          </reference>
          <reference field="4" count="1" selected="0">
            <x v="2231"/>
          </reference>
          <reference field="7" count="1" selected="0">
            <x v="3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9">
      <pivotArea dataOnly="0" labelOnly="1" outline="0" fieldPosition="0">
        <references count="11">
          <reference field="0" count="1" selected="0">
            <x v="12"/>
          </reference>
          <reference field="1" count="1">
            <x v="4796"/>
          </reference>
          <reference field="3" count="1" selected="0">
            <x v="0"/>
          </reference>
          <reference field="4" count="1" selected="0">
            <x v="2446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"/>
          </reference>
        </references>
      </pivotArea>
    </format>
    <format dxfId="8">
      <pivotArea dataOnly="0" labelOnly="1" outline="0" fieldPosition="0">
        <references count="11">
          <reference field="0" count="1" selected="0">
            <x v="12"/>
          </reference>
          <reference field="1" count="1">
            <x v="4992"/>
          </reference>
          <reference field="3" count="1" selected="0">
            <x v="0"/>
          </reference>
          <reference field="4" count="1" selected="0">
            <x v="254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7">
      <pivotArea dataOnly="0" labelOnly="1" outline="0" fieldPosition="0">
        <references count="11">
          <reference field="0" count="1" selected="0">
            <x v="12"/>
          </reference>
          <reference field="1" count="1">
            <x v="4993"/>
          </reference>
          <reference field="3" count="1" selected="0">
            <x v="0"/>
          </reference>
          <reference field="4" count="1" selected="0">
            <x v="2543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1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6">
      <pivotArea dataOnly="0" labelOnly="1" outline="0" fieldPosition="0">
        <references count="11">
          <reference field="0" count="1" selected="0">
            <x v="12"/>
          </reference>
          <reference field="1" count="1">
            <x v="5013"/>
          </reference>
          <reference field="3" count="1" selected="0">
            <x v="0"/>
          </reference>
          <reference field="4" count="1" selected="0">
            <x v="255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25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37"/>
          </reference>
        </references>
      </pivotArea>
    </format>
    <format dxfId="5">
      <pivotArea dataOnly="0" labelOnly="1" outline="0" fieldPosition="0">
        <references count="11">
          <reference field="0" count="1" selected="0">
            <x v="12"/>
          </reference>
          <reference field="1" count="1">
            <x v="5156"/>
          </reference>
          <reference field="3" count="1" selected="0">
            <x v="0"/>
          </reference>
          <reference field="4" count="1" selected="0">
            <x v="2647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1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58"/>
          </reference>
        </references>
      </pivotArea>
    </format>
    <format dxfId="4">
      <pivotArea dataOnly="0" labelOnly="1" outline="0" fieldPosition="0">
        <references count="11">
          <reference field="0" count="1" selected="0">
            <x v="12"/>
          </reference>
          <reference field="1" count="1">
            <x v="5148"/>
          </reference>
          <reference field="3" count="1" selected="0">
            <x v="0"/>
          </reference>
          <reference field="4" count="1" selected="0">
            <x v="2644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0"/>
          </reference>
        </references>
      </pivotArea>
    </format>
    <format dxfId="3">
      <pivotArea dataOnly="0" labelOnly="1" outline="0" fieldPosition="0">
        <references count="11">
          <reference field="0" count="1" selected="0">
            <x v="12"/>
          </reference>
          <reference field="1" count="1">
            <x v="5149"/>
          </reference>
          <reference field="3" count="1" selected="0">
            <x v="0"/>
          </reference>
          <reference field="4" count="1" selected="0">
            <x v="264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34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1"/>
          </reference>
        </references>
      </pivotArea>
    </format>
    <format dxfId="2">
      <pivotArea dataOnly="0" labelOnly="1" outline="0" fieldPosition="0">
        <references count="11">
          <reference field="0" count="1" selected="0">
            <x v="12"/>
          </reference>
          <reference field="1" count="1">
            <x v="5155"/>
          </reference>
          <reference field="3" count="1" selected="0">
            <x v="0"/>
          </reference>
          <reference field="4" count="1" selected="0">
            <x v="362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0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6"/>
          </reference>
        </references>
      </pivotArea>
    </format>
    <format dxfId="1">
      <pivotArea dataOnly="0" labelOnly="1" outline="0" fieldPosition="0">
        <references count="11">
          <reference field="0" count="1" selected="0">
            <x v="12"/>
          </reference>
          <reference field="1" count="1">
            <x v="4472"/>
          </reference>
          <reference field="3" count="1" selected="0">
            <x v="0"/>
          </reference>
          <reference field="4" count="1" selected="0">
            <x v="2235"/>
          </reference>
          <reference field="7" count="1" selected="0">
            <x v="0"/>
          </reference>
          <reference field="9" count="1" selected="0">
            <x v="0"/>
          </reference>
          <reference field="10" count="1" selected="0">
            <x v="42"/>
          </reference>
          <reference field="12" count="1" selected="0">
            <x v="0"/>
          </reference>
          <reference field="13" count="1" selected="0">
            <x v="0"/>
          </reference>
          <reference field="16" count="1" selected="0">
            <x v="0"/>
          </reference>
          <reference field="18" count="1" selected="0">
            <x v="7"/>
          </reference>
        </references>
      </pivotArea>
    </format>
    <format dxfId="0">
      <pivotArea dataOnly="0" labelOnly="1" outline="0" axis="axisValues" fieldPosition="0"/>
    </format>
  </formats>
  <conditionalFormats count="1">
    <conditionalFormat scope="field" priority="20">
      <pivotAreas count="1">
        <pivotArea outline="0" collapsedLevelsAreSubtotals="1" fieldPosition="0">
          <references count="2">
            <reference field="4294967294" count="1" selected="0">
              <x v="0"/>
            </reference>
            <reference field="1" count="0" selected="0"/>
          </references>
        </pivotArea>
      </pivotAreas>
    </conditionalFormat>
  </conditionalFormat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4767428-5DA6-429D-8185-0A2D791CB7FE}" name="InputData" displayName="InputData" ref="A1:S82" totalsRowShown="0">
  <autoFilter ref="A1:S82" xr:uid="{B40A5414-01BD-4D37-AFC8-8847DF897682}"/>
  <tableColumns count="19">
    <tableColumn id="1" xr3:uid="{75FF7369-3157-4C49-9F47-9453AA1F6DB8}" name="Section"/>
    <tableColumn id="2" xr3:uid="{6BE77B28-5B0D-4DE7-8E55-EE506B0AA060}" name="Aviso"/>
    <tableColumn id="3" xr3:uid="{68C5810F-7C2D-48B9-8382-B63993462FC7}" name="Anunciante"/>
    <tableColumn id="4" xr3:uid="{4766FB18-E708-4F76-9178-4D3B6C9C61F5}" name="Cod. Neg."/>
    <tableColumn id="5" xr3:uid="{5CC342FD-BBCC-461C-BEC5-DC85ECA9C2AE}" name="Referencia"/>
    <tableColumn id="6" xr3:uid="{68B91933-2260-4575-B59D-226EB160FE7D}" name="Comentario"/>
    <tableColumn id="7" xr3:uid="{926A7BBC-B78A-4D8B-836A-780F19A2AE42}" name="Tipo de aviso"/>
    <tableColumn id="8" xr3:uid="{6A214373-55FE-4882-8FD0-2B025BA4E037}" name="Forma de Pago"/>
    <tableColumn id="9" xr3:uid="{A61DA2A6-741E-4A9C-ADF2-9FC6F14600B1}" name="Precio"/>
    <tableColumn id="10" xr3:uid="{357FB26B-A4C3-489D-9416-D5C62DD84BAC}" name="Color"/>
    <tableColumn id="11" xr3:uid="{68056A5E-306C-421A-9464-C5C116DB0395}" name="Ubic.Pretendida"/>
    <tableColumn id="12" xr3:uid="{2A337A22-65AE-4142-8AD2-948521D8B030}" name="Ubic.Obtenida"/>
    <tableColumn id="13" xr3:uid="{4452B0D3-61FE-4C06-839A-26654F8D1242}" name="Nro pag"/>
    <tableColumn id="14" xr3:uid="{8F908F52-DB41-4B6E-8CBB-D821CA62C507}" name="Original"/>
    <tableColumn id="15" xr3:uid="{977A3CE3-DFED-49DC-8ADD-A8BF66CAAC29}" name="Col"/>
    <tableColumn id="16" xr3:uid="{DB377BD5-8737-46B8-8F20-D3CCE1F747EB}" name="AltoCm"/>
    <tableColumn id="17" xr3:uid="{3DB1F4A3-7586-402A-8078-13564F2F36C8}" name="Evaluate Location" dataDxfId="1428">
      <calculatedColumnFormula>EVALUATE_LOCATION(InputData[[#This Row],[Section]],InputData[[#This Row],[Forma de Pago]],InputData[[#This Row],[Ubic.Pretendida]],InputData[[#This Row],[Nro pag]])</calculatedColumnFormula>
    </tableColumn>
    <tableColumn id="18" xr3:uid="{FEE65DDF-2565-4AFC-894A-630D005B812D}" name="Alto" dataDxfId="1427">
      <calculatedColumnFormula>ROUND(InputData[[#This Row],[AltoCm]],0)</calculatedColumnFormula>
    </tableColumn>
    <tableColumn id="19" xr3:uid="{2C655DF0-8ECF-4825-A111-DFD8E2E07311}" name="Medida" dataDxfId="1426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lice">
  <a:themeElements>
    <a:clrScheme name="Slice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lice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lice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0B2B64-6D22-4D9E-ABDF-13607BDA8E1D}">
  <sheetPr codeName="Sheet1"/>
  <dimension ref="A1:S82"/>
  <sheetViews>
    <sheetView showOutlineSymbols="0" workbookViewId="0">
      <selection activeCell="T1" sqref="T1:T1048576"/>
    </sheetView>
  </sheetViews>
  <sheetFormatPr defaultColWidth="6.85546875" defaultRowHeight="12.75" customHeight="1" x14ac:dyDescent="0.2"/>
  <cols>
    <col min="1" max="1" width="10" customWidth="1"/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1.140625" customWidth="1"/>
    <col min="20" max="20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x14ac:dyDescent="0.2">
      <c r="A2" t="s">
        <v>19</v>
      </c>
      <c r="B2" t="s">
        <v>211</v>
      </c>
      <c r="C2" t="s">
        <v>120</v>
      </c>
      <c r="E2" t="s">
        <v>121</v>
      </c>
      <c r="G2" t="s">
        <v>23</v>
      </c>
      <c r="H2" t="s">
        <v>171</v>
      </c>
      <c r="I2" s="2">
        <v>0</v>
      </c>
      <c r="J2" t="s">
        <v>21</v>
      </c>
      <c r="K2" t="s">
        <v>115</v>
      </c>
      <c r="M2" s="3">
        <v>0</v>
      </c>
      <c r="N2" t="s">
        <v>22</v>
      </c>
      <c r="O2" s="1">
        <v>1</v>
      </c>
      <c r="P2" s="4">
        <v>2.0000000005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2</v>
      </c>
      <c r="S2" t="str">
        <f>InputData[[#This Row],[Col]]&amp;"x"&amp;IF(LEN(InputData[[#This Row],[Alto]])=2,InputData[[#This Row],[Alto]],"0"&amp;InputData[[#This Row],[Alto]])</f>
        <v>1x02</v>
      </c>
    </row>
    <row r="3" spans="1:19" x14ac:dyDescent="0.2">
      <c r="A3" t="s">
        <v>19</v>
      </c>
      <c r="B3" t="s">
        <v>172</v>
      </c>
      <c r="C3" t="s">
        <v>136</v>
      </c>
      <c r="E3" t="s">
        <v>173</v>
      </c>
      <c r="G3" t="s">
        <v>23</v>
      </c>
      <c r="H3" t="s">
        <v>24</v>
      </c>
      <c r="I3" s="2">
        <v>95.024000000000001</v>
      </c>
      <c r="J3" t="s">
        <v>21</v>
      </c>
      <c r="K3" t="s">
        <v>115</v>
      </c>
      <c r="M3" s="3">
        <v>0</v>
      </c>
      <c r="N3" t="s">
        <v>22</v>
      </c>
      <c r="O3" s="1">
        <v>1</v>
      </c>
      <c r="P3" s="4">
        <v>5.0000000012500001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5</v>
      </c>
      <c r="S3" t="str">
        <f>InputData[[#This Row],[Col]]&amp;"x"&amp;IF(LEN(InputData[[#This Row],[Alto]])=2,InputData[[#This Row],[Alto]],"0"&amp;InputData[[#This Row],[Alto]])</f>
        <v>1x05</v>
      </c>
    </row>
    <row r="4" spans="1:19" x14ac:dyDescent="0.2">
      <c r="A4" t="s">
        <v>19</v>
      </c>
      <c r="B4" t="s">
        <v>242</v>
      </c>
      <c r="C4" t="s">
        <v>243</v>
      </c>
      <c r="E4" t="s">
        <v>244</v>
      </c>
      <c r="F4" t="s">
        <v>245</v>
      </c>
      <c r="G4" t="s">
        <v>23</v>
      </c>
      <c r="H4" t="s">
        <v>24</v>
      </c>
      <c r="I4" s="2">
        <v>38.785714285714285</v>
      </c>
      <c r="J4" t="s">
        <v>21</v>
      </c>
      <c r="K4" t="s">
        <v>115</v>
      </c>
      <c r="M4" s="3">
        <v>0</v>
      </c>
      <c r="N4" t="s">
        <v>22</v>
      </c>
      <c r="O4" s="1">
        <v>1</v>
      </c>
      <c r="P4" s="4">
        <v>2.0000000005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2</v>
      </c>
      <c r="S4" t="str">
        <f>InputData[[#This Row],[Col]]&amp;"x"&amp;IF(LEN(InputData[[#This Row],[Alto]])=2,InputData[[#This Row],[Alto]],"0"&amp;InputData[[#This Row],[Alto]])</f>
        <v>1x02</v>
      </c>
    </row>
    <row r="5" spans="1:19" x14ac:dyDescent="0.2">
      <c r="A5" t="s">
        <v>19</v>
      </c>
      <c r="B5" t="s">
        <v>246</v>
      </c>
      <c r="C5" t="s">
        <v>243</v>
      </c>
      <c r="E5" t="s">
        <v>247</v>
      </c>
      <c r="F5" t="s">
        <v>245</v>
      </c>
      <c r="G5" t="s">
        <v>23</v>
      </c>
      <c r="H5" t="s">
        <v>24</v>
      </c>
      <c r="I5" s="2">
        <v>38.785714285714285</v>
      </c>
      <c r="J5" t="s">
        <v>21</v>
      </c>
      <c r="K5" t="s">
        <v>115</v>
      </c>
      <c r="M5" s="3">
        <v>0</v>
      </c>
      <c r="N5" t="s">
        <v>22</v>
      </c>
      <c r="O5" s="1">
        <v>1</v>
      </c>
      <c r="P5" s="4">
        <v>2.0000000005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2</v>
      </c>
      <c r="S5" t="str">
        <f>InputData[[#This Row],[Col]]&amp;"x"&amp;IF(LEN(InputData[[#This Row],[Alto]])=2,InputData[[#This Row],[Alto]],"0"&amp;InputData[[#This Row],[Alto]])</f>
        <v>1x02</v>
      </c>
    </row>
    <row r="6" spans="1:19" x14ac:dyDescent="0.2">
      <c r="A6" t="s">
        <v>19</v>
      </c>
      <c r="B6" t="s">
        <v>290</v>
      </c>
      <c r="C6" t="s">
        <v>239</v>
      </c>
      <c r="E6" t="s">
        <v>291</v>
      </c>
      <c r="F6" t="s">
        <v>292</v>
      </c>
      <c r="G6" t="s">
        <v>23</v>
      </c>
      <c r="H6" t="s">
        <v>24</v>
      </c>
      <c r="I6" s="2">
        <v>67.87466666666667</v>
      </c>
      <c r="J6" t="s">
        <v>21</v>
      </c>
      <c r="K6" t="s">
        <v>115</v>
      </c>
      <c r="M6" s="3">
        <v>0</v>
      </c>
      <c r="N6" t="s">
        <v>22</v>
      </c>
      <c r="O6" s="1">
        <v>1</v>
      </c>
      <c r="P6" s="4">
        <v>5.0000000012500001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5</v>
      </c>
      <c r="S6" t="str">
        <f>InputData[[#This Row],[Col]]&amp;"x"&amp;IF(LEN(InputData[[#This Row],[Alto]])=2,InputData[[#This Row],[Alto]],"0"&amp;InputData[[#This Row],[Alto]])</f>
        <v>1x05</v>
      </c>
    </row>
    <row r="7" spans="1:19" x14ac:dyDescent="0.2">
      <c r="A7" t="s">
        <v>19</v>
      </c>
      <c r="B7" t="s">
        <v>248</v>
      </c>
      <c r="C7" t="s">
        <v>97</v>
      </c>
      <c r="E7" t="s">
        <v>102</v>
      </c>
      <c r="F7" t="s">
        <v>122</v>
      </c>
      <c r="G7" t="s">
        <v>23</v>
      </c>
      <c r="H7" t="s">
        <v>24</v>
      </c>
      <c r="I7" s="2">
        <v>57.015000000000001</v>
      </c>
      <c r="J7" t="s">
        <v>21</v>
      </c>
      <c r="K7" t="s">
        <v>84</v>
      </c>
      <c r="M7" s="3">
        <v>0</v>
      </c>
      <c r="N7" t="s">
        <v>22</v>
      </c>
      <c r="O7" s="1">
        <v>1</v>
      </c>
      <c r="P7" s="4">
        <v>3.0000000007500001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3</v>
      </c>
      <c r="S7" t="str">
        <f>InputData[[#This Row],[Col]]&amp;"x"&amp;IF(LEN(InputData[[#This Row],[Alto]])=2,InputData[[#This Row],[Alto]],"0"&amp;InputData[[#This Row],[Alto]])</f>
        <v>1x03</v>
      </c>
    </row>
    <row r="8" spans="1:19" x14ac:dyDescent="0.2">
      <c r="A8" t="s">
        <v>19</v>
      </c>
      <c r="B8" t="s">
        <v>320</v>
      </c>
      <c r="C8" t="s">
        <v>321</v>
      </c>
      <c r="E8" t="s">
        <v>322</v>
      </c>
      <c r="G8" t="s">
        <v>23</v>
      </c>
      <c r="H8" t="s">
        <v>24</v>
      </c>
      <c r="I8" s="2">
        <v>38.785714285714285</v>
      </c>
      <c r="J8" t="s">
        <v>21</v>
      </c>
      <c r="K8" t="s">
        <v>323</v>
      </c>
      <c r="M8" s="3">
        <v>0</v>
      </c>
      <c r="N8" t="s">
        <v>22</v>
      </c>
      <c r="O8" s="1">
        <v>1</v>
      </c>
      <c r="P8" s="4">
        <v>2.0000000005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2</v>
      </c>
      <c r="S8" t="str">
        <f>InputData[[#This Row],[Col]]&amp;"x"&amp;IF(LEN(InputData[[#This Row],[Alto]])=2,InputData[[#This Row],[Alto]],"0"&amp;InputData[[#This Row],[Alto]])</f>
        <v>1x02</v>
      </c>
    </row>
    <row r="9" spans="1:19" x14ac:dyDescent="0.2">
      <c r="A9" t="s">
        <v>19</v>
      </c>
      <c r="B9" t="s">
        <v>324</v>
      </c>
      <c r="C9" t="s">
        <v>325</v>
      </c>
      <c r="E9" t="s">
        <v>326</v>
      </c>
      <c r="G9" t="s">
        <v>23</v>
      </c>
      <c r="H9" t="s">
        <v>24</v>
      </c>
      <c r="I9" s="2">
        <v>58.178571428571431</v>
      </c>
      <c r="J9" t="s">
        <v>21</v>
      </c>
      <c r="K9" t="s">
        <v>323</v>
      </c>
      <c r="M9" s="3">
        <v>0</v>
      </c>
      <c r="N9" t="s">
        <v>22</v>
      </c>
      <c r="O9" s="1">
        <v>1</v>
      </c>
      <c r="P9" s="4">
        <v>3.0000000007500001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3</v>
      </c>
      <c r="S9" t="str">
        <f>InputData[[#This Row],[Col]]&amp;"x"&amp;IF(LEN(InputData[[#This Row],[Alto]])=2,InputData[[#This Row],[Alto]],"0"&amp;InputData[[#This Row],[Alto]])</f>
        <v>1x03</v>
      </c>
    </row>
    <row r="10" spans="1:19" x14ac:dyDescent="0.2">
      <c r="A10" t="s">
        <v>19</v>
      </c>
      <c r="B10" t="s">
        <v>174</v>
      </c>
      <c r="C10" t="s">
        <v>25</v>
      </c>
      <c r="D10" t="s">
        <v>175</v>
      </c>
      <c r="E10" t="s">
        <v>85</v>
      </c>
      <c r="G10" t="s">
        <v>23</v>
      </c>
      <c r="H10" t="s">
        <v>20</v>
      </c>
      <c r="I10" s="2">
        <v>115.60580645161291</v>
      </c>
      <c r="J10" t="s">
        <v>21</v>
      </c>
      <c r="K10" t="s">
        <v>82</v>
      </c>
      <c r="M10" s="3">
        <v>0</v>
      </c>
      <c r="N10" t="s">
        <v>22</v>
      </c>
      <c r="O10" s="1">
        <v>1</v>
      </c>
      <c r="P10" s="4">
        <v>6.0000000015000001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6</v>
      </c>
      <c r="S10" t="str">
        <f>InputData[[#This Row],[Col]]&amp;"x"&amp;IF(LEN(InputData[[#This Row],[Alto]])=2,InputData[[#This Row],[Alto]],"0"&amp;InputData[[#This Row],[Alto]])</f>
        <v>1x06</v>
      </c>
    </row>
    <row r="11" spans="1:19" x14ac:dyDescent="0.2">
      <c r="A11" t="s">
        <v>19</v>
      </c>
      <c r="B11" t="s">
        <v>249</v>
      </c>
      <c r="C11" t="s">
        <v>250</v>
      </c>
      <c r="E11" t="s">
        <v>251</v>
      </c>
      <c r="G11" t="s">
        <v>23</v>
      </c>
      <c r="H11" t="s">
        <v>24</v>
      </c>
      <c r="I11" s="2">
        <v>77.571428571428569</v>
      </c>
      <c r="J11" t="s">
        <v>21</v>
      </c>
      <c r="K11" t="s">
        <v>82</v>
      </c>
      <c r="M11" s="3">
        <v>0</v>
      </c>
      <c r="N11" t="s">
        <v>22</v>
      </c>
      <c r="O11" s="1">
        <v>1</v>
      </c>
      <c r="P11" s="4">
        <v>4.0000000010000001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4</v>
      </c>
      <c r="S11" t="str">
        <f>InputData[[#This Row],[Col]]&amp;"x"&amp;IF(LEN(InputData[[#This Row],[Alto]])=2,InputData[[#This Row],[Alto]],"0"&amp;InputData[[#This Row],[Alto]])</f>
        <v>1x04</v>
      </c>
    </row>
    <row r="12" spans="1:19" x14ac:dyDescent="0.2">
      <c r="A12" t="s">
        <v>19</v>
      </c>
      <c r="B12" t="s">
        <v>327</v>
      </c>
      <c r="C12" t="s">
        <v>328</v>
      </c>
      <c r="D12" t="s">
        <v>329</v>
      </c>
      <c r="E12" t="s">
        <v>330</v>
      </c>
      <c r="G12" t="s">
        <v>23</v>
      </c>
      <c r="H12" t="s">
        <v>24</v>
      </c>
      <c r="I12" s="2">
        <v>203.625</v>
      </c>
      <c r="J12" t="s">
        <v>21</v>
      </c>
      <c r="K12" t="s">
        <v>82</v>
      </c>
      <c r="M12" s="3">
        <v>0</v>
      </c>
      <c r="N12" t="s">
        <v>22</v>
      </c>
      <c r="O12" s="1">
        <v>1</v>
      </c>
      <c r="P12" s="4">
        <v>9.999999998972223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10</v>
      </c>
      <c r="S12" t="str">
        <f>InputData[[#This Row],[Col]]&amp;"x"&amp;IF(LEN(InputData[[#This Row],[Alto]])=2,InputData[[#This Row],[Alto]],"0"&amp;InputData[[#This Row],[Alto]])</f>
        <v>1x10</v>
      </c>
    </row>
    <row r="13" spans="1:19" x14ac:dyDescent="0.2">
      <c r="A13" t="s">
        <v>19</v>
      </c>
      <c r="B13" t="s">
        <v>252</v>
      </c>
      <c r="C13" t="s">
        <v>97</v>
      </c>
      <c r="E13" t="s">
        <v>98</v>
      </c>
      <c r="G13" t="s">
        <v>23</v>
      </c>
      <c r="H13" t="s">
        <v>24</v>
      </c>
      <c r="I13" s="2">
        <v>40.724666666666664</v>
      </c>
      <c r="J13" t="s">
        <v>21</v>
      </c>
      <c r="K13" t="s">
        <v>82</v>
      </c>
      <c r="M13" s="3">
        <v>0</v>
      </c>
      <c r="N13" t="s">
        <v>22</v>
      </c>
      <c r="O13" s="1">
        <v>1</v>
      </c>
      <c r="P13" s="4">
        <v>3.0000000007500001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</v>
      </c>
      <c r="S13" t="str">
        <f>InputData[[#This Row],[Col]]&amp;"x"&amp;IF(LEN(InputData[[#This Row],[Alto]])=2,InputData[[#This Row],[Alto]],"0"&amp;InputData[[#This Row],[Alto]])</f>
        <v>1x03</v>
      </c>
    </row>
    <row r="14" spans="1:19" x14ac:dyDescent="0.2">
      <c r="A14" t="s">
        <v>19</v>
      </c>
      <c r="B14" t="s">
        <v>331</v>
      </c>
      <c r="C14" t="s">
        <v>325</v>
      </c>
      <c r="E14" t="s">
        <v>332</v>
      </c>
      <c r="G14" t="s">
        <v>23</v>
      </c>
      <c r="H14" t="s">
        <v>24</v>
      </c>
      <c r="I14" s="2">
        <v>61.087499999999999</v>
      </c>
      <c r="J14" t="s">
        <v>21</v>
      </c>
      <c r="K14" t="s">
        <v>82</v>
      </c>
      <c r="M14" s="3">
        <v>0</v>
      </c>
      <c r="N14" t="s">
        <v>22</v>
      </c>
      <c r="O14" s="1">
        <v>1</v>
      </c>
      <c r="P14" s="4">
        <v>3.0000000007500001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</v>
      </c>
      <c r="S14" t="str">
        <f>InputData[[#This Row],[Col]]&amp;"x"&amp;IF(LEN(InputData[[#This Row],[Alto]])=2,InputData[[#This Row],[Alto]],"0"&amp;InputData[[#This Row],[Alto]])</f>
        <v>1x03</v>
      </c>
    </row>
    <row r="15" spans="1:19" x14ac:dyDescent="0.2">
      <c r="A15" t="s">
        <v>19</v>
      </c>
      <c r="B15" t="s">
        <v>333</v>
      </c>
      <c r="C15" t="s">
        <v>293</v>
      </c>
      <c r="D15" t="s">
        <v>334</v>
      </c>
      <c r="E15" t="s">
        <v>335</v>
      </c>
      <c r="F15" t="s">
        <v>336</v>
      </c>
      <c r="G15" t="s">
        <v>23</v>
      </c>
      <c r="H15" t="s">
        <v>20</v>
      </c>
      <c r="I15" s="2">
        <v>38.785714285714285</v>
      </c>
      <c r="J15" t="s">
        <v>21</v>
      </c>
      <c r="K15" t="s">
        <v>82</v>
      </c>
      <c r="M15" s="3">
        <v>0</v>
      </c>
      <c r="N15" t="s">
        <v>22</v>
      </c>
      <c r="O15" s="1">
        <v>1</v>
      </c>
      <c r="P15" s="4">
        <v>2.0000000005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2</v>
      </c>
      <c r="S15" t="str">
        <f>InputData[[#This Row],[Col]]&amp;"x"&amp;IF(LEN(InputData[[#This Row],[Alto]])=2,InputData[[#This Row],[Alto]],"0"&amp;InputData[[#This Row],[Alto]])</f>
        <v>1x02</v>
      </c>
    </row>
    <row r="16" spans="1:19" x14ac:dyDescent="0.2">
      <c r="A16" t="s">
        <v>19</v>
      </c>
      <c r="B16" t="s">
        <v>143</v>
      </c>
      <c r="C16" t="s">
        <v>144</v>
      </c>
      <c r="E16" t="s">
        <v>145</v>
      </c>
      <c r="G16" t="s">
        <v>23</v>
      </c>
      <c r="H16" t="s">
        <v>24</v>
      </c>
      <c r="I16" s="2">
        <v>135.74933333333334</v>
      </c>
      <c r="J16" t="s">
        <v>21</v>
      </c>
      <c r="K16" t="s">
        <v>99</v>
      </c>
      <c r="M16" s="3">
        <v>0</v>
      </c>
      <c r="N16" t="s">
        <v>22</v>
      </c>
      <c r="O16" s="1">
        <v>1</v>
      </c>
      <c r="P16" s="4">
        <v>9.999999998972223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10</v>
      </c>
      <c r="S16" t="str">
        <f>InputData[[#This Row],[Col]]&amp;"x"&amp;IF(LEN(InputData[[#This Row],[Alto]])=2,InputData[[#This Row],[Alto]],"0"&amp;InputData[[#This Row],[Alto]])</f>
        <v>1x10</v>
      </c>
    </row>
    <row r="17" spans="1:19" x14ac:dyDescent="0.2">
      <c r="A17" t="s">
        <v>19</v>
      </c>
      <c r="B17" t="s">
        <v>222</v>
      </c>
      <c r="C17" t="s">
        <v>165</v>
      </c>
      <c r="E17" t="s">
        <v>223</v>
      </c>
      <c r="G17" t="s">
        <v>23</v>
      </c>
      <c r="H17" t="s">
        <v>24</v>
      </c>
      <c r="I17" s="2">
        <v>38.785714285714285</v>
      </c>
      <c r="J17" t="s">
        <v>21</v>
      </c>
      <c r="K17" t="s">
        <v>99</v>
      </c>
      <c r="M17" s="3">
        <v>0</v>
      </c>
      <c r="N17" t="s">
        <v>22</v>
      </c>
      <c r="O17" s="1">
        <v>1</v>
      </c>
      <c r="P17" s="4">
        <v>2.0000000005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2</v>
      </c>
      <c r="S17" t="str">
        <f>InputData[[#This Row],[Col]]&amp;"x"&amp;IF(LEN(InputData[[#This Row],[Alto]])=2,InputData[[#This Row],[Alto]],"0"&amp;InputData[[#This Row],[Alto]])</f>
        <v>1x02</v>
      </c>
    </row>
    <row r="18" spans="1:19" x14ac:dyDescent="0.2">
      <c r="A18" t="s">
        <v>19</v>
      </c>
      <c r="B18" t="s">
        <v>253</v>
      </c>
      <c r="C18" t="s">
        <v>254</v>
      </c>
      <c r="D18" t="s">
        <v>255</v>
      </c>
      <c r="E18" t="s">
        <v>256</v>
      </c>
      <c r="G18" t="s">
        <v>23</v>
      </c>
      <c r="H18" t="s">
        <v>20</v>
      </c>
      <c r="I18" s="2">
        <v>155.14214285714283</v>
      </c>
      <c r="J18" t="s">
        <v>21</v>
      </c>
      <c r="K18" t="s">
        <v>99</v>
      </c>
      <c r="M18" s="3">
        <v>0</v>
      </c>
      <c r="N18" t="s">
        <v>22</v>
      </c>
      <c r="O18" s="1">
        <v>1</v>
      </c>
      <c r="P18" s="4">
        <v>7.9999999984722239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8</v>
      </c>
      <c r="S18" t="str">
        <f>InputData[[#This Row],[Col]]&amp;"x"&amp;IF(LEN(InputData[[#This Row],[Alto]])=2,InputData[[#This Row],[Alto]],"0"&amp;InputData[[#This Row],[Alto]])</f>
        <v>1x08</v>
      </c>
    </row>
    <row r="19" spans="1:19" x14ac:dyDescent="0.2">
      <c r="A19" t="s">
        <v>19</v>
      </c>
      <c r="B19" t="s">
        <v>257</v>
      </c>
      <c r="C19" t="s">
        <v>254</v>
      </c>
      <c r="D19" t="s">
        <v>258</v>
      </c>
      <c r="E19" t="s">
        <v>259</v>
      </c>
      <c r="G19" t="s">
        <v>23</v>
      </c>
      <c r="H19" t="s">
        <v>20</v>
      </c>
      <c r="I19" s="2">
        <v>77.570714285714288</v>
      </c>
      <c r="J19" t="s">
        <v>21</v>
      </c>
      <c r="K19" t="s">
        <v>99</v>
      </c>
      <c r="M19" s="3">
        <v>0</v>
      </c>
      <c r="N19" t="s">
        <v>22</v>
      </c>
      <c r="O19" s="1">
        <v>1</v>
      </c>
      <c r="P19" s="4">
        <v>4.0000000010000001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4</v>
      </c>
      <c r="S19" t="str">
        <f>InputData[[#This Row],[Col]]&amp;"x"&amp;IF(LEN(InputData[[#This Row],[Alto]])=2,InputData[[#This Row],[Alto]],"0"&amp;InputData[[#This Row],[Alto]])</f>
        <v>1x04</v>
      </c>
    </row>
    <row r="20" spans="1:19" x14ac:dyDescent="0.2">
      <c r="A20" t="s">
        <v>19</v>
      </c>
      <c r="B20" t="s">
        <v>260</v>
      </c>
      <c r="C20" t="s">
        <v>261</v>
      </c>
      <c r="E20" t="s">
        <v>262</v>
      </c>
      <c r="F20" t="s">
        <v>263</v>
      </c>
      <c r="G20" t="s">
        <v>23</v>
      </c>
      <c r="H20" t="s">
        <v>24</v>
      </c>
      <c r="I20" s="2">
        <v>101.8125</v>
      </c>
      <c r="J20" t="s">
        <v>21</v>
      </c>
      <c r="K20" t="s">
        <v>99</v>
      </c>
      <c r="M20" s="3">
        <v>0</v>
      </c>
      <c r="N20" t="s">
        <v>22</v>
      </c>
      <c r="O20" s="1">
        <v>1</v>
      </c>
      <c r="P20" s="4">
        <v>5.0000000012500001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5</v>
      </c>
      <c r="S20" t="str">
        <f>InputData[[#This Row],[Col]]&amp;"x"&amp;IF(LEN(InputData[[#This Row],[Alto]])=2,InputData[[#This Row],[Alto]],"0"&amp;InputData[[#This Row],[Alto]])</f>
        <v>1x05</v>
      </c>
    </row>
    <row r="21" spans="1:19" x14ac:dyDescent="0.2">
      <c r="A21" t="s">
        <v>19</v>
      </c>
      <c r="B21" t="s">
        <v>264</v>
      </c>
      <c r="C21" t="s">
        <v>97</v>
      </c>
      <c r="E21" t="s">
        <v>100</v>
      </c>
      <c r="G21" t="s">
        <v>23</v>
      </c>
      <c r="H21" t="s">
        <v>24</v>
      </c>
      <c r="I21" s="2">
        <v>95.024333333333331</v>
      </c>
      <c r="J21" t="s">
        <v>21</v>
      </c>
      <c r="K21" t="s">
        <v>99</v>
      </c>
      <c r="M21" s="3">
        <v>0</v>
      </c>
      <c r="N21" t="s">
        <v>22</v>
      </c>
      <c r="O21" s="1">
        <v>1</v>
      </c>
      <c r="P21" s="4">
        <v>7.0000000017499984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7</v>
      </c>
      <c r="S21" t="str">
        <f>InputData[[#This Row],[Col]]&amp;"x"&amp;IF(LEN(InputData[[#This Row],[Alto]])=2,InputData[[#This Row],[Alto]],"0"&amp;InputData[[#This Row],[Alto]])</f>
        <v>1x07</v>
      </c>
    </row>
    <row r="22" spans="1:19" x14ac:dyDescent="0.2">
      <c r="A22" t="s">
        <v>19</v>
      </c>
      <c r="B22" t="s">
        <v>294</v>
      </c>
      <c r="C22" t="s">
        <v>295</v>
      </c>
      <c r="E22" t="s">
        <v>296</v>
      </c>
      <c r="F22" t="s">
        <v>297</v>
      </c>
      <c r="G22" t="s">
        <v>23</v>
      </c>
      <c r="H22" t="s">
        <v>24</v>
      </c>
      <c r="I22" s="2">
        <v>57.015000000000001</v>
      </c>
      <c r="J22" t="s">
        <v>21</v>
      </c>
      <c r="K22" t="s">
        <v>99</v>
      </c>
      <c r="M22" s="3">
        <v>0</v>
      </c>
      <c r="N22" t="s">
        <v>22</v>
      </c>
      <c r="O22" s="1">
        <v>1</v>
      </c>
      <c r="P22" s="4">
        <v>3.0000000007500001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3</v>
      </c>
      <c r="S22" t="str">
        <f>InputData[[#This Row],[Col]]&amp;"x"&amp;IF(LEN(InputData[[#This Row],[Alto]])=2,InputData[[#This Row],[Alto]],"0"&amp;InputData[[#This Row],[Alto]])</f>
        <v>1x03</v>
      </c>
    </row>
    <row r="23" spans="1:19" x14ac:dyDescent="0.2">
      <c r="A23" t="s">
        <v>19</v>
      </c>
      <c r="B23" t="s">
        <v>337</v>
      </c>
      <c r="C23" t="s">
        <v>89</v>
      </c>
      <c r="D23" t="s">
        <v>155</v>
      </c>
      <c r="E23" t="s">
        <v>90</v>
      </c>
      <c r="F23" t="s">
        <v>91</v>
      </c>
      <c r="G23" t="s">
        <v>23</v>
      </c>
      <c r="H23" t="s">
        <v>20</v>
      </c>
      <c r="I23" s="2">
        <v>190.04899999999998</v>
      </c>
      <c r="J23" t="s">
        <v>21</v>
      </c>
      <c r="K23" t="s">
        <v>26</v>
      </c>
      <c r="M23" s="3">
        <v>0</v>
      </c>
      <c r="N23" t="s">
        <v>22</v>
      </c>
      <c r="O23" s="1">
        <v>1</v>
      </c>
      <c r="P23" s="4">
        <v>9.999999998972223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10</v>
      </c>
      <c r="S23" t="str">
        <f>InputData[[#This Row],[Col]]&amp;"x"&amp;IF(LEN(InputData[[#This Row],[Alto]])=2,InputData[[#This Row],[Alto]],"0"&amp;InputData[[#This Row],[Alto]])</f>
        <v>1x10</v>
      </c>
    </row>
    <row r="24" spans="1:19" x14ac:dyDescent="0.2">
      <c r="A24" t="s">
        <v>19</v>
      </c>
      <c r="B24" t="s">
        <v>338</v>
      </c>
      <c r="C24" t="s">
        <v>154</v>
      </c>
      <c r="D24" t="s">
        <v>298</v>
      </c>
      <c r="E24" t="s">
        <v>299</v>
      </c>
      <c r="G24" t="s">
        <v>23</v>
      </c>
      <c r="H24" t="s">
        <v>20</v>
      </c>
      <c r="I24" s="2">
        <v>296.18</v>
      </c>
      <c r="J24" t="s">
        <v>21</v>
      </c>
      <c r="K24" t="s">
        <v>26</v>
      </c>
      <c r="M24" s="3">
        <v>0</v>
      </c>
      <c r="N24" t="s">
        <v>22</v>
      </c>
      <c r="O24" s="1">
        <v>1</v>
      </c>
      <c r="P24" s="4">
        <v>15.000000000222226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15</v>
      </c>
      <c r="S24" t="str">
        <f>InputData[[#This Row],[Col]]&amp;"x"&amp;IF(LEN(InputData[[#This Row],[Alto]])=2,InputData[[#This Row],[Alto]],"0"&amp;InputData[[#This Row],[Alto]])</f>
        <v>1x15</v>
      </c>
    </row>
    <row r="25" spans="1:19" x14ac:dyDescent="0.2">
      <c r="A25" t="s">
        <v>19</v>
      </c>
      <c r="B25" t="s">
        <v>339</v>
      </c>
      <c r="C25" t="s">
        <v>27</v>
      </c>
      <c r="D25" t="s">
        <v>176</v>
      </c>
      <c r="E25" t="s">
        <v>28</v>
      </c>
      <c r="G25" t="s">
        <v>23</v>
      </c>
      <c r="H25" t="s">
        <v>20</v>
      </c>
      <c r="I25" s="2">
        <v>269.74677419354839</v>
      </c>
      <c r="J25" t="s">
        <v>21</v>
      </c>
      <c r="K25" t="s">
        <v>26</v>
      </c>
      <c r="M25" s="3">
        <v>0</v>
      </c>
      <c r="N25" t="s">
        <v>22</v>
      </c>
      <c r="O25" s="1">
        <v>1</v>
      </c>
      <c r="P25" s="4">
        <v>13.999999999972225</v>
      </c>
      <c r="Q25" t="str">
        <f>EVALUATE_LOCATION(InputData[[#This Row],[Section]],InputData[[#This Row],[Forma de Pago]],InputData[[#This Row],[Ubic.Pretendida]],InputData[[#This Row],[Nro pag]])</f>
        <v xml:space="preserve"> </v>
      </c>
      <c r="R25">
        <f>ROUND(InputData[[#This Row],[AltoCm]],0)</f>
        <v>14</v>
      </c>
      <c r="S25" t="str">
        <f>InputData[[#This Row],[Col]]&amp;"x"&amp;IF(LEN(InputData[[#This Row],[Alto]])=2,InputData[[#This Row],[Alto]],"0"&amp;InputData[[#This Row],[Alto]])</f>
        <v>1x14</v>
      </c>
    </row>
    <row r="26" spans="1:19" x14ac:dyDescent="0.2">
      <c r="A26" t="s">
        <v>19</v>
      </c>
      <c r="B26" t="s">
        <v>224</v>
      </c>
      <c r="C26" t="s">
        <v>225</v>
      </c>
      <c r="D26" t="s">
        <v>226</v>
      </c>
      <c r="E26" t="s">
        <v>227</v>
      </c>
      <c r="F26" t="s">
        <v>228</v>
      </c>
      <c r="G26" t="s">
        <v>23</v>
      </c>
      <c r="H26" t="s">
        <v>20</v>
      </c>
      <c r="I26" s="2">
        <v>116.35714285714286</v>
      </c>
      <c r="J26" t="s">
        <v>21</v>
      </c>
      <c r="K26" t="s">
        <v>95</v>
      </c>
      <c r="M26" s="3">
        <v>0</v>
      </c>
      <c r="N26" t="s">
        <v>22</v>
      </c>
      <c r="O26" s="1">
        <v>1</v>
      </c>
      <c r="P26" s="4">
        <v>6.0000000015000001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6</v>
      </c>
      <c r="S26" t="str">
        <f>InputData[[#This Row],[Col]]&amp;"x"&amp;IF(LEN(InputData[[#This Row],[Alto]])=2,InputData[[#This Row],[Alto]],"0"&amp;InputData[[#This Row],[Alto]])</f>
        <v>1x06</v>
      </c>
    </row>
    <row r="27" spans="1:19" x14ac:dyDescent="0.2">
      <c r="A27" t="s">
        <v>19</v>
      </c>
      <c r="B27" t="s">
        <v>229</v>
      </c>
      <c r="C27" t="s">
        <v>230</v>
      </c>
      <c r="D27" t="s">
        <v>231</v>
      </c>
      <c r="E27" t="s">
        <v>232</v>
      </c>
      <c r="G27" t="s">
        <v>23</v>
      </c>
      <c r="H27" t="s">
        <v>20</v>
      </c>
      <c r="I27" s="2">
        <v>228.05900000000003</v>
      </c>
      <c r="J27" t="s">
        <v>21</v>
      </c>
      <c r="K27" t="s">
        <v>95</v>
      </c>
      <c r="M27" s="3">
        <v>0</v>
      </c>
      <c r="N27" t="s">
        <v>22</v>
      </c>
      <c r="O27" s="1">
        <v>1</v>
      </c>
      <c r="P27" s="4">
        <v>11.999999999472221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12</v>
      </c>
      <c r="S27" t="str">
        <f>InputData[[#This Row],[Col]]&amp;"x"&amp;IF(LEN(InputData[[#This Row],[Alto]])=2,InputData[[#This Row],[Alto]],"0"&amp;InputData[[#This Row],[Alto]])</f>
        <v>1x12</v>
      </c>
    </row>
    <row r="28" spans="1:19" x14ac:dyDescent="0.2">
      <c r="A28" t="s">
        <v>19</v>
      </c>
      <c r="B28" t="s">
        <v>265</v>
      </c>
      <c r="C28" t="s">
        <v>266</v>
      </c>
      <c r="E28" t="s">
        <v>267</v>
      </c>
      <c r="G28" t="s">
        <v>23</v>
      </c>
      <c r="H28" t="s">
        <v>24</v>
      </c>
      <c r="I28" s="2">
        <v>58.178571428571431</v>
      </c>
      <c r="J28" t="s">
        <v>21</v>
      </c>
      <c r="K28" t="s">
        <v>95</v>
      </c>
      <c r="M28" s="3">
        <v>0</v>
      </c>
      <c r="N28" t="s">
        <v>22</v>
      </c>
      <c r="O28" s="1">
        <v>1</v>
      </c>
      <c r="P28" s="4">
        <v>3.0000000007500001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3</v>
      </c>
      <c r="S28" t="str">
        <f>InputData[[#This Row],[Col]]&amp;"x"&amp;IF(LEN(InputData[[#This Row],[Alto]])=2,InputData[[#This Row],[Alto]],"0"&amp;InputData[[#This Row],[Alto]])</f>
        <v>1x03</v>
      </c>
    </row>
    <row r="29" spans="1:19" x14ac:dyDescent="0.2">
      <c r="A29" t="s">
        <v>19</v>
      </c>
      <c r="B29" t="s">
        <v>285</v>
      </c>
      <c r="C29" t="s">
        <v>286</v>
      </c>
      <c r="E29" t="s">
        <v>287</v>
      </c>
      <c r="F29" t="s">
        <v>288</v>
      </c>
      <c r="G29" t="s">
        <v>23</v>
      </c>
      <c r="H29" t="s">
        <v>24</v>
      </c>
      <c r="I29" s="2">
        <v>76.02000000000001</v>
      </c>
      <c r="J29" t="s">
        <v>21</v>
      </c>
      <c r="K29" t="s">
        <v>95</v>
      </c>
      <c r="M29" s="3">
        <v>0</v>
      </c>
      <c r="N29" t="s">
        <v>22</v>
      </c>
      <c r="O29" s="1">
        <v>1</v>
      </c>
      <c r="P29" s="4">
        <v>4.0000000010000001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4</v>
      </c>
      <c r="S29" t="str">
        <f>InputData[[#This Row],[Col]]&amp;"x"&amp;IF(LEN(InputData[[#This Row],[Alto]])=2,InputData[[#This Row],[Alto]],"0"&amp;InputData[[#This Row],[Alto]])</f>
        <v>1x04</v>
      </c>
    </row>
    <row r="30" spans="1:19" x14ac:dyDescent="0.2">
      <c r="A30" t="s">
        <v>19</v>
      </c>
      <c r="B30" t="s">
        <v>300</v>
      </c>
      <c r="C30" t="s">
        <v>301</v>
      </c>
      <c r="E30" t="s">
        <v>302</v>
      </c>
      <c r="G30" t="s">
        <v>23</v>
      </c>
      <c r="H30" t="s">
        <v>24</v>
      </c>
      <c r="I30" s="2">
        <v>38.785714285714285</v>
      </c>
      <c r="J30" t="s">
        <v>21</v>
      </c>
      <c r="K30" t="s">
        <v>95</v>
      </c>
      <c r="M30" s="3">
        <v>0</v>
      </c>
      <c r="N30" t="s">
        <v>22</v>
      </c>
      <c r="O30" s="1">
        <v>1</v>
      </c>
      <c r="P30" s="4">
        <v>2.0000000005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2</v>
      </c>
      <c r="S30" t="str">
        <f>InputData[[#This Row],[Col]]&amp;"x"&amp;IF(LEN(InputData[[#This Row],[Alto]])=2,InputData[[#This Row],[Alto]],"0"&amp;InputData[[#This Row],[Alto]])</f>
        <v>1x02</v>
      </c>
    </row>
    <row r="31" spans="1:19" x14ac:dyDescent="0.2">
      <c r="A31" t="s">
        <v>19</v>
      </c>
      <c r="B31" t="s">
        <v>303</v>
      </c>
      <c r="C31" t="s">
        <v>304</v>
      </c>
      <c r="D31" t="s">
        <v>305</v>
      </c>
      <c r="E31" t="s">
        <v>306</v>
      </c>
      <c r="G31" t="s">
        <v>23</v>
      </c>
      <c r="H31" t="s">
        <v>20</v>
      </c>
      <c r="I31" s="2">
        <v>135.74857142857144</v>
      </c>
      <c r="J31" t="s">
        <v>21</v>
      </c>
      <c r="K31" t="s">
        <v>95</v>
      </c>
      <c r="M31" s="3">
        <v>0</v>
      </c>
      <c r="N31" t="s">
        <v>22</v>
      </c>
      <c r="O31" s="1">
        <v>1</v>
      </c>
      <c r="P31" s="4">
        <v>7.0000000017499984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7</v>
      </c>
      <c r="S31" t="str">
        <f>InputData[[#This Row],[Col]]&amp;"x"&amp;IF(LEN(InputData[[#This Row],[Alto]])=2,InputData[[#This Row],[Alto]],"0"&amp;InputData[[#This Row],[Alto]])</f>
        <v>1x07</v>
      </c>
    </row>
    <row r="32" spans="1:19" x14ac:dyDescent="0.2">
      <c r="A32" t="s">
        <v>19</v>
      </c>
      <c r="B32" t="s">
        <v>133</v>
      </c>
      <c r="C32" t="s">
        <v>123</v>
      </c>
      <c r="E32" t="s">
        <v>124</v>
      </c>
      <c r="G32" t="s">
        <v>23</v>
      </c>
      <c r="H32" t="s">
        <v>24</v>
      </c>
      <c r="I32" s="2">
        <v>135.74933333333334</v>
      </c>
      <c r="J32" t="s">
        <v>21</v>
      </c>
      <c r="K32" t="s">
        <v>125</v>
      </c>
      <c r="M32" s="3">
        <v>0</v>
      </c>
      <c r="N32" t="s">
        <v>22</v>
      </c>
      <c r="O32" s="1">
        <v>1</v>
      </c>
      <c r="P32" s="4">
        <v>9.999999998972223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10</v>
      </c>
      <c r="S32" t="str">
        <f>InputData[[#This Row],[Col]]&amp;"x"&amp;IF(LEN(InputData[[#This Row],[Alto]])=2,InputData[[#This Row],[Alto]],"0"&amp;InputData[[#This Row],[Alto]])</f>
        <v>1x10</v>
      </c>
    </row>
    <row r="33" spans="1:19" x14ac:dyDescent="0.2">
      <c r="A33" t="s">
        <v>19</v>
      </c>
      <c r="B33" t="s">
        <v>178</v>
      </c>
      <c r="C33" t="s">
        <v>179</v>
      </c>
      <c r="E33" t="s">
        <v>180</v>
      </c>
      <c r="G33" t="s">
        <v>23</v>
      </c>
      <c r="H33" t="s">
        <v>24</v>
      </c>
      <c r="I33" s="2">
        <v>38.785714285714285</v>
      </c>
      <c r="J33" t="s">
        <v>21</v>
      </c>
      <c r="K33" t="s">
        <v>177</v>
      </c>
      <c r="M33" s="3">
        <v>0</v>
      </c>
      <c r="N33" t="s">
        <v>22</v>
      </c>
      <c r="O33" s="1">
        <v>1</v>
      </c>
      <c r="P33" s="4">
        <v>2.0000000005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2</v>
      </c>
      <c r="S33" t="str">
        <f>InputData[[#This Row],[Col]]&amp;"x"&amp;IF(LEN(InputData[[#This Row],[Alto]])=2,InputData[[#This Row],[Alto]],"0"&amp;InputData[[#This Row],[Alto]])</f>
        <v>1x02</v>
      </c>
    </row>
    <row r="34" spans="1:19" x14ac:dyDescent="0.2">
      <c r="A34" t="s">
        <v>19</v>
      </c>
      <c r="B34" t="s">
        <v>268</v>
      </c>
      <c r="C34" t="s">
        <v>29</v>
      </c>
      <c r="D34" t="s">
        <v>96</v>
      </c>
      <c r="E34" t="s">
        <v>30</v>
      </c>
      <c r="G34" t="s">
        <v>23</v>
      </c>
      <c r="H34" t="s">
        <v>24</v>
      </c>
      <c r="I34" s="2">
        <v>130.83733333333333</v>
      </c>
      <c r="J34" t="s">
        <v>21</v>
      </c>
      <c r="K34" t="s">
        <v>31</v>
      </c>
      <c r="M34" s="3">
        <v>0</v>
      </c>
      <c r="N34" t="s">
        <v>22</v>
      </c>
      <c r="O34" s="1">
        <v>1</v>
      </c>
      <c r="P34" s="4">
        <v>8.9999999987222221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9</v>
      </c>
      <c r="S34" t="str">
        <f>InputData[[#This Row],[Col]]&amp;"x"&amp;IF(LEN(InputData[[#This Row],[Alto]])=2,InputData[[#This Row],[Alto]],"0"&amp;InputData[[#This Row],[Alto]])</f>
        <v>1x09</v>
      </c>
    </row>
    <row r="35" spans="1:19" x14ac:dyDescent="0.2">
      <c r="A35" t="s">
        <v>19</v>
      </c>
      <c r="B35" t="s">
        <v>340</v>
      </c>
      <c r="C35" t="s">
        <v>341</v>
      </c>
      <c r="E35" t="s">
        <v>342</v>
      </c>
      <c r="G35" t="s">
        <v>23</v>
      </c>
      <c r="H35" t="s">
        <v>24</v>
      </c>
      <c r="I35" s="2">
        <v>244.3486666666667</v>
      </c>
      <c r="J35" t="s">
        <v>21</v>
      </c>
      <c r="K35" t="s">
        <v>343</v>
      </c>
      <c r="M35" s="3">
        <v>0</v>
      </c>
      <c r="N35" t="s">
        <v>22</v>
      </c>
      <c r="O35" s="1">
        <v>1</v>
      </c>
      <c r="P35" s="4">
        <v>8.9999999987222221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9</v>
      </c>
      <c r="S35" t="str">
        <f>InputData[[#This Row],[Col]]&amp;"x"&amp;IF(LEN(InputData[[#This Row],[Alto]])=2,InputData[[#This Row],[Alto]],"0"&amp;InputData[[#This Row],[Alto]])</f>
        <v>1x09</v>
      </c>
    </row>
    <row r="36" spans="1:19" x14ac:dyDescent="0.2">
      <c r="A36" t="s">
        <v>19</v>
      </c>
      <c r="B36" t="s">
        <v>181</v>
      </c>
      <c r="C36" t="s">
        <v>109</v>
      </c>
      <c r="D36" t="s">
        <v>182</v>
      </c>
      <c r="E36" t="s">
        <v>110</v>
      </c>
      <c r="F36" t="s">
        <v>111</v>
      </c>
      <c r="G36" t="s">
        <v>23</v>
      </c>
      <c r="H36" t="s">
        <v>20</v>
      </c>
      <c r="I36" s="2">
        <v>96.338064516129023</v>
      </c>
      <c r="J36" t="s">
        <v>21</v>
      </c>
      <c r="K36" t="s">
        <v>107</v>
      </c>
      <c r="M36" s="3">
        <v>0</v>
      </c>
      <c r="N36" t="s">
        <v>22</v>
      </c>
      <c r="O36" s="1">
        <v>1</v>
      </c>
      <c r="P36" s="4">
        <v>5.0000000012500001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5</v>
      </c>
      <c r="S36" t="str">
        <f>InputData[[#This Row],[Col]]&amp;"x"&amp;IF(LEN(InputData[[#This Row],[Alto]])=2,InputData[[#This Row],[Alto]],"0"&amp;InputData[[#This Row],[Alto]])</f>
        <v>1x05</v>
      </c>
    </row>
    <row r="37" spans="1:19" x14ac:dyDescent="0.2">
      <c r="A37" t="s">
        <v>19</v>
      </c>
      <c r="B37" t="s">
        <v>183</v>
      </c>
      <c r="C37" t="s">
        <v>105</v>
      </c>
      <c r="D37" t="s">
        <v>184</v>
      </c>
      <c r="E37" t="s">
        <v>108</v>
      </c>
      <c r="G37" t="s">
        <v>23</v>
      </c>
      <c r="H37" t="s">
        <v>20</v>
      </c>
      <c r="I37" s="2">
        <v>91.959032258064511</v>
      </c>
      <c r="J37" t="s">
        <v>21</v>
      </c>
      <c r="K37" t="s">
        <v>107</v>
      </c>
      <c r="M37" s="3">
        <v>0</v>
      </c>
      <c r="N37" t="s">
        <v>22</v>
      </c>
      <c r="O37" s="1">
        <v>1</v>
      </c>
      <c r="P37" s="4">
        <v>5.0000000012500001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5</v>
      </c>
      <c r="S37" t="str">
        <f>InputData[[#This Row],[Col]]&amp;"x"&amp;IF(LEN(InputData[[#This Row],[Alto]])=2,InputData[[#This Row],[Alto]],"0"&amp;InputData[[#This Row],[Alto]])</f>
        <v>1x05</v>
      </c>
    </row>
    <row r="38" spans="1:19" x14ac:dyDescent="0.2">
      <c r="A38" t="s">
        <v>19</v>
      </c>
      <c r="B38" t="s">
        <v>185</v>
      </c>
      <c r="C38" t="s">
        <v>105</v>
      </c>
      <c r="D38" t="s">
        <v>186</v>
      </c>
      <c r="E38" t="s">
        <v>106</v>
      </c>
      <c r="G38" t="s">
        <v>23</v>
      </c>
      <c r="H38" t="s">
        <v>20</v>
      </c>
      <c r="I38" s="2">
        <v>96.338064516129023</v>
      </c>
      <c r="J38" t="s">
        <v>21</v>
      </c>
      <c r="K38" t="s">
        <v>107</v>
      </c>
      <c r="M38" s="3">
        <v>0</v>
      </c>
      <c r="N38" t="s">
        <v>22</v>
      </c>
      <c r="O38" s="1">
        <v>1</v>
      </c>
      <c r="P38" s="4">
        <v>5.0000000012500001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5</v>
      </c>
      <c r="S38" t="str">
        <f>InputData[[#This Row],[Col]]&amp;"x"&amp;IF(LEN(InputData[[#This Row],[Alto]])=2,InputData[[#This Row],[Alto]],"0"&amp;InputData[[#This Row],[Alto]])</f>
        <v>1x05</v>
      </c>
    </row>
    <row r="39" spans="1:19" x14ac:dyDescent="0.2">
      <c r="A39" t="s">
        <v>19</v>
      </c>
      <c r="B39" t="s">
        <v>156</v>
      </c>
      <c r="C39" t="s">
        <v>157</v>
      </c>
      <c r="E39" t="s">
        <v>158</v>
      </c>
      <c r="F39" t="s">
        <v>159</v>
      </c>
      <c r="G39" t="s">
        <v>23</v>
      </c>
      <c r="H39" t="s">
        <v>24</v>
      </c>
      <c r="I39" s="2">
        <v>81.4495</v>
      </c>
      <c r="J39" t="s">
        <v>21</v>
      </c>
      <c r="K39" t="s">
        <v>160</v>
      </c>
      <c r="M39" s="3">
        <v>0</v>
      </c>
      <c r="N39" t="s">
        <v>22</v>
      </c>
      <c r="O39" s="1">
        <v>1</v>
      </c>
      <c r="P39" s="4">
        <v>6.0000000015000001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6</v>
      </c>
      <c r="S39" t="str">
        <f>InputData[[#This Row],[Col]]&amp;"x"&amp;IF(LEN(InputData[[#This Row],[Alto]])=2,InputData[[#This Row],[Alto]],"0"&amp;InputData[[#This Row],[Alto]])</f>
        <v>1x06</v>
      </c>
    </row>
    <row r="40" spans="1:19" x14ac:dyDescent="0.2">
      <c r="A40" t="s">
        <v>19</v>
      </c>
      <c r="B40" t="s">
        <v>117</v>
      </c>
      <c r="C40" t="s">
        <v>118</v>
      </c>
      <c r="E40" t="s">
        <v>119</v>
      </c>
      <c r="G40" t="s">
        <v>23</v>
      </c>
      <c r="H40" t="s">
        <v>24</v>
      </c>
      <c r="I40" s="2">
        <v>32.579833333333333</v>
      </c>
      <c r="J40" t="s">
        <v>9</v>
      </c>
      <c r="K40" t="s">
        <v>32</v>
      </c>
      <c r="M40" s="3">
        <v>0</v>
      </c>
      <c r="N40" t="s">
        <v>22</v>
      </c>
      <c r="O40" s="1">
        <v>1</v>
      </c>
      <c r="P40" s="4">
        <v>2.0000000005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2</v>
      </c>
      <c r="S40" t="str">
        <f>InputData[[#This Row],[Col]]&amp;"x"&amp;IF(LEN(InputData[[#This Row],[Alto]])=2,InputData[[#This Row],[Alto]],"0"&amp;InputData[[#This Row],[Alto]])</f>
        <v>1x02</v>
      </c>
    </row>
    <row r="41" spans="1:19" x14ac:dyDescent="0.2">
      <c r="A41" t="s">
        <v>19</v>
      </c>
      <c r="B41" t="s">
        <v>134</v>
      </c>
      <c r="C41" t="s">
        <v>131</v>
      </c>
      <c r="E41" t="s">
        <v>135</v>
      </c>
      <c r="F41" t="s">
        <v>132</v>
      </c>
      <c r="G41" t="s">
        <v>23</v>
      </c>
      <c r="H41" t="s">
        <v>24</v>
      </c>
      <c r="I41" s="2">
        <v>27.150000000000002</v>
      </c>
      <c r="J41" t="s">
        <v>21</v>
      </c>
      <c r="K41" t="s">
        <v>32</v>
      </c>
      <c r="M41" s="3">
        <v>0</v>
      </c>
      <c r="N41" t="s">
        <v>22</v>
      </c>
      <c r="O41" s="1">
        <v>1</v>
      </c>
      <c r="P41" s="4">
        <v>2.0000000005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2</v>
      </c>
      <c r="S41" t="str">
        <f>InputData[[#This Row],[Col]]&amp;"x"&amp;IF(LEN(InputData[[#This Row],[Alto]])=2,InputData[[#This Row],[Alto]],"0"&amp;InputData[[#This Row],[Alto]])</f>
        <v>1x02</v>
      </c>
    </row>
    <row r="42" spans="1:19" x14ac:dyDescent="0.2">
      <c r="A42" t="s">
        <v>19</v>
      </c>
      <c r="B42" t="s">
        <v>344</v>
      </c>
      <c r="C42" t="s">
        <v>345</v>
      </c>
      <c r="E42" t="s">
        <v>346</v>
      </c>
      <c r="G42" t="s">
        <v>236</v>
      </c>
      <c r="H42" t="s">
        <v>24</v>
      </c>
      <c r="I42" s="2">
        <v>435.46000000000004</v>
      </c>
      <c r="J42" t="s">
        <v>21</v>
      </c>
      <c r="K42" t="s">
        <v>237</v>
      </c>
      <c r="M42" s="3">
        <v>0</v>
      </c>
      <c r="N42" t="s">
        <v>22</v>
      </c>
      <c r="O42" s="1">
        <v>2</v>
      </c>
      <c r="P42" s="4">
        <v>11.999999999472221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12</v>
      </c>
      <c r="S42" t="str">
        <f>InputData[[#This Row],[Col]]&amp;"x"&amp;IF(LEN(InputData[[#This Row],[Alto]])=2,InputData[[#This Row],[Alto]],"0"&amp;InputData[[#This Row],[Alto]])</f>
        <v>2x12</v>
      </c>
    </row>
    <row r="43" spans="1:19" x14ac:dyDescent="0.2">
      <c r="A43" t="s">
        <v>19</v>
      </c>
      <c r="B43" t="s">
        <v>347</v>
      </c>
      <c r="C43" t="s">
        <v>348</v>
      </c>
      <c r="D43" t="s">
        <v>349</v>
      </c>
      <c r="E43" t="s">
        <v>350</v>
      </c>
      <c r="F43" t="s">
        <v>351</v>
      </c>
      <c r="G43" t="s">
        <v>23</v>
      </c>
      <c r="H43" t="s">
        <v>20</v>
      </c>
      <c r="I43" s="2">
        <v>101.8125</v>
      </c>
      <c r="J43" t="s">
        <v>21</v>
      </c>
      <c r="K43" t="s">
        <v>35</v>
      </c>
      <c r="M43" s="3">
        <v>0</v>
      </c>
      <c r="N43" t="s">
        <v>22</v>
      </c>
      <c r="O43" s="1">
        <v>1</v>
      </c>
      <c r="P43" s="4">
        <v>5.0000000012500001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5</v>
      </c>
      <c r="S43" t="str">
        <f>InputData[[#This Row],[Col]]&amp;"x"&amp;IF(LEN(InputData[[#This Row],[Alto]])=2,InputData[[#This Row],[Alto]],"0"&amp;InputData[[#This Row],[Alto]])</f>
        <v>1x05</v>
      </c>
    </row>
    <row r="44" spans="1:19" x14ac:dyDescent="0.2">
      <c r="A44" t="s">
        <v>19</v>
      </c>
      <c r="B44" t="s">
        <v>188</v>
      </c>
      <c r="C44" t="s">
        <v>33</v>
      </c>
      <c r="D44" t="s">
        <v>189</v>
      </c>
      <c r="E44" t="s">
        <v>34</v>
      </c>
      <c r="G44" t="s">
        <v>23</v>
      </c>
      <c r="H44" t="s">
        <v>20</v>
      </c>
      <c r="I44" s="2">
        <v>96.338064516129023</v>
      </c>
      <c r="J44" t="s">
        <v>21</v>
      </c>
      <c r="K44" t="s">
        <v>35</v>
      </c>
      <c r="M44" s="3">
        <v>0</v>
      </c>
      <c r="N44" t="s">
        <v>22</v>
      </c>
      <c r="O44" s="1">
        <v>1</v>
      </c>
      <c r="P44" s="4">
        <v>5.0000000012500001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5</v>
      </c>
      <c r="S44" t="str">
        <f>InputData[[#This Row],[Col]]&amp;"x"&amp;IF(LEN(InputData[[#This Row],[Alto]])=2,InputData[[#This Row],[Alto]],"0"&amp;InputData[[#This Row],[Alto]])</f>
        <v>1x05</v>
      </c>
    </row>
    <row r="45" spans="1:19" x14ac:dyDescent="0.2">
      <c r="A45" t="s">
        <v>19</v>
      </c>
      <c r="B45" t="s">
        <v>269</v>
      </c>
      <c r="C45" t="s">
        <v>126</v>
      </c>
      <c r="D45" t="s">
        <v>270</v>
      </c>
      <c r="E45" t="s">
        <v>127</v>
      </c>
      <c r="F45" t="s">
        <v>166</v>
      </c>
      <c r="G45" t="s">
        <v>23</v>
      </c>
      <c r="H45" t="s">
        <v>20</v>
      </c>
      <c r="I45" s="2">
        <v>133.03400000000002</v>
      </c>
      <c r="J45" t="s">
        <v>21</v>
      </c>
      <c r="K45" t="s">
        <v>35</v>
      </c>
      <c r="M45" s="3">
        <v>0</v>
      </c>
      <c r="N45" t="s">
        <v>22</v>
      </c>
      <c r="O45" s="1">
        <v>1</v>
      </c>
      <c r="P45" s="4">
        <v>7.0000000017499984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7</v>
      </c>
      <c r="S45" t="str">
        <f>InputData[[#This Row],[Col]]&amp;"x"&amp;IF(LEN(InputData[[#This Row],[Alto]])=2,InputData[[#This Row],[Alto]],"0"&amp;InputData[[#This Row],[Alto]])</f>
        <v>1x07</v>
      </c>
    </row>
    <row r="46" spans="1:19" x14ac:dyDescent="0.2">
      <c r="A46" t="s">
        <v>19</v>
      </c>
      <c r="B46" t="s">
        <v>271</v>
      </c>
      <c r="C46" t="s">
        <v>272</v>
      </c>
      <c r="E46" t="s">
        <v>273</v>
      </c>
      <c r="G46" t="s">
        <v>274</v>
      </c>
      <c r="H46" t="s">
        <v>24</v>
      </c>
      <c r="I46" s="2">
        <v>271.49857142857144</v>
      </c>
      <c r="J46" t="s">
        <v>21</v>
      </c>
      <c r="K46" t="s">
        <v>275</v>
      </c>
      <c r="M46" s="3">
        <v>0</v>
      </c>
      <c r="N46" t="s">
        <v>22</v>
      </c>
      <c r="O46" s="1">
        <v>2</v>
      </c>
      <c r="P46" s="4">
        <v>7.0000000017499984</v>
      </c>
      <c r="Q46" t="str">
        <f>EVALUATE_LOCATION(InputData[[#This Row],[Section]],InputData[[#This Row],[Forma de Pago]],InputData[[#This Row],[Ubic.Pretendida]],InputData[[#This Row],[Nro pag]])</f>
        <v xml:space="preserve"> </v>
      </c>
      <c r="R46">
        <f>ROUND(InputData[[#This Row],[AltoCm]],0)</f>
        <v>7</v>
      </c>
      <c r="S46" t="str">
        <f>InputData[[#This Row],[Col]]&amp;"x"&amp;IF(LEN(InputData[[#This Row],[Alto]])=2,InputData[[#This Row],[Alto]],"0"&amp;InputData[[#This Row],[Alto]])</f>
        <v>2x07</v>
      </c>
    </row>
    <row r="47" spans="1:19" x14ac:dyDescent="0.2">
      <c r="A47" t="s">
        <v>36</v>
      </c>
      <c r="B47" t="s">
        <v>352</v>
      </c>
      <c r="C47" t="s">
        <v>86</v>
      </c>
      <c r="E47" t="s">
        <v>103</v>
      </c>
      <c r="G47" t="s">
        <v>37</v>
      </c>
      <c r="H47" t="s">
        <v>88</v>
      </c>
      <c r="I47" s="2">
        <v>3420.25</v>
      </c>
      <c r="J47" t="s">
        <v>21</v>
      </c>
      <c r="K47" t="s">
        <v>93</v>
      </c>
      <c r="L47" t="s">
        <v>93</v>
      </c>
      <c r="M47" s="3">
        <v>33</v>
      </c>
      <c r="N47" t="s">
        <v>22</v>
      </c>
      <c r="O47" s="1">
        <v>5</v>
      </c>
      <c r="P47" s="4">
        <v>16.989777777777778</v>
      </c>
      <c r="Q47" t="str">
        <f>EVALUATE_LOCATION(InputData[[#This Row],[Section]],InputData[[#This Row],[Forma de Pago]],InputData[[#This Row],[Ubic.Pretendida]],InputData[[#This Row],[Nro pag]])</f>
        <v xml:space="preserve"> </v>
      </c>
      <c r="R47">
        <f>ROUND(InputData[[#This Row],[AltoCm]],0)</f>
        <v>17</v>
      </c>
      <c r="S47" t="str">
        <f>InputData[[#This Row],[Col]]&amp;"x"&amp;IF(LEN(InputData[[#This Row],[Alto]])=2,InputData[[#This Row],[Alto]],"0"&amp;InputData[[#This Row],[Alto]])</f>
        <v>5x17</v>
      </c>
    </row>
    <row r="48" spans="1:19" x14ac:dyDescent="0.2">
      <c r="A48" t="s">
        <v>36</v>
      </c>
      <c r="B48" t="s">
        <v>353</v>
      </c>
      <c r="C48" t="s">
        <v>86</v>
      </c>
      <c r="E48" t="s">
        <v>276</v>
      </c>
      <c r="G48" t="s">
        <v>37</v>
      </c>
      <c r="H48" t="s">
        <v>88</v>
      </c>
      <c r="I48" s="2">
        <v>2359.9699999999998</v>
      </c>
      <c r="J48" t="s">
        <v>9</v>
      </c>
      <c r="K48" t="s">
        <v>93</v>
      </c>
      <c r="L48" t="s">
        <v>93</v>
      </c>
      <c r="M48" s="3">
        <v>26</v>
      </c>
      <c r="N48" t="s">
        <v>22</v>
      </c>
      <c r="O48" s="1">
        <v>5</v>
      </c>
      <c r="P48" s="4">
        <v>9.8777777777777782</v>
      </c>
      <c r="Q48" t="str">
        <f>EVALUATE_LOCATION(InputData[[#This Row],[Section]],InputData[[#This Row],[Forma de Pago]],InputData[[#This Row],[Ubic.Pretendida]],InputData[[#This Row],[Nro pag]])</f>
        <v xml:space="preserve"> </v>
      </c>
      <c r="R48">
        <f>ROUND(InputData[[#This Row],[AltoCm]],0)</f>
        <v>10</v>
      </c>
      <c r="S48" t="str">
        <f>InputData[[#This Row],[Col]]&amp;"x"&amp;IF(LEN(InputData[[#This Row],[Alto]])=2,InputData[[#This Row],[Alto]],"0"&amp;InputData[[#This Row],[Alto]])</f>
        <v>5x10</v>
      </c>
    </row>
    <row r="49" spans="1:19" x14ac:dyDescent="0.2">
      <c r="A49" t="s">
        <v>36</v>
      </c>
      <c r="B49" t="s">
        <v>238</v>
      </c>
      <c r="C49" t="s">
        <v>239</v>
      </c>
      <c r="E49" t="s">
        <v>240</v>
      </c>
      <c r="G49" t="s">
        <v>37</v>
      </c>
      <c r="H49" t="s">
        <v>24</v>
      </c>
      <c r="I49" s="2">
        <v>0</v>
      </c>
      <c r="J49" t="s">
        <v>21</v>
      </c>
      <c r="K49" t="s">
        <v>93</v>
      </c>
      <c r="L49" t="s">
        <v>93</v>
      </c>
      <c r="M49" s="3">
        <v>28</v>
      </c>
      <c r="N49" t="s">
        <v>22</v>
      </c>
      <c r="O49" s="1">
        <v>1</v>
      </c>
      <c r="P49" s="4">
        <v>6.3217777777777773</v>
      </c>
      <c r="Q49" t="str">
        <f>EVALUATE_LOCATION(InputData[[#This Row],[Section]],InputData[[#This Row],[Forma de Pago]],InputData[[#This Row],[Ubic.Pretendida]],InputData[[#This Row],[Nro pag]])</f>
        <v xml:space="preserve"> </v>
      </c>
      <c r="R49">
        <f>ROUND(InputData[[#This Row],[AltoCm]],0)</f>
        <v>6</v>
      </c>
      <c r="S49" t="str">
        <f>InputData[[#This Row],[Col]]&amp;"x"&amp;IF(LEN(InputData[[#This Row],[Alto]])=2,InputData[[#This Row],[Alto]],"0"&amp;InputData[[#This Row],[Alto]])</f>
        <v>1x06</v>
      </c>
    </row>
    <row r="50" spans="1:19" x14ac:dyDescent="0.2">
      <c r="A50" t="s">
        <v>36</v>
      </c>
      <c r="B50" t="s">
        <v>190</v>
      </c>
      <c r="C50" t="s">
        <v>38</v>
      </c>
      <c r="D50" t="s">
        <v>191</v>
      </c>
      <c r="E50" t="s">
        <v>39</v>
      </c>
      <c r="G50" t="s">
        <v>37</v>
      </c>
      <c r="H50" t="s">
        <v>20</v>
      </c>
      <c r="I50" s="2">
        <v>333.12</v>
      </c>
      <c r="J50" t="s">
        <v>9</v>
      </c>
      <c r="K50" t="s">
        <v>40</v>
      </c>
      <c r="L50" t="s">
        <v>40</v>
      </c>
      <c r="M50" s="3">
        <v>39</v>
      </c>
      <c r="N50" t="s">
        <v>22</v>
      </c>
      <c r="O50" s="1">
        <v>3</v>
      </c>
      <c r="P50" s="4">
        <v>2.7657777777777777</v>
      </c>
      <c r="Q50" t="str">
        <f>EVALUATE_LOCATION(InputData[[#This Row],[Section]],InputData[[#This Row],[Forma de Pago]],InputData[[#This Row],[Ubic.Pretendida]],InputData[[#This Row],[Nro pag]])</f>
        <v xml:space="preserve"> </v>
      </c>
      <c r="R50">
        <f>ROUND(InputData[[#This Row],[AltoCm]],0)</f>
        <v>3</v>
      </c>
      <c r="S50" t="str">
        <f>InputData[[#This Row],[Col]]&amp;"x"&amp;IF(LEN(InputData[[#This Row],[Alto]])=2,InputData[[#This Row],[Alto]],"0"&amp;InputData[[#This Row],[Alto]])</f>
        <v>3x03</v>
      </c>
    </row>
    <row r="51" spans="1:19" x14ac:dyDescent="0.2">
      <c r="A51" t="s">
        <v>36</v>
      </c>
      <c r="B51" t="s">
        <v>192</v>
      </c>
      <c r="C51" t="s">
        <v>41</v>
      </c>
      <c r="D51" t="s">
        <v>87</v>
      </c>
      <c r="E51" t="s">
        <v>42</v>
      </c>
      <c r="G51" t="s">
        <v>37</v>
      </c>
      <c r="H51" t="s">
        <v>20</v>
      </c>
      <c r="I51" s="2">
        <v>452.49</v>
      </c>
      <c r="J51" t="s">
        <v>9</v>
      </c>
      <c r="K51" t="s">
        <v>43</v>
      </c>
      <c r="L51" t="s">
        <v>43</v>
      </c>
      <c r="M51" s="3">
        <v>38</v>
      </c>
      <c r="N51" t="s">
        <v>22</v>
      </c>
      <c r="O51" s="1">
        <v>5</v>
      </c>
      <c r="P51" s="4">
        <v>2.7657777777777777</v>
      </c>
      <c r="Q51" t="str">
        <f>EVALUATE_LOCATION(InputData[[#This Row],[Section]],InputData[[#This Row],[Forma de Pago]],InputData[[#This Row],[Ubic.Pretendida]],InputData[[#This Row],[Nro pag]])</f>
        <v xml:space="preserve"> </v>
      </c>
      <c r="R51">
        <f>ROUND(InputData[[#This Row],[AltoCm]],0)</f>
        <v>3</v>
      </c>
      <c r="S51" t="str">
        <f>InputData[[#This Row],[Col]]&amp;"x"&amp;IF(LEN(InputData[[#This Row],[Alto]])=2,InputData[[#This Row],[Alto]],"0"&amp;InputData[[#This Row],[Alto]])</f>
        <v>5x03</v>
      </c>
    </row>
    <row r="52" spans="1:19" x14ac:dyDescent="0.2">
      <c r="A52" t="s">
        <v>36</v>
      </c>
      <c r="B52" t="s">
        <v>193</v>
      </c>
      <c r="C52" t="s">
        <v>80</v>
      </c>
      <c r="D52" t="s">
        <v>194</v>
      </c>
      <c r="E52" t="s">
        <v>81</v>
      </c>
      <c r="G52" t="s">
        <v>37</v>
      </c>
      <c r="H52" t="s">
        <v>20</v>
      </c>
      <c r="I52" s="2">
        <v>175.93</v>
      </c>
      <c r="J52" t="s">
        <v>9</v>
      </c>
      <c r="K52" t="s">
        <v>43</v>
      </c>
      <c r="M52" s="3">
        <v>0</v>
      </c>
      <c r="N52" t="s">
        <v>22</v>
      </c>
      <c r="O52" s="1">
        <v>2</v>
      </c>
      <c r="P52" s="4">
        <v>2.7657777777777777</v>
      </c>
      <c r="Q52" t="str">
        <f>EVALUATE_LOCATION(InputData[[#This Row],[Section]],InputData[[#This Row],[Forma de Pago]],InputData[[#This Row],[Ubic.Pretendida]],InputData[[#This Row],[Nro pag]])</f>
        <v xml:space="preserve"> </v>
      </c>
      <c r="R52">
        <f>ROUND(InputData[[#This Row],[AltoCm]],0)</f>
        <v>3</v>
      </c>
      <c r="S52" t="str">
        <f>InputData[[#This Row],[Col]]&amp;"x"&amp;IF(LEN(InputData[[#This Row],[Alto]])=2,InputData[[#This Row],[Alto]],"0"&amp;InputData[[#This Row],[Alto]])</f>
        <v>2x03</v>
      </c>
    </row>
    <row r="53" spans="1:19" x14ac:dyDescent="0.2">
      <c r="A53" t="s">
        <v>36</v>
      </c>
      <c r="B53" t="s">
        <v>195</v>
      </c>
      <c r="C53" t="s">
        <v>58</v>
      </c>
      <c r="D53" t="s">
        <v>196</v>
      </c>
      <c r="E53" t="s">
        <v>59</v>
      </c>
      <c r="G53" t="s">
        <v>37</v>
      </c>
      <c r="H53" t="s">
        <v>20</v>
      </c>
      <c r="I53" s="2">
        <v>555.21</v>
      </c>
      <c r="J53" t="s">
        <v>9</v>
      </c>
      <c r="K53" t="s">
        <v>43</v>
      </c>
      <c r="L53" t="s">
        <v>43</v>
      </c>
      <c r="M53" s="3">
        <v>39</v>
      </c>
      <c r="N53" t="s">
        <v>22</v>
      </c>
      <c r="O53" s="1">
        <v>5</v>
      </c>
      <c r="P53" s="4">
        <v>2.7657777777777777</v>
      </c>
      <c r="Q53" t="str">
        <f>EVALUATE_LOCATION(InputData[[#This Row],[Section]],InputData[[#This Row],[Forma de Pago]],InputData[[#This Row],[Ubic.Pretendida]],InputData[[#This Row],[Nro pag]])</f>
        <v xml:space="preserve"> </v>
      </c>
      <c r="R53">
        <f>ROUND(InputData[[#This Row],[AltoCm]],0)</f>
        <v>3</v>
      </c>
      <c r="S53" t="str">
        <f>InputData[[#This Row],[Col]]&amp;"x"&amp;IF(LEN(InputData[[#This Row],[Alto]])=2,InputData[[#This Row],[Alto]],"0"&amp;InputData[[#This Row],[Alto]])</f>
        <v>5x03</v>
      </c>
    </row>
    <row r="54" spans="1:19" x14ac:dyDescent="0.2">
      <c r="A54" t="s">
        <v>36</v>
      </c>
      <c r="B54" t="s">
        <v>354</v>
      </c>
      <c r="C54" t="s">
        <v>355</v>
      </c>
      <c r="D54" t="s">
        <v>356</v>
      </c>
      <c r="E54" t="s">
        <v>357</v>
      </c>
      <c r="G54" t="s">
        <v>37</v>
      </c>
      <c r="H54" t="s">
        <v>20</v>
      </c>
      <c r="I54" s="2">
        <v>2519.8200000000002</v>
      </c>
      <c r="J54" t="s">
        <v>9</v>
      </c>
      <c r="K54" t="s">
        <v>289</v>
      </c>
      <c r="L54" t="s">
        <v>289</v>
      </c>
      <c r="M54" s="3">
        <v>23</v>
      </c>
      <c r="N54" t="s">
        <v>22</v>
      </c>
      <c r="O54" s="1">
        <v>5</v>
      </c>
      <c r="P54" s="4">
        <v>16.989777777777778</v>
      </c>
      <c r="Q54" t="str">
        <f>EVALUATE_LOCATION(InputData[[#This Row],[Section]],InputData[[#This Row],[Forma de Pago]],InputData[[#This Row],[Ubic.Pretendida]],InputData[[#This Row],[Nro pag]])</f>
        <v xml:space="preserve"> </v>
      </c>
      <c r="R54">
        <f>ROUND(InputData[[#This Row],[AltoCm]],0)</f>
        <v>17</v>
      </c>
      <c r="S54" t="str">
        <f>InputData[[#This Row],[Col]]&amp;"x"&amp;IF(LEN(InputData[[#This Row],[Alto]])=2,InputData[[#This Row],[Alto]],"0"&amp;InputData[[#This Row],[Alto]])</f>
        <v>5x17</v>
      </c>
    </row>
    <row r="55" spans="1:19" x14ac:dyDescent="0.2">
      <c r="A55" t="s">
        <v>36</v>
      </c>
      <c r="B55" t="s">
        <v>358</v>
      </c>
      <c r="C55" t="s">
        <v>359</v>
      </c>
      <c r="D55" t="s">
        <v>360</v>
      </c>
      <c r="E55" t="s">
        <v>361</v>
      </c>
      <c r="G55" t="s">
        <v>37</v>
      </c>
      <c r="H55" t="s">
        <v>20</v>
      </c>
      <c r="I55" s="2">
        <v>2005.63</v>
      </c>
      <c r="J55" t="s">
        <v>21</v>
      </c>
      <c r="K55" t="s">
        <v>362</v>
      </c>
      <c r="L55" t="s">
        <v>362</v>
      </c>
      <c r="M55" s="3">
        <v>5</v>
      </c>
      <c r="N55" t="s">
        <v>22</v>
      </c>
      <c r="O55" s="1">
        <v>2</v>
      </c>
      <c r="P55" s="4">
        <v>9.8777777777777782</v>
      </c>
      <c r="Q55" t="str">
        <f>EVALUATE_LOCATION(InputData[[#This Row],[Section]],InputData[[#This Row],[Forma de Pago]],InputData[[#This Row],[Ubic.Pretendida]],InputData[[#This Row],[Nro pag]])</f>
        <v>&gt;DIFIERE&lt;</v>
      </c>
      <c r="R55">
        <f>ROUND(InputData[[#This Row],[AltoCm]],0)</f>
        <v>10</v>
      </c>
      <c r="S55" t="str">
        <f>InputData[[#This Row],[Col]]&amp;"x"&amp;IF(LEN(InputData[[#This Row],[Alto]])=2,InputData[[#This Row],[Alto]],"0"&amp;InputData[[#This Row],[Alto]])</f>
        <v>2x10</v>
      </c>
    </row>
    <row r="56" spans="1:19" x14ac:dyDescent="0.2">
      <c r="A56" t="s">
        <v>36</v>
      </c>
      <c r="B56" t="s">
        <v>363</v>
      </c>
      <c r="C56" t="s">
        <v>364</v>
      </c>
      <c r="D56" t="s">
        <v>146</v>
      </c>
      <c r="E56" t="s">
        <v>365</v>
      </c>
      <c r="G56" t="s">
        <v>37</v>
      </c>
      <c r="H56" t="s">
        <v>20</v>
      </c>
      <c r="I56" s="2">
        <v>635</v>
      </c>
      <c r="J56" t="s">
        <v>21</v>
      </c>
      <c r="K56" t="s">
        <v>142</v>
      </c>
      <c r="L56" t="s">
        <v>142</v>
      </c>
      <c r="M56" s="3">
        <v>4</v>
      </c>
      <c r="N56" t="s">
        <v>22</v>
      </c>
      <c r="O56" s="1">
        <v>2</v>
      </c>
      <c r="P56" s="4">
        <v>6.3217777777777773</v>
      </c>
      <c r="Q56" t="str">
        <f>EVALUATE_LOCATION(InputData[[#This Row],[Section]],InputData[[#This Row],[Forma de Pago]],InputData[[#This Row],[Ubic.Pretendida]],InputData[[#This Row],[Nro pag]])</f>
        <v xml:space="preserve"> </v>
      </c>
      <c r="R56">
        <f>ROUND(InputData[[#This Row],[AltoCm]],0)</f>
        <v>6</v>
      </c>
      <c r="S56" t="str">
        <f>InputData[[#This Row],[Col]]&amp;"x"&amp;IF(LEN(InputData[[#This Row],[Alto]])=2,InputData[[#This Row],[Alto]],"0"&amp;InputData[[#This Row],[Alto]])</f>
        <v>2x06</v>
      </c>
    </row>
    <row r="57" spans="1:19" x14ac:dyDescent="0.2">
      <c r="A57" t="s">
        <v>36</v>
      </c>
      <c r="B57" t="s">
        <v>366</v>
      </c>
      <c r="C57" t="s">
        <v>277</v>
      </c>
      <c r="D57" t="s">
        <v>278</v>
      </c>
      <c r="E57" t="s">
        <v>279</v>
      </c>
      <c r="G57" t="s">
        <v>37</v>
      </c>
      <c r="H57" t="s">
        <v>20</v>
      </c>
      <c r="I57" s="2">
        <v>381</v>
      </c>
      <c r="J57" t="s">
        <v>21</v>
      </c>
      <c r="K57" t="s">
        <v>142</v>
      </c>
      <c r="L57" t="s">
        <v>142</v>
      </c>
      <c r="M57" s="3">
        <v>15</v>
      </c>
      <c r="N57" t="s">
        <v>22</v>
      </c>
      <c r="O57" s="1">
        <v>2</v>
      </c>
      <c r="P57" s="4">
        <v>2.7657777777777777</v>
      </c>
      <c r="Q57" t="str">
        <f>EVALUATE_LOCATION(InputData[[#This Row],[Section]],InputData[[#This Row],[Forma de Pago]],InputData[[#This Row],[Ubic.Pretendida]],InputData[[#This Row],[Nro pag]])</f>
        <v>&gt;DIFIERE&lt;</v>
      </c>
      <c r="R57">
        <f>ROUND(InputData[[#This Row],[AltoCm]],0)</f>
        <v>3</v>
      </c>
      <c r="S57" t="str">
        <f>InputData[[#This Row],[Col]]&amp;"x"&amp;IF(LEN(InputData[[#This Row],[Alto]])=2,InputData[[#This Row],[Alto]],"0"&amp;InputData[[#This Row],[Alto]])</f>
        <v>2x03</v>
      </c>
    </row>
    <row r="58" spans="1:19" x14ac:dyDescent="0.2">
      <c r="A58" t="s">
        <v>36</v>
      </c>
      <c r="B58" t="s">
        <v>197</v>
      </c>
      <c r="C58" t="s">
        <v>44</v>
      </c>
      <c r="D58" t="s">
        <v>87</v>
      </c>
      <c r="E58" t="s">
        <v>45</v>
      </c>
      <c r="G58" t="s">
        <v>46</v>
      </c>
      <c r="H58" t="s">
        <v>20</v>
      </c>
      <c r="I58" s="2">
        <v>1707.49</v>
      </c>
      <c r="J58" t="s">
        <v>9</v>
      </c>
      <c r="K58" t="s">
        <v>47</v>
      </c>
      <c r="L58" t="s">
        <v>47</v>
      </c>
      <c r="M58" s="3">
        <v>35</v>
      </c>
      <c r="N58" t="s">
        <v>48</v>
      </c>
      <c r="O58" s="1">
        <v>5</v>
      </c>
      <c r="P58" s="4">
        <v>17.000000000722224</v>
      </c>
      <c r="Q58" t="str">
        <f>EVALUATE_LOCATION(InputData[[#This Row],[Section]],InputData[[#This Row],[Forma de Pago]],InputData[[#This Row],[Ubic.Pretendida]],InputData[[#This Row],[Nro pag]])</f>
        <v>&gt;DIFIERE&lt;</v>
      </c>
      <c r="R58">
        <f>ROUND(InputData[[#This Row],[AltoCm]],0)</f>
        <v>17</v>
      </c>
      <c r="S58" t="str">
        <f>InputData[[#This Row],[Col]]&amp;"x"&amp;IF(LEN(InputData[[#This Row],[Alto]])=2,InputData[[#This Row],[Alto]],"0"&amp;InputData[[#This Row],[Alto]])</f>
        <v>5x17</v>
      </c>
    </row>
    <row r="59" spans="1:19" x14ac:dyDescent="0.2">
      <c r="A59" t="s">
        <v>36</v>
      </c>
      <c r="B59" t="s">
        <v>212</v>
      </c>
      <c r="C59" t="s">
        <v>86</v>
      </c>
      <c r="E59" t="s">
        <v>213</v>
      </c>
      <c r="G59" t="s">
        <v>37</v>
      </c>
      <c r="H59" t="s">
        <v>88</v>
      </c>
      <c r="I59" s="2">
        <v>4719.6000000000004</v>
      </c>
      <c r="J59" t="s">
        <v>9</v>
      </c>
      <c r="K59" t="s">
        <v>47</v>
      </c>
      <c r="L59" t="s">
        <v>47</v>
      </c>
      <c r="M59" s="3">
        <v>27</v>
      </c>
      <c r="N59" t="s">
        <v>48</v>
      </c>
      <c r="O59" s="1">
        <v>2</v>
      </c>
      <c r="P59" s="4">
        <v>34.769777777777783</v>
      </c>
      <c r="Q59" t="str">
        <f>EVALUATE_LOCATION(InputData[[#This Row],[Section]],InputData[[#This Row],[Forma de Pago]],InputData[[#This Row],[Ubic.Pretendida]],InputData[[#This Row],[Nro pag]])</f>
        <v xml:space="preserve"> </v>
      </c>
      <c r="R59">
        <f>ROUND(InputData[[#This Row],[AltoCm]],0)</f>
        <v>35</v>
      </c>
      <c r="S59" t="str">
        <f>InputData[[#This Row],[Col]]&amp;"x"&amp;IF(LEN(InputData[[#This Row],[Alto]])=2,InputData[[#This Row],[Alto]],"0"&amp;InputData[[#This Row],[Alto]])</f>
        <v>2x35</v>
      </c>
    </row>
    <row r="60" spans="1:19" x14ac:dyDescent="0.2">
      <c r="A60" t="s">
        <v>36</v>
      </c>
      <c r="B60" t="s">
        <v>280</v>
      </c>
      <c r="C60" t="s">
        <v>233</v>
      </c>
      <c r="D60" t="s">
        <v>87</v>
      </c>
      <c r="E60" t="s">
        <v>281</v>
      </c>
      <c r="G60" t="s">
        <v>46</v>
      </c>
      <c r="H60" t="s">
        <v>20</v>
      </c>
      <c r="I60" s="2">
        <v>80384.62</v>
      </c>
      <c r="J60" t="s">
        <v>9</v>
      </c>
      <c r="K60" t="s">
        <v>47</v>
      </c>
      <c r="L60" t="s">
        <v>47</v>
      </c>
      <c r="M60" s="3">
        <v>40</v>
      </c>
      <c r="N60" t="s">
        <v>22</v>
      </c>
      <c r="O60" s="1">
        <v>5</v>
      </c>
      <c r="P60" s="4">
        <v>17.000000000722224</v>
      </c>
      <c r="Q60" t="str">
        <f>EVALUATE_LOCATION(InputData[[#This Row],[Section]],InputData[[#This Row],[Forma de Pago]],InputData[[#This Row],[Ubic.Pretendida]],InputData[[#This Row],[Nro pag]])</f>
        <v>&gt;DIFIERE&lt;</v>
      </c>
      <c r="R60">
        <f>ROUND(InputData[[#This Row],[AltoCm]],0)</f>
        <v>17</v>
      </c>
      <c r="S60" t="str">
        <f>InputData[[#This Row],[Col]]&amp;"x"&amp;IF(LEN(InputData[[#This Row],[Alto]])=2,InputData[[#This Row],[Alto]],"0"&amp;InputData[[#This Row],[Alto]])</f>
        <v>5x17</v>
      </c>
    </row>
    <row r="61" spans="1:19" x14ac:dyDescent="0.2">
      <c r="A61" t="s">
        <v>49</v>
      </c>
      <c r="B61" t="s">
        <v>307</v>
      </c>
      <c r="C61" t="s">
        <v>308</v>
      </c>
      <c r="E61" t="s">
        <v>309</v>
      </c>
      <c r="G61" t="s">
        <v>50</v>
      </c>
      <c r="H61" t="s">
        <v>24</v>
      </c>
      <c r="I61" s="2">
        <v>113.92566666666667</v>
      </c>
      <c r="J61" t="s">
        <v>21</v>
      </c>
      <c r="K61" t="s">
        <v>310</v>
      </c>
      <c r="M61" s="3">
        <v>0</v>
      </c>
      <c r="N61" t="s">
        <v>22</v>
      </c>
      <c r="O61" s="1">
        <v>2</v>
      </c>
      <c r="P61" s="4">
        <v>9.999999998972223</v>
      </c>
      <c r="Q61" t="str">
        <f>EVALUATE_LOCATION(InputData[[#This Row],[Section]],InputData[[#This Row],[Forma de Pago]],InputData[[#This Row],[Ubic.Pretendida]],InputData[[#This Row],[Nro pag]])</f>
        <v xml:space="preserve"> </v>
      </c>
      <c r="R61">
        <f>ROUND(InputData[[#This Row],[AltoCm]],0)</f>
        <v>10</v>
      </c>
      <c r="S61" t="str">
        <f>InputData[[#This Row],[Col]]&amp;"x"&amp;IF(LEN(InputData[[#This Row],[Alto]])=2,InputData[[#This Row],[Alto]],"0"&amp;InputData[[#This Row],[Alto]])</f>
        <v>2x10</v>
      </c>
    </row>
    <row r="62" spans="1:19" x14ac:dyDescent="0.2">
      <c r="A62" t="s">
        <v>49</v>
      </c>
      <c r="B62" t="s">
        <v>311</v>
      </c>
      <c r="C62" t="s">
        <v>312</v>
      </c>
      <c r="E62" t="s">
        <v>313</v>
      </c>
      <c r="F62" t="s">
        <v>314</v>
      </c>
      <c r="G62" t="s">
        <v>50</v>
      </c>
      <c r="H62" t="s">
        <v>24</v>
      </c>
      <c r="I62" s="2">
        <v>56.962666666666678</v>
      </c>
      <c r="J62" t="s">
        <v>9</v>
      </c>
      <c r="K62" t="s">
        <v>315</v>
      </c>
      <c r="M62" s="3">
        <v>0</v>
      </c>
      <c r="N62" t="s">
        <v>22</v>
      </c>
      <c r="O62" s="1">
        <v>2</v>
      </c>
      <c r="P62" s="4">
        <v>5.0000000012500001</v>
      </c>
      <c r="Q62" t="str">
        <f>EVALUATE_LOCATION(InputData[[#This Row],[Section]],InputData[[#This Row],[Forma de Pago]],InputData[[#This Row],[Ubic.Pretendida]],InputData[[#This Row],[Nro pag]])</f>
        <v xml:space="preserve"> </v>
      </c>
      <c r="R62">
        <f>ROUND(InputData[[#This Row],[AltoCm]],0)</f>
        <v>5</v>
      </c>
      <c r="S62" t="str">
        <f>InputData[[#This Row],[Col]]&amp;"x"&amp;IF(LEN(InputData[[#This Row],[Alto]])=2,InputData[[#This Row],[Alto]],"0"&amp;InputData[[#This Row],[Alto]])</f>
        <v>2x05</v>
      </c>
    </row>
    <row r="63" spans="1:19" x14ac:dyDescent="0.2">
      <c r="A63" t="s">
        <v>49</v>
      </c>
      <c r="B63" t="s">
        <v>147</v>
      </c>
      <c r="C63" t="s">
        <v>148</v>
      </c>
      <c r="E63" t="s">
        <v>149</v>
      </c>
      <c r="G63" t="s">
        <v>50</v>
      </c>
      <c r="H63" t="s">
        <v>24</v>
      </c>
      <c r="I63" s="2">
        <v>22.785000000000004</v>
      </c>
      <c r="J63" t="s">
        <v>21</v>
      </c>
      <c r="K63" t="s">
        <v>150</v>
      </c>
      <c r="M63" s="3">
        <v>0</v>
      </c>
      <c r="N63" t="s">
        <v>22</v>
      </c>
      <c r="O63" s="1">
        <v>2</v>
      </c>
      <c r="P63" s="4">
        <v>2.0000000005</v>
      </c>
      <c r="Q63" t="str">
        <f>EVALUATE_LOCATION(InputData[[#This Row],[Section]],InputData[[#This Row],[Forma de Pago]],InputData[[#This Row],[Ubic.Pretendida]],InputData[[#This Row],[Nro pag]])</f>
        <v xml:space="preserve"> </v>
      </c>
      <c r="R63">
        <f>ROUND(InputData[[#This Row],[AltoCm]],0)</f>
        <v>2</v>
      </c>
      <c r="S63" t="str">
        <f>InputData[[#This Row],[Col]]&amp;"x"&amp;IF(LEN(InputData[[#This Row],[Alto]])=2,InputData[[#This Row],[Alto]],"0"&amp;InputData[[#This Row],[Alto]])</f>
        <v>2x02</v>
      </c>
    </row>
    <row r="64" spans="1:19" x14ac:dyDescent="0.2">
      <c r="A64" t="s">
        <v>49</v>
      </c>
      <c r="B64" t="s">
        <v>151</v>
      </c>
      <c r="C64" t="s">
        <v>152</v>
      </c>
      <c r="E64" t="s">
        <v>153</v>
      </c>
      <c r="G64" t="s">
        <v>50</v>
      </c>
      <c r="H64" t="s">
        <v>24</v>
      </c>
      <c r="I64" s="2">
        <v>22.785000000000004</v>
      </c>
      <c r="J64" t="s">
        <v>21</v>
      </c>
      <c r="K64" t="s">
        <v>150</v>
      </c>
      <c r="M64" s="3">
        <v>0</v>
      </c>
      <c r="N64" t="s">
        <v>22</v>
      </c>
      <c r="O64" s="1">
        <v>2</v>
      </c>
      <c r="P64" s="4">
        <v>2.0000000005</v>
      </c>
      <c r="Q64" t="str">
        <f>EVALUATE_LOCATION(InputData[[#This Row],[Section]],InputData[[#This Row],[Forma de Pago]],InputData[[#This Row],[Ubic.Pretendida]],InputData[[#This Row],[Nro pag]])</f>
        <v xml:space="preserve"> </v>
      </c>
      <c r="R64">
        <f>ROUND(InputData[[#This Row],[AltoCm]],0)</f>
        <v>2</v>
      </c>
      <c r="S64" t="str">
        <f>InputData[[#This Row],[Col]]&amp;"x"&amp;IF(LEN(InputData[[#This Row],[Alto]])=2,InputData[[#This Row],[Alto]],"0"&amp;InputData[[#This Row],[Alto]])</f>
        <v>2x02</v>
      </c>
    </row>
    <row r="65" spans="1:19" x14ac:dyDescent="0.2">
      <c r="A65" t="s">
        <v>49</v>
      </c>
      <c r="B65" t="s">
        <v>116</v>
      </c>
      <c r="C65" t="s">
        <v>51</v>
      </c>
      <c r="E65" t="s">
        <v>52</v>
      </c>
      <c r="F65" t="s">
        <v>53</v>
      </c>
      <c r="G65" t="s">
        <v>50</v>
      </c>
      <c r="H65" t="s">
        <v>24</v>
      </c>
      <c r="I65" s="2">
        <v>34.177666666666667</v>
      </c>
      <c r="J65" t="s">
        <v>21</v>
      </c>
      <c r="K65" t="s">
        <v>54</v>
      </c>
      <c r="M65" s="3">
        <v>0</v>
      </c>
      <c r="N65" t="s">
        <v>22</v>
      </c>
      <c r="O65" s="1">
        <v>2</v>
      </c>
      <c r="P65" s="4">
        <v>3.0000000007500001</v>
      </c>
      <c r="Q65" t="str">
        <f>EVALUATE_LOCATION(InputData[[#This Row],[Section]],InputData[[#This Row],[Forma de Pago]],InputData[[#This Row],[Ubic.Pretendida]],InputData[[#This Row],[Nro pag]])</f>
        <v xml:space="preserve"> </v>
      </c>
      <c r="R65">
        <f>ROUND(InputData[[#This Row],[AltoCm]],0)</f>
        <v>3</v>
      </c>
      <c r="S65" t="str">
        <f>InputData[[#This Row],[Col]]&amp;"x"&amp;IF(LEN(InputData[[#This Row],[Alto]])=2,InputData[[#This Row],[Alto]],"0"&amp;InputData[[#This Row],[Alto]])</f>
        <v>2x03</v>
      </c>
    </row>
    <row r="66" spans="1:19" x14ac:dyDescent="0.2">
      <c r="A66" t="s">
        <v>49</v>
      </c>
      <c r="B66" t="s">
        <v>198</v>
      </c>
      <c r="C66" t="s">
        <v>199</v>
      </c>
      <c r="D66" t="s">
        <v>200</v>
      </c>
      <c r="E66" t="s">
        <v>201</v>
      </c>
      <c r="G66" t="s">
        <v>50</v>
      </c>
      <c r="H66" t="s">
        <v>20</v>
      </c>
      <c r="I66" s="2">
        <v>59.612903225806448</v>
      </c>
      <c r="J66" t="s">
        <v>21</v>
      </c>
      <c r="K66" t="s">
        <v>202</v>
      </c>
      <c r="M66" s="3">
        <v>0</v>
      </c>
      <c r="N66" t="s">
        <v>22</v>
      </c>
      <c r="O66" s="1">
        <v>2</v>
      </c>
      <c r="P66" s="4">
        <v>4.0000000010000001</v>
      </c>
      <c r="Q66" t="str">
        <f>EVALUATE_LOCATION(InputData[[#This Row],[Section]],InputData[[#This Row],[Forma de Pago]],InputData[[#This Row],[Ubic.Pretendida]],InputData[[#This Row],[Nro pag]])</f>
        <v xml:space="preserve"> </v>
      </c>
      <c r="R66">
        <f>ROUND(InputData[[#This Row],[AltoCm]],0)</f>
        <v>4</v>
      </c>
      <c r="S66" t="str">
        <f>InputData[[#This Row],[Col]]&amp;"x"&amp;IF(LEN(InputData[[#This Row],[Alto]])=2,InputData[[#This Row],[Alto]],"0"&amp;InputData[[#This Row],[Alto]])</f>
        <v>2x04</v>
      </c>
    </row>
    <row r="67" spans="1:19" x14ac:dyDescent="0.2">
      <c r="A67" t="s">
        <v>49</v>
      </c>
      <c r="B67" t="s">
        <v>167</v>
      </c>
      <c r="C67" t="s">
        <v>168</v>
      </c>
      <c r="D67" t="s">
        <v>146</v>
      </c>
      <c r="E67" t="s">
        <v>169</v>
      </c>
      <c r="F67" t="s">
        <v>170</v>
      </c>
      <c r="G67" t="s">
        <v>50</v>
      </c>
      <c r="H67" t="s">
        <v>24</v>
      </c>
      <c r="I67" s="2">
        <v>31.117000000000004</v>
      </c>
      <c r="J67" t="s">
        <v>21</v>
      </c>
      <c r="K67" t="s">
        <v>55</v>
      </c>
      <c r="M67" s="3">
        <v>0</v>
      </c>
      <c r="N67" t="s">
        <v>22</v>
      </c>
      <c r="O67" s="1">
        <v>2</v>
      </c>
      <c r="P67" s="4">
        <v>3.0000000007500001</v>
      </c>
      <c r="Q67" t="str">
        <f>EVALUATE_LOCATION(InputData[[#This Row],[Section]],InputData[[#This Row],[Forma de Pago]],InputData[[#This Row],[Ubic.Pretendida]],InputData[[#This Row],[Nro pag]])</f>
        <v xml:space="preserve"> </v>
      </c>
      <c r="R67">
        <f>ROUND(InputData[[#This Row],[AltoCm]],0)</f>
        <v>3</v>
      </c>
      <c r="S67" t="str">
        <f>InputData[[#This Row],[Col]]&amp;"x"&amp;IF(LEN(InputData[[#This Row],[Alto]])=2,InputData[[#This Row],[Alto]],"0"&amp;InputData[[#This Row],[Alto]])</f>
        <v>2x03</v>
      </c>
    </row>
    <row r="68" spans="1:19" x14ac:dyDescent="0.2">
      <c r="A68" t="s">
        <v>49</v>
      </c>
      <c r="B68" t="s">
        <v>203</v>
      </c>
      <c r="C68" t="s">
        <v>112</v>
      </c>
      <c r="D68" t="s">
        <v>187</v>
      </c>
      <c r="E68" t="s">
        <v>113</v>
      </c>
      <c r="G68" t="s">
        <v>50</v>
      </c>
      <c r="H68" t="s">
        <v>20</v>
      </c>
      <c r="I68" s="2">
        <v>48.510322580645173</v>
      </c>
      <c r="J68" t="s">
        <v>21</v>
      </c>
      <c r="K68" t="s">
        <v>55</v>
      </c>
      <c r="M68" s="3">
        <v>0</v>
      </c>
      <c r="N68" t="s">
        <v>22</v>
      </c>
      <c r="O68" s="1">
        <v>2</v>
      </c>
      <c r="P68" s="4">
        <v>3.0000000007500001</v>
      </c>
      <c r="Q68" t="str">
        <f>EVALUATE_LOCATION(InputData[[#This Row],[Section]],InputData[[#This Row],[Forma de Pago]],InputData[[#This Row],[Ubic.Pretendida]],InputData[[#This Row],[Nro pag]])</f>
        <v xml:space="preserve"> </v>
      </c>
      <c r="R68">
        <f>ROUND(InputData[[#This Row],[AltoCm]],0)</f>
        <v>3</v>
      </c>
      <c r="S68" t="str">
        <f>InputData[[#This Row],[Col]]&amp;"x"&amp;IF(LEN(InputData[[#This Row],[Alto]])=2,InputData[[#This Row],[Alto]],"0"&amp;InputData[[#This Row],[Alto]])</f>
        <v>2x03</v>
      </c>
    </row>
    <row r="69" spans="1:19" x14ac:dyDescent="0.2">
      <c r="A69" t="s">
        <v>49</v>
      </c>
      <c r="B69" t="s">
        <v>128</v>
      </c>
      <c r="C69" t="s">
        <v>129</v>
      </c>
      <c r="E69" t="s">
        <v>130</v>
      </c>
      <c r="G69" t="s">
        <v>50</v>
      </c>
      <c r="H69" t="s">
        <v>24</v>
      </c>
      <c r="I69" s="2">
        <v>34.177666666666667</v>
      </c>
      <c r="J69" t="s">
        <v>21</v>
      </c>
      <c r="K69" t="s">
        <v>56</v>
      </c>
      <c r="M69" s="3">
        <v>0</v>
      </c>
      <c r="N69" t="s">
        <v>22</v>
      </c>
      <c r="O69" s="1">
        <v>2</v>
      </c>
      <c r="P69" s="4">
        <v>3.0000000007500001</v>
      </c>
      <c r="Q69" t="str">
        <f>EVALUATE_LOCATION(InputData[[#This Row],[Section]],InputData[[#This Row],[Forma de Pago]],InputData[[#This Row],[Ubic.Pretendida]],InputData[[#This Row],[Nro pag]])</f>
        <v xml:space="preserve"> </v>
      </c>
      <c r="R69">
        <f>ROUND(InputData[[#This Row],[AltoCm]],0)</f>
        <v>3</v>
      </c>
      <c r="S69" t="str">
        <f>InputData[[#This Row],[Col]]&amp;"x"&amp;IF(LEN(InputData[[#This Row],[Alto]])=2,InputData[[#This Row],[Alto]],"0"&amp;InputData[[#This Row],[Alto]])</f>
        <v>2x03</v>
      </c>
    </row>
    <row r="70" spans="1:19" x14ac:dyDescent="0.2">
      <c r="A70" t="s">
        <v>49</v>
      </c>
      <c r="B70" t="s">
        <v>138</v>
      </c>
      <c r="C70" t="s">
        <v>139</v>
      </c>
      <c r="E70" t="s">
        <v>140</v>
      </c>
      <c r="F70" t="s">
        <v>141</v>
      </c>
      <c r="G70" t="s">
        <v>50</v>
      </c>
      <c r="H70" t="s">
        <v>24</v>
      </c>
      <c r="I70" s="2">
        <v>22.785000000000004</v>
      </c>
      <c r="J70" t="s">
        <v>21</v>
      </c>
      <c r="K70" t="s">
        <v>56</v>
      </c>
      <c r="M70" s="3">
        <v>0</v>
      </c>
      <c r="N70" t="s">
        <v>22</v>
      </c>
      <c r="O70" s="1">
        <v>2</v>
      </c>
      <c r="P70" s="4">
        <v>2.0000000005</v>
      </c>
      <c r="Q70" t="str">
        <f>EVALUATE_LOCATION(InputData[[#This Row],[Section]],InputData[[#This Row],[Forma de Pago]],InputData[[#This Row],[Ubic.Pretendida]],InputData[[#This Row],[Nro pag]])</f>
        <v xml:space="preserve"> </v>
      </c>
      <c r="R70">
        <f>ROUND(InputData[[#This Row],[AltoCm]],0)</f>
        <v>2</v>
      </c>
      <c r="S70" t="str">
        <f>InputData[[#This Row],[Col]]&amp;"x"&amp;IF(LEN(InputData[[#This Row],[Alto]])=2,InputData[[#This Row],[Alto]],"0"&amp;InputData[[#This Row],[Alto]])</f>
        <v>2x02</v>
      </c>
    </row>
    <row r="71" spans="1:19" x14ac:dyDescent="0.2">
      <c r="A71" t="s">
        <v>49</v>
      </c>
      <c r="B71" t="s">
        <v>161</v>
      </c>
      <c r="C71" t="s">
        <v>162</v>
      </c>
      <c r="E71" t="s">
        <v>163</v>
      </c>
      <c r="F71" t="s">
        <v>164</v>
      </c>
      <c r="G71" t="s">
        <v>50</v>
      </c>
      <c r="H71" t="s">
        <v>24</v>
      </c>
      <c r="I71" s="2">
        <v>113.92566666666667</v>
      </c>
      <c r="J71" t="s">
        <v>21</v>
      </c>
      <c r="K71" t="s">
        <v>56</v>
      </c>
      <c r="M71" s="3">
        <v>0</v>
      </c>
      <c r="N71" t="s">
        <v>22</v>
      </c>
      <c r="O71" s="1">
        <v>2</v>
      </c>
      <c r="P71" s="4">
        <v>9.999999998972223</v>
      </c>
      <c r="Q71" t="str">
        <f>EVALUATE_LOCATION(InputData[[#This Row],[Section]],InputData[[#This Row],[Forma de Pago]],InputData[[#This Row],[Ubic.Pretendida]],InputData[[#This Row],[Nro pag]])</f>
        <v xml:space="preserve"> </v>
      </c>
      <c r="R71">
        <f>ROUND(InputData[[#This Row],[AltoCm]],0)</f>
        <v>10</v>
      </c>
      <c r="S71" t="str">
        <f>InputData[[#This Row],[Col]]&amp;"x"&amp;IF(LEN(InputData[[#This Row],[Alto]])=2,InputData[[#This Row],[Alto]],"0"&amp;InputData[[#This Row],[Alto]])</f>
        <v>2x10</v>
      </c>
    </row>
    <row r="72" spans="1:19" x14ac:dyDescent="0.2">
      <c r="A72" t="s">
        <v>49</v>
      </c>
      <c r="B72" t="s">
        <v>204</v>
      </c>
      <c r="C72" t="s">
        <v>205</v>
      </c>
      <c r="E72" t="s">
        <v>206</v>
      </c>
      <c r="G72" t="s">
        <v>50</v>
      </c>
      <c r="H72" t="s">
        <v>24</v>
      </c>
      <c r="I72" s="2">
        <v>22.785000000000004</v>
      </c>
      <c r="J72" t="s">
        <v>21</v>
      </c>
      <c r="K72" t="s">
        <v>56</v>
      </c>
      <c r="M72" s="3">
        <v>0</v>
      </c>
      <c r="N72" t="s">
        <v>22</v>
      </c>
      <c r="O72" s="1">
        <v>2</v>
      </c>
      <c r="P72" s="4">
        <v>2.0000000005</v>
      </c>
      <c r="Q72" t="str">
        <f>EVALUATE_LOCATION(InputData[[#This Row],[Section]],InputData[[#This Row],[Forma de Pago]],InputData[[#This Row],[Ubic.Pretendida]],InputData[[#This Row],[Nro pag]])</f>
        <v xml:space="preserve"> </v>
      </c>
      <c r="R72">
        <f>ROUND(InputData[[#This Row],[AltoCm]],0)</f>
        <v>2</v>
      </c>
      <c r="S72" t="str">
        <f>InputData[[#This Row],[Col]]&amp;"x"&amp;IF(LEN(InputData[[#This Row],[Alto]])=2,InputData[[#This Row],[Alto]],"0"&amp;InputData[[#This Row],[Alto]])</f>
        <v>2x02</v>
      </c>
    </row>
    <row r="73" spans="1:19" x14ac:dyDescent="0.2">
      <c r="A73" t="s">
        <v>49</v>
      </c>
      <c r="B73" t="s">
        <v>282</v>
      </c>
      <c r="C73" t="s">
        <v>83</v>
      </c>
      <c r="E73" t="s">
        <v>283</v>
      </c>
      <c r="G73" t="s">
        <v>50</v>
      </c>
      <c r="H73" t="s">
        <v>24</v>
      </c>
      <c r="I73" s="2">
        <v>34.177666666666667</v>
      </c>
      <c r="J73" t="s">
        <v>21</v>
      </c>
      <c r="K73" t="s">
        <v>56</v>
      </c>
      <c r="M73" s="3">
        <v>0</v>
      </c>
      <c r="N73" t="s">
        <v>22</v>
      </c>
      <c r="O73" s="1">
        <v>2</v>
      </c>
      <c r="P73" s="4">
        <v>3.0000000007500001</v>
      </c>
      <c r="Q73" t="str">
        <f>EVALUATE_LOCATION(InputData[[#This Row],[Section]],InputData[[#This Row],[Forma de Pago]],InputData[[#This Row],[Ubic.Pretendida]],InputData[[#This Row],[Nro pag]])</f>
        <v xml:space="preserve"> </v>
      </c>
      <c r="R73">
        <f>ROUND(InputData[[#This Row],[AltoCm]],0)</f>
        <v>3</v>
      </c>
      <c r="S73" t="str">
        <f>InputData[[#This Row],[Col]]&amp;"x"&amp;IF(LEN(InputData[[#This Row],[Alto]])=2,InputData[[#This Row],[Alto]],"0"&amp;InputData[[#This Row],[Alto]])</f>
        <v>2x03</v>
      </c>
    </row>
    <row r="74" spans="1:19" x14ac:dyDescent="0.2">
      <c r="A74" t="s">
        <v>57</v>
      </c>
      <c r="B74" t="s">
        <v>367</v>
      </c>
      <c r="C74" t="s">
        <v>368</v>
      </c>
      <c r="E74" t="s">
        <v>369</v>
      </c>
      <c r="G74" t="s">
        <v>60</v>
      </c>
      <c r="H74" t="s">
        <v>24</v>
      </c>
      <c r="I74" s="2">
        <v>1899.08</v>
      </c>
      <c r="J74" t="s">
        <v>9</v>
      </c>
      <c r="K74" t="s">
        <v>61</v>
      </c>
      <c r="M74" s="3">
        <v>0</v>
      </c>
      <c r="N74" t="s">
        <v>22</v>
      </c>
      <c r="O74" s="1">
        <v>3</v>
      </c>
      <c r="P74" s="4">
        <v>9.8777777777777782</v>
      </c>
      <c r="Q74" t="str">
        <f>EVALUATE_LOCATION(InputData[[#This Row],[Section]],InputData[[#This Row],[Forma de Pago]],InputData[[#This Row],[Ubic.Pretendida]],InputData[[#This Row],[Nro pag]])</f>
        <v xml:space="preserve"> </v>
      </c>
      <c r="R74">
        <f>ROUND(InputData[[#This Row],[AltoCm]],0)</f>
        <v>10</v>
      </c>
      <c r="S74" t="str">
        <f>InputData[[#This Row],[Col]]&amp;"x"&amp;IF(LEN(InputData[[#This Row],[Alto]])=2,InputData[[#This Row],[Alto]],"0"&amp;InputData[[#This Row],[Alto]])</f>
        <v>3x10</v>
      </c>
    </row>
    <row r="75" spans="1:19" x14ac:dyDescent="0.2">
      <c r="A75" t="s">
        <v>57</v>
      </c>
      <c r="B75" t="s">
        <v>370</v>
      </c>
      <c r="C75" t="s">
        <v>371</v>
      </c>
      <c r="E75" t="s">
        <v>372</v>
      </c>
      <c r="F75" t="s">
        <v>373</v>
      </c>
      <c r="G75" t="s">
        <v>60</v>
      </c>
      <c r="H75" t="s">
        <v>24</v>
      </c>
      <c r="I75" s="2">
        <v>844.0300000000002</v>
      </c>
      <c r="J75" t="s">
        <v>9</v>
      </c>
      <c r="K75" t="s">
        <v>61</v>
      </c>
      <c r="M75" s="3">
        <v>0</v>
      </c>
      <c r="N75" t="s">
        <v>22</v>
      </c>
      <c r="O75" s="1">
        <v>2</v>
      </c>
      <c r="P75" s="4">
        <v>6.3217777777777773</v>
      </c>
      <c r="Q75" t="str">
        <f>EVALUATE_LOCATION(InputData[[#This Row],[Section]],InputData[[#This Row],[Forma de Pago]],InputData[[#This Row],[Ubic.Pretendida]],InputData[[#This Row],[Nro pag]])</f>
        <v xml:space="preserve"> </v>
      </c>
      <c r="R75">
        <f>ROUND(InputData[[#This Row],[AltoCm]],0)</f>
        <v>6</v>
      </c>
      <c r="S75" t="str">
        <f>InputData[[#This Row],[Col]]&amp;"x"&amp;IF(LEN(InputData[[#This Row],[Alto]])=2,InputData[[#This Row],[Alto]],"0"&amp;InputData[[#This Row],[Alto]])</f>
        <v>2x06</v>
      </c>
    </row>
    <row r="76" spans="1:19" x14ac:dyDescent="0.2">
      <c r="A76" t="s">
        <v>57</v>
      </c>
      <c r="B76" t="s">
        <v>374</v>
      </c>
      <c r="C76" t="s">
        <v>375</v>
      </c>
      <c r="D76" t="s">
        <v>376</v>
      </c>
      <c r="E76" t="s">
        <v>377</v>
      </c>
      <c r="G76" t="s">
        <v>60</v>
      </c>
      <c r="H76" t="s">
        <v>20</v>
      </c>
      <c r="I76" s="2">
        <v>1266.04</v>
      </c>
      <c r="J76" t="s">
        <v>9</v>
      </c>
      <c r="K76" t="s">
        <v>61</v>
      </c>
      <c r="M76" s="3">
        <v>0</v>
      </c>
      <c r="N76" t="s">
        <v>22</v>
      </c>
      <c r="O76" s="1">
        <v>2</v>
      </c>
      <c r="P76" s="4">
        <v>9.8777777777777782</v>
      </c>
      <c r="Q76" t="str">
        <f>EVALUATE_LOCATION(InputData[[#This Row],[Section]],InputData[[#This Row],[Forma de Pago]],InputData[[#This Row],[Ubic.Pretendida]],InputData[[#This Row],[Nro pag]])</f>
        <v xml:space="preserve"> </v>
      </c>
      <c r="R76">
        <f>ROUND(InputData[[#This Row],[AltoCm]],0)</f>
        <v>10</v>
      </c>
      <c r="S76" t="str">
        <f>InputData[[#This Row],[Col]]&amp;"x"&amp;IF(LEN(InputData[[#This Row],[Alto]])=2,InputData[[#This Row],[Alto]],"0"&amp;InputData[[#This Row],[Alto]])</f>
        <v>2x10</v>
      </c>
    </row>
    <row r="77" spans="1:19" x14ac:dyDescent="0.2">
      <c r="A77" t="s">
        <v>57</v>
      </c>
      <c r="B77" t="s">
        <v>378</v>
      </c>
      <c r="C77" t="s">
        <v>379</v>
      </c>
      <c r="E77" t="s">
        <v>380</v>
      </c>
      <c r="G77" t="s">
        <v>60</v>
      </c>
      <c r="H77" t="s">
        <v>24</v>
      </c>
      <c r="I77" s="2">
        <v>1899.08</v>
      </c>
      <c r="J77" t="s">
        <v>9</v>
      </c>
      <c r="K77" t="s">
        <v>61</v>
      </c>
      <c r="M77" s="3">
        <v>0</v>
      </c>
      <c r="N77" t="s">
        <v>22</v>
      </c>
      <c r="O77" s="1">
        <v>3</v>
      </c>
      <c r="P77" s="4">
        <v>9.8777777777777782</v>
      </c>
      <c r="Q77" t="str">
        <f>EVALUATE_LOCATION(InputData[[#This Row],[Section]],InputData[[#This Row],[Forma de Pago]],InputData[[#This Row],[Ubic.Pretendida]],InputData[[#This Row],[Nro pag]])</f>
        <v xml:space="preserve"> </v>
      </c>
      <c r="R77">
        <f>ROUND(InputData[[#This Row],[AltoCm]],0)</f>
        <v>10</v>
      </c>
      <c r="S77" t="str">
        <f>InputData[[#This Row],[Col]]&amp;"x"&amp;IF(LEN(InputData[[#This Row],[Alto]])=2,InputData[[#This Row],[Alto]],"0"&amp;InputData[[#This Row],[Alto]])</f>
        <v>3x10</v>
      </c>
    </row>
    <row r="78" spans="1:19" x14ac:dyDescent="0.2">
      <c r="A78" t="s">
        <v>57</v>
      </c>
      <c r="B78" t="s">
        <v>381</v>
      </c>
      <c r="C78" t="s">
        <v>58</v>
      </c>
      <c r="D78" t="s">
        <v>382</v>
      </c>
      <c r="E78" t="s">
        <v>383</v>
      </c>
      <c r="G78" t="s">
        <v>60</v>
      </c>
      <c r="H78" t="s">
        <v>20</v>
      </c>
      <c r="I78" s="2">
        <v>453.33</v>
      </c>
      <c r="J78" t="s">
        <v>21</v>
      </c>
      <c r="K78" t="s">
        <v>61</v>
      </c>
      <c r="M78" s="3">
        <v>0</v>
      </c>
      <c r="N78" t="s">
        <v>22</v>
      </c>
      <c r="O78" s="1">
        <v>1</v>
      </c>
      <c r="P78" s="4">
        <v>9.8777777777777782</v>
      </c>
      <c r="Q78" t="str">
        <f>EVALUATE_LOCATION(InputData[[#This Row],[Section]],InputData[[#This Row],[Forma de Pago]],InputData[[#This Row],[Ubic.Pretendida]],InputData[[#This Row],[Nro pag]])</f>
        <v xml:space="preserve"> </v>
      </c>
      <c r="R78">
        <f>ROUND(InputData[[#This Row],[AltoCm]],0)</f>
        <v>10</v>
      </c>
      <c r="S78" t="str">
        <f>InputData[[#This Row],[Col]]&amp;"x"&amp;IF(LEN(InputData[[#This Row],[Alto]])=2,InputData[[#This Row],[Alto]],"0"&amp;InputData[[#This Row],[Alto]])</f>
        <v>1x10</v>
      </c>
    </row>
    <row r="79" spans="1:19" x14ac:dyDescent="0.2">
      <c r="A79" t="s">
        <v>57</v>
      </c>
      <c r="B79" t="s">
        <v>384</v>
      </c>
      <c r="C79" t="s">
        <v>385</v>
      </c>
      <c r="D79" t="s">
        <v>386</v>
      </c>
      <c r="E79" t="s">
        <v>387</v>
      </c>
      <c r="F79" t="s">
        <v>388</v>
      </c>
      <c r="G79" t="s">
        <v>60</v>
      </c>
      <c r="H79" t="s">
        <v>20</v>
      </c>
      <c r="I79" s="2">
        <v>1266.04</v>
      </c>
      <c r="J79" t="s">
        <v>9</v>
      </c>
      <c r="K79" t="s">
        <v>61</v>
      </c>
      <c r="M79" s="3">
        <v>0</v>
      </c>
      <c r="N79" t="s">
        <v>22</v>
      </c>
      <c r="O79" s="1">
        <v>2</v>
      </c>
      <c r="P79" s="4">
        <v>9.8777777777777782</v>
      </c>
      <c r="Q79" t="str">
        <f>EVALUATE_LOCATION(InputData[[#This Row],[Section]],InputData[[#This Row],[Forma de Pago]],InputData[[#This Row],[Ubic.Pretendida]],InputData[[#This Row],[Nro pag]])</f>
        <v xml:space="preserve"> </v>
      </c>
      <c r="R79">
        <f>ROUND(InputData[[#This Row],[AltoCm]],0)</f>
        <v>10</v>
      </c>
      <c r="S79" t="str">
        <f>InputData[[#This Row],[Col]]&amp;"x"&amp;IF(LEN(InputData[[#This Row],[Alto]])=2,InputData[[#This Row],[Alto]],"0"&amp;InputData[[#This Row],[Alto]])</f>
        <v>2x10</v>
      </c>
    </row>
    <row r="80" spans="1:19" x14ac:dyDescent="0.2">
      <c r="A80" t="s">
        <v>57</v>
      </c>
      <c r="B80" t="s">
        <v>389</v>
      </c>
      <c r="C80" t="s">
        <v>390</v>
      </c>
      <c r="D80" t="s">
        <v>391</v>
      </c>
      <c r="E80" t="s">
        <v>392</v>
      </c>
      <c r="G80" t="s">
        <v>60</v>
      </c>
      <c r="H80" t="s">
        <v>20</v>
      </c>
      <c r="I80" s="2">
        <v>1266.04</v>
      </c>
      <c r="J80" t="s">
        <v>9</v>
      </c>
      <c r="K80" t="s">
        <v>61</v>
      </c>
      <c r="M80" s="3">
        <v>0</v>
      </c>
      <c r="N80" t="s">
        <v>22</v>
      </c>
      <c r="O80" s="1">
        <v>2</v>
      </c>
      <c r="P80" s="4">
        <v>9.8777777777777782</v>
      </c>
      <c r="Q80" t="str">
        <f>EVALUATE_LOCATION(InputData[[#This Row],[Section]],InputData[[#This Row],[Forma de Pago]],InputData[[#This Row],[Ubic.Pretendida]],InputData[[#This Row],[Nro pag]])</f>
        <v xml:space="preserve"> </v>
      </c>
      <c r="R80">
        <f>ROUND(InputData[[#This Row],[AltoCm]],0)</f>
        <v>10</v>
      </c>
      <c r="S80" t="str">
        <f>InputData[[#This Row],[Col]]&amp;"x"&amp;IF(LEN(InputData[[#This Row],[Alto]])=2,InputData[[#This Row],[Alto]],"0"&amp;InputData[[#This Row],[Alto]])</f>
        <v>2x10</v>
      </c>
    </row>
    <row r="81" spans="1:19" x14ac:dyDescent="0.2">
      <c r="A81" t="s">
        <v>393</v>
      </c>
      <c r="B81" t="s">
        <v>394</v>
      </c>
      <c r="C81" t="s">
        <v>395</v>
      </c>
      <c r="D81" t="s">
        <v>396</v>
      </c>
      <c r="E81" t="s">
        <v>397</v>
      </c>
      <c r="G81" t="s">
        <v>37</v>
      </c>
      <c r="H81" t="s">
        <v>20</v>
      </c>
      <c r="I81" s="2">
        <v>0</v>
      </c>
      <c r="J81" t="s">
        <v>9</v>
      </c>
      <c r="K81" t="s">
        <v>40</v>
      </c>
      <c r="L81" t="s">
        <v>40</v>
      </c>
      <c r="M81" s="3">
        <v>3</v>
      </c>
      <c r="N81" t="s">
        <v>22</v>
      </c>
      <c r="O81" s="1">
        <v>2</v>
      </c>
      <c r="P81" s="4">
        <v>6.3217777777777773</v>
      </c>
      <c r="Q81" t="str">
        <f>EVALUATE_LOCATION(InputData[[#This Row],[Section]],InputData[[#This Row],[Forma de Pago]],InputData[[#This Row],[Ubic.Pretendida]],InputData[[#This Row],[Nro pag]])</f>
        <v xml:space="preserve"> </v>
      </c>
      <c r="R81">
        <f>ROUND(InputData[[#This Row],[AltoCm]],0)</f>
        <v>6</v>
      </c>
      <c r="S81" t="str">
        <f>InputData[[#This Row],[Col]]&amp;"x"&amp;IF(LEN(InputData[[#This Row],[Alto]])=2,InputData[[#This Row],[Alto]],"0"&amp;InputData[[#This Row],[Alto]])</f>
        <v>2x06</v>
      </c>
    </row>
    <row r="82" spans="1:19" x14ac:dyDescent="0.2">
      <c r="A82" t="s">
        <v>393</v>
      </c>
      <c r="B82" t="s">
        <v>398</v>
      </c>
      <c r="C82" t="s">
        <v>199</v>
      </c>
      <c r="D82" t="s">
        <v>87</v>
      </c>
      <c r="E82" t="s">
        <v>201</v>
      </c>
      <c r="G82" t="s">
        <v>37</v>
      </c>
      <c r="H82" t="s">
        <v>20</v>
      </c>
      <c r="I82" s="2">
        <v>518.76</v>
      </c>
      <c r="J82" t="s">
        <v>9</v>
      </c>
      <c r="K82" t="s">
        <v>40</v>
      </c>
      <c r="L82" t="s">
        <v>40</v>
      </c>
      <c r="M82" s="3">
        <v>2</v>
      </c>
      <c r="N82" t="s">
        <v>22</v>
      </c>
      <c r="O82" s="1">
        <v>2</v>
      </c>
      <c r="P82" s="4">
        <v>9.8777777777777782</v>
      </c>
      <c r="Q82" t="str">
        <f>EVALUATE_LOCATION(InputData[[#This Row],[Section]],InputData[[#This Row],[Forma de Pago]],InputData[[#This Row],[Ubic.Pretendida]],InputData[[#This Row],[Nro pag]])</f>
        <v xml:space="preserve"> </v>
      </c>
      <c r="R82">
        <f>ROUND(InputData[[#This Row],[AltoCm]],0)</f>
        <v>10</v>
      </c>
      <c r="S82" t="str">
        <f>InputData[[#This Row],[Col]]&amp;"x"&amp;IF(LEN(InputData[[#This Row],[Alto]])=2,InputData[[#This Row],[Alto]],"0"&amp;InputData[[#This Row],[Alto]])</f>
        <v>2x10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454"/>
  <sheetViews>
    <sheetView tabSelected="1" zoomScaleNormal="100" workbookViewId="0">
      <selection activeCell="N4" sqref="N4"/>
    </sheetView>
  </sheetViews>
  <sheetFormatPr defaultColWidth="11.42578125" defaultRowHeight="21.95" customHeight="1" x14ac:dyDescent="0.2"/>
  <cols>
    <col min="1" max="1" width="12.42578125" style="5" bestFit="1" customWidth="1"/>
    <col min="2" max="2" width="3.28515625" style="5" bestFit="1" customWidth="1"/>
    <col min="3" max="3" width="5.5703125" style="5" bestFit="1" customWidth="1"/>
    <col min="4" max="4" width="29" style="5" bestFit="1" customWidth="1"/>
    <col min="5" max="10" width="7.28515625" style="5" customWidth="1"/>
    <col min="11" max="11" width="13.7109375" style="5" customWidth="1"/>
    <col min="12" max="12" width="3" style="6" bestFit="1" customWidth="1"/>
    <col min="13" max="16384" width="11.42578125" style="5"/>
  </cols>
  <sheetData>
    <row r="1" spans="1:12" ht="16.5" x14ac:dyDescent="0.2">
      <c r="A1" s="7" t="s">
        <v>0</v>
      </c>
      <c r="B1" s="7" t="s">
        <v>218</v>
      </c>
      <c r="C1" s="7" t="s">
        <v>62</v>
      </c>
      <c r="D1" s="7" t="s">
        <v>4</v>
      </c>
      <c r="E1" s="7" t="s">
        <v>63</v>
      </c>
      <c r="F1" s="7" t="s">
        <v>219</v>
      </c>
      <c r="G1" s="7" t="s">
        <v>64</v>
      </c>
      <c r="H1" s="7" t="s">
        <v>220</v>
      </c>
      <c r="I1" s="7" t="s">
        <v>221</v>
      </c>
      <c r="J1" s="7" t="s">
        <v>65</v>
      </c>
      <c r="K1" s="7" t="s">
        <v>1</v>
      </c>
      <c r="L1" s="8" t="s">
        <v>217</v>
      </c>
    </row>
    <row r="2" spans="1:12" ht="33" customHeight="1" x14ac:dyDescent="0.2">
      <c r="A2" s="9" t="s">
        <v>393</v>
      </c>
      <c r="B2" s="10">
        <v>2</v>
      </c>
      <c r="C2" s="11" t="s">
        <v>40</v>
      </c>
      <c r="D2" s="11" t="s">
        <v>201</v>
      </c>
      <c r="E2" s="11" t="s">
        <v>66</v>
      </c>
      <c r="F2" s="11" t="s">
        <v>66</v>
      </c>
      <c r="G2" s="12" t="s">
        <v>104</v>
      </c>
      <c r="H2" s="11" t="s">
        <v>9</v>
      </c>
      <c r="I2" s="11" t="s">
        <v>66</v>
      </c>
      <c r="J2" s="11" t="s">
        <v>87</v>
      </c>
      <c r="K2" s="12" t="s">
        <v>398</v>
      </c>
      <c r="L2" s="13">
        <v>1</v>
      </c>
    </row>
    <row r="3" spans="1:12" ht="16.5" x14ac:dyDescent="0.2">
      <c r="A3" s="14"/>
      <c r="B3" s="15" t="s">
        <v>207</v>
      </c>
      <c r="C3" s="16"/>
      <c r="D3" s="16"/>
      <c r="E3" s="16"/>
      <c r="F3" s="16"/>
      <c r="G3" s="16"/>
      <c r="H3" s="16"/>
      <c r="I3" s="16"/>
      <c r="J3" s="16"/>
      <c r="K3" s="16"/>
      <c r="L3" s="17">
        <v>1</v>
      </c>
    </row>
    <row r="4" spans="1:12" ht="33" customHeight="1" x14ac:dyDescent="0.2">
      <c r="A4" s="14"/>
      <c r="B4" s="10">
        <v>3</v>
      </c>
      <c r="C4" s="11" t="s">
        <v>40</v>
      </c>
      <c r="D4" s="11" t="s">
        <v>397</v>
      </c>
      <c r="E4" s="11" t="s">
        <v>66</v>
      </c>
      <c r="F4" s="11" t="s">
        <v>66</v>
      </c>
      <c r="G4" s="12" t="s">
        <v>101</v>
      </c>
      <c r="H4" s="11" t="s">
        <v>9</v>
      </c>
      <c r="I4" s="11" t="s">
        <v>66</v>
      </c>
      <c r="J4" s="11" t="s">
        <v>396</v>
      </c>
      <c r="K4" s="12" t="s">
        <v>394</v>
      </c>
      <c r="L4" s="13">
        <v>1</v>
      </c>
    </row>
    <row r="5" spans="1:12" ht="16.5" x14ac:dyDescent="0.2">
      <c r="A5" s="14"/>
      <c r="B5" s="15" t="s">
        <v>208</v>
      </c>
      <c r="C5" s="16"/>
      <c r="D5" s="16"/>
      <c r="E5" s="16"/>
      <c r="F5" s="16"/>
      <c r="G5" s="16"/>
      <c r="H5" s="16"/>
      <c r="I5" s="16"/>
      <c r="J5" s="16"/>
      <c r="K5" s="16"/>
      <c r="L5" s="17">
        <v>1</v>
      </c>
    </row>
    <row r="6" spans="1:12" ht="33" customHeight="1" x14ac:dyDescent="0.2">
      <c r="A6" s="9" t="s">
        <v>57</v>
      </c>
      <c r="B6" s="10">
        <v>0</v>
      </c>
      <c r="C6" s="11" t="s">
        <v>61</v>
      </c>
      <c r="D6" s="11" t="s">
        <v>369</v>
      </c>
      <c r="E6" s="11" t="s">
        <v>66</v>
      </c>
      <c r="F6" s="11" t="s">
        <v>66</v>
      </c>
      <c r="G6" s="12" t="s">
        <v>137</v>
      </c>
      <c r="H6" s="11" t="s">
        <v>9</v>
      </c>
      <c r="I6" s="11" t="s">
        <v>24</v>
      </c>
      <c r="J6" s="11" t="s">
        <v>66</v>
      </c>
      <c r="K6" s="12" t="s">
        <v>367</v>
      </c>
      <c r="L6" s="13">
        <v>1</v>
      </c>
    </row>
    <row r="7" spans="1:12" ht="33" customHeight="1" x14ac:dyDescent="0.2">
      <c r="A7" s="14"/>
      <c r="B7" s="18"/>
      <c r="C7" s="19"/>
      <c r="D7" s="11" t="s">
        <v>372</v>
      </c>
      <c r="E7" s="11" t="s">
        <v>66</v>
      </c>
      <c r="F7" s="11" t="s">
        <v>66</v>
      </c>
      <c r="G7" s="12" t="s">
        <v>101</v>
      </c>
      <c r="H7" s="11" t="s">
        <v>9</v>
      </c>
      <c r="I7" s="11" t="s">
        <v>24</v>
      </c>
      <c r="J7" s="11" t="s">
        <v>66</v>
      </c>
      <c r="K7" s="12" t="s">
        <v>370</v>
      </c>
      <c r="L7" s="13">
        <v>1</v>
      </c>
    </row>
    <row r="8" spans="1:12" ht="33" customHeight="1" x14ac:dyDescent="0.2">
      <c r="A8" s="14"/>
      <c r="B8" s="18"/>
      <c r="C8" s="19"/>
      <c r="D8" s="11" t="s">
        <v>377</v>
      </c>
      <c r="E8" s="11" t="s">
        <v>66</v>
      </c>
      <c r="F8" s="11" t="s">
        <v>66</v>
      </c>
      <c r="G8" s="12" t="s">
        <v>104</v>
      </c>
      <c r="H8" s="11" t="s">
        <v>9</v>
      </c>
      <c r="I8" s="11" t="s">
        <v>66</v>
      </c>
      <c r="J8" s="11" t="s">
        <v>376</v>
      </c>
      <c r="K8" s="12" t="s">
        <v>374</v>
      </c>
      <c r="L8" s="13">
        <v>1</v>
      </c>
    </row>
    <row r="9" spans="1:12" ht="33" customHeight="1" x14ac:dyDescent="0.2">
      <c r="A9" s="14"/>
      <c r="B9" s="18"/>
      <c r="C9" s="19"/>
      <c r="D9" s="11" t="s">
        <v>380</v>
      </c>
      <c r="E9" s="11" t="s">
        <v>66</v>
      </c>
      <c r="F9" s="11" t="s">
        <v>66</v>
      </c>
      <c r="G9" s="12" t="s">
        <v>137</v>
      </c>
      <c r="H9" s="11" t="s">
        <v>9</v>
      </c>
      <c r="I9" s="11" t="s">
        <v>24</v>
      </c>
      <c r="J9" s="11" t="s">
        <v>66</v>
      </c>
      <c r="K9" s="12" t="s">
        <v>378</v>
      </c>
      <c r="L9" s="13">
        <v>1</v>
      </c>
    </row>
    <row r="10" spans="1:12" ht="33" customHeight="1" x14ac:dyDescent="0.2">
      <c r="A10" s="14"/>
      <c r="B10" s="18"/>
      <c r="C10" s="19"/>
      <c r="D10" s="11" t="s">
        <v>383</v>
      </c>
      <c r="E10" s="11" t="s">
        <v>66</v>
      </c>
      <c r="F10" s="11" t="s">
        <v>66</v>
      </c>
      <c r="G10" s="12" t="s">
        <v>71</v>
      </c>
      <c r="H10" s="11" t="s">
        <v>21</v>
      </c>
      <c r="I10" s="11" t="s">
        <v>66</v>
      </c>
      <c r="J10" s="11" t="s">
        <v>382</v>
      </c>
      <c r="K10" s="12" t="s">
        <v>381</v>
      </c>
      <c r="L10" s="13">
        <v>1</v>
      </c>
    </row>
    <row r="11" spans="1:12" ht="33" customHeight="1" x14ac:dyDescent="0.2">
      <c r="A11" s="14"/>
      <c r="B11" s="18"/>
      <c r="C11" s="19"/>
      <c r="D11" s="11" t="s">
        <v>387</v>
      </c>
      <c r="E11" s="11" t="s">
        <v>66</v>
      </c>
      <c r="F11" s="11" t="s">
        <v>66</v>
      </c>
      <c r="G11" s="12" t="s">
        <v>104</v>
      </c>
      <c r="H11" s="11" t="s">
        <v>9</v>
      </c>
      <c r="I11" s="11" t="s">
        <v>66</v>
      </c>
      <c r="J11" s="11" t="s">
        <v>386</v>
      </c>
      <c r="K11" s="12" t="s">
        <v>384</v>
      </c>
      <c r="L11" s="13">
        <v>1</v>
      </c>
    </row>
    <row r="12" spans="1:12" ht="33" customHeight="1" x14ac:dyDescent="0.2">
      <c r="A12" s="14"/>
      <c r="B12" s="18"/>
      <c r="C12" s="19"/>
      <c r="D12" s="11" t="s">
        <v>392</v>
      </c>
      <c r="E12" s="11" t="s">
        <v>66</v>
      </c>
      <c r="F12" s="11" t="s">
        <v>66</v>
      </c>
      <c r="G12" s="12" t="s">
        <v>104</v>
      </c>
      <c r="H12" s="11" t="s">
        <v>9</v>
      </c>
      <c r="I12" s="11" t="s">
        <v>66</v>
      </c>
      <c r="J12" s="11" t="s">
        <v>391</v>
      </c>
      <c r="K12" s="12" t="s">
        <v>389</v>
      </c>
      <c r="L12" s="13">
        <v>1</v>
      </c>
    </row>
    <row r="13" spans="1:12" ht="16.5" x14ac:dyDescent="0.2">
      <c r="A13" s="14"/>
      <c r="B13" s="15" t="s">
        <v>209</v>
      </c>
      <c r="C13" s="16"/>
      <c r="D13" s="16"/>
      <c r="E13" s="16"/>
      <c r="F13" s="16"/>
      <c r="G13" s="16"/>
      <c r="H13" s="16"/>
      <c r="I13" s="16"/>
      <c r="J13" s="16"/>
      <c r="K13" s="16"/>
      <c r="L13" s="17">
        <v>7</v>
      </c>
    </row>
    <row r="14" spans="1:12" ht="33" customHeight="1" x14ac:dyDescent="0.2">
      <c r="A14" s="9" t="s">
        <v>49</v>
      </c>
      <c r="B14" s="10">
        <v>0</v>
      </c>
      <c r="C14" s="11" t="s">
        <v>56</v>
      </c>
      <c r="D14" s="11" t="s">
        <v>130</v>
      </c>
      <c r="E14" s="11" t="s">
        <v>66</v>
      </c>
      <c r="F14" s="11" t="s">
        <v>66</v>
      </c>
      <c r="G14" s="12" t="s">
        <v>70</v>
      </c>
      <c r="H14" s="11" t="s">
        <v>21</v>
      </c>
      <c r="I14" s="11" t="s">
        <v>24</v>
      </c>
      <c r="J14" s="11" t="s">
        <v>66</v>
      </c>
      <c r="K14" s="12" t="s">
        <v>128</v>
      </c>
      <c r="L14" s="13">
        <v>1</v>
      </c>
    </row>
    <row r="15" spans="1:12" ht="33" customHeight="1" x14ac:dyDescent="0.2">
      <c r="A15" s="14"/>
      <c r="B15" s="18"/>
      <c r="C15" s="19"/>
      <c r="D15" s="11" t="s">
        <v>140</v>
      </c>
      <c r="E15" s="11" t="s">
        <v>66</v>
      </c>
      <c r="F15" s="11" t="s">
        <v>66</v>
      </c>
      <c r="G15" s="12" t="s">
        <v>69</v>
      </c>
      <c r="H15" s="11" t="s">
        <v>21</v>
      </c>
      <c r="I15" s="11" t="s">
        <v>24</v>
      </c>
      <c r="J15" s="11" t="s">
        <v>66</v>
      </c>
      <c r="K15" s="12" t="s">
        <v>138</v>
      </c>
      <c r="L15" s="13">
        <v>1</v>
      </c>
    </row>
    <row r="16" spans="1:12" ht="33" customHeight="1" x14ac:dyDescent="0.2">
      <c r="A16" s="14"/>
      <c r="B16" s="18"/>
      <c r="C16" s="19"/>
      <c r="D16" s="11" t="s">
        <v>163</v>
      </c>
      <c r="E16" s="11" t="s">
        <v>66</v>
      </c>
      <c r="F16" s="11" t="s">
        <v>66</v>
      </c>
      <c r="G16" s="12" t="s">
        <v>104</v>
      </c>
      <c r="H16" s="11" t="s">
        <v>21</v>
      </c>
      <c r="I16" s="11" t="s">
        <v>24</v>
      </c>
      <c r="J16" s="11" t="s">
        <v>66</v>
      </c>
      <c r="K16" s="12" t="s">
        <v>161</v>
      </c>
      <c r="L16" s="13">
        <v>1</v>
      </c>
    </row>
    <row r="17" spans="1:12" ht="33" customHeight="1" x14ac:dyDescent="0.2">
      <c r="A17" s="14"/>
      <c r="B17" s="18"/>
      <c r="C17" s="19"/>
      <c r="D17" s="11" t="s">
        <v>206</v>
      </c>
      <c r="E17" s="11" t="s">
        <v>66</v>
      </c>
      <c r="F17" s="11" t="s">
        <v>66</v>
      </c>
      <c r="G17" s="12" t="s">
        <v>69</v>
      </c>
      <c r="H17" s="11" t="s">
        <v>21</v>
      </c>
      <c r="I17" s="11" t="s">
        <v>24</v>
      </c>
      <c r="J17" s="11" t="s">
        <v>66</v>
      </c>
      <c r="K17" s="12" t="s">
        <v>204</v>
      </c>
      <c r="L17" s="13">
        <v>1</v>
      </c>
    </row>
    <row r="18" spans="1:12" ht="33" customHeight="1" x14ac:dyDescent="0.2">
      <c r="A18" s="14"/>
      <c r="B18" s="18"/>
      <c r="C18" s="19"/>
      <c r="D18" s="11" t="s">
        <v>283</v>
      </c>
      <c r="E18" s="11" t="s">
        <v>66</v>
      </c>
      <c r="F18" s="11" t="s">
        <v>66</v>
      </c>
      <c r="G18" s="12" t="s">
        <v>70</v>
      </c>
      <c r="H18" s="11" t="s">
        <v>21</v>
      </c>
      <c r="I18" s="11" t="s">
        <v>24</v>
      </c>
      <c r="J18" s="11" t="s">
        <v>66</v>
      </c>
      <c r="K18" s="12" t="s">
        <v>282</v>
      </c>
      <c r="L18" s="13">
        <v>1</v>
      </c>
    </row>
    <row r="19" spans="1:12" ht="33" customHeight="1" x14ac:dyDescent="0.2">
      <c r="A19" s="14"/>
      <c r="B19" s="18"/>
      <c r="C19" s="11" t="s">
        <v>55</v>
      </c>
      <c r="D19" s="11" t="s">
        <v>113</v>
      </c>
      <c r="E19" s="11" t="s">
        <v>66</v>
      </c>
      <c r="F19" s="11" t="s">
        <v>66</v>
      </c>
      <c r="G19" s="12" t="s">
        <v>70</v>
      </c>
      <c r="H19" s="11" t="s">
        <v>21</v>
      </c>
      <c r="I19" s="11" t="s">
        <v>66</v>
      </c>
      <c r="J19" s="11" t="s">
        <v>187</v>
      </c>
      <c r="K19" s="12" t="s">
        <v>203</v>
      </c>
      <c r="L19" s="13">
        <v>1</v>
      </c>
    </row>
    <row r="20" spans="1:12" ht="33" customHeight="1" x14ac:dyDescent="0.2">
      <c r="A20" s="14"/>
      <c r="B20" s="18"/>
      <c r="C20" s="19"/>
      <c r="D20" s="11" t="s">
        <v>169</v>
      </c>
      <c r="E20" s="11" t="s">
        <v>66</v>
      </c>
      <c r="F20" s="11" t="s">
        <v>66</v>
      </c>
      <c r="G20" s="12" t="s">
        <v>70</v>
      </c>
      <c r="H20" s="11" t="s">
        <v>21</v>
      </c>
      <c r="I20" s="11" t="s">
        <v>24</v>
      </c>
      <c r="J20" s="11" t="s">
        <v>146</v>
      </c>
      <c r="K20" s="12" t="s">
        <v>167</v>
      </c>
      <c r="L20" s="13">
        <v>1</v>
      </c>
    </row>
    <row r="21" spans="1:12" ht="33" customHeight="1" x14ac:dyDescent="0.2">
      <c r="A21" s="14"/>
      <c r="B21" s="18"/>
      <c r="C21" s="11" t="s">
        <v>202</v>
      </c>
      <c r="D21" s="11" t="s">
        <v>201</v>
      </c>
      <c r="E21" s="11" t="s">
        <v>66</v>
      </c>
      <c r="F21" s="11" t="s">
        <v>66</v>
      </c>
      <c r="G21" s="12" t="s">
        <v>210</v>
      </c>
      <c r="H21" s="11" t="s">
        <v>21</v>
      </c>
      <c r="I21" s="11" t="s">
        <v>66</v>
      </c>
      <c r="J21" s="11" t="s">
        <v>200</v>
      </c>
      <c r="K21" s="12" t="s">
        <v>198</v>
      </c>
      <c r="L21" s="13">
        <v>1</v>
      </c>
    </row>
    <row r="22" spans="1:12" ht="33" customHeight="1" x14ac:dyDescent="0.2">
      <c r="A22" s="14"/>
      <c r="B22" s="18"/>
      <c r="C22" s="11" t="s">
        <v>54</v>
      </c>
      <c r="D22" s="11" t="s">
        <v>52</v>
      </c>
      <c r="E22" s="11" t="s">
        <v>66</v>
      </c>
      <c r="F22" s="11" t="s">
        <v>66</v>
      </c>
      <c r="G22" s="12" t="s">
        <v>70</v>
      </c>
      <c r="H22" s="11" t="s">
        <v>21</v>
      </c>
      <c r="I22" s="11" t="s">
        <v>24</v>
      </c>
      <c r="J22" s="11" t="s">
        <v>66</v>
      </c>
      <c r="K22" s="12" t="s">
        <v>116</v>
      </c>
      <c r="L22" s="13">
        <v>1</v>
      </c>
    </row>
    <row r="23" spans="1:12" ht="33" customHeight="1" x14ac:dyDescent="0.2">
      <c r="A23" s="14"/>
      <c r="B23" s="18"/>
      <c r="C23" s="11" t="s">
        <v>315</v>
      </c>
      <c r="D23" s="11" t="s">
        <v>313</v>
      </c>
      <c r="E23" s="11" t="s">
        <v>66</v>
      </c>
      <c r="F23" s="11" t="s">
        <v>66</v>
      </c>
      <c r="G23" s="12" t="s">
        <v>316</v>
      </c>
      <c r="H23" s="11" t="s">
        <v>9</v>
      </c>
      <c r="I23" s="11" t="s">
        <v>24</v>
      </c>
      <c r="J23" s="11" t="s">
        <v>66</v>
      </c>
      <c r="K23" s="12" t="s">
        <v>311</v>
      </c>
      <c r="L23" s="13">
        <v>1</v>
      </c>
    </row>
    <row r="24" spans="1:12" ht="33" customHeight="1" x14ac:dyDescent="0.2">
      <c r="A24" s="14"/>
      <c r="B24" s="18"/>
      <c r="C24" s="11" t="s">
        <v>150</v>
      </c>
      <c r="D24" s="11" t="s">
        <v>149</v>
      </c>
      <c r="E24" s="11" t="s">
        <v>66</v>
      </c>
      <c r="F24" s="11" t="s">
        <v>66</v>
      </c>
      <c r="G24" s="12" t="s">
        <v>69</v>
      </c>
      <c r="H24" s="11" t="s">
        <v>21</v>
      </c>
      <c r="I24" s="11" t="s">
        <v>24</v>
      </c>
      <c r="J24" s="11" t="s">
        <v>66</v>
      </c>
      <c r="K24" s="12" t="s">
        <v>147</v>
      </c>
      <c r="L24" s="13">
        <v>1</v>
      </c>
    </row>
    <row r="25" spans="1:12" ht="33" customHeight="1" x14ac:dyDescent="0.2">
      <c r="A25" s="14"/>
      <c r="B25" s="18"/>
      <c r="C25" s="19"/>
      <c r="D25" s="11" t="s">
        <v>153</v>
      </c>
      <c r="E25" s="11" t="s">
        <v>66</v>
      </c>
      <c r="F25" s="11" t="s">
        <v>66</v>
      </c>
      <c r="G25" s="12" t="s">
        <v>69</v>
      </c>
      <c r="H25" s="11" t="s">
        <v>21</v>
      </c>
      <c r="I25" s="11" t="s">
        <v>24</v>
      </c>
      <c r="J25" s="11" t="s">
        <v>66</v>
      </c>
      <c r="K25" s="12" t="s">
        <v>151</v>
      </c>
      <c r="L25" s="13">
        <v>1</v>
      </c>
    </row>
    <row r="26" spans="1:12" ht="33" customHeight="1" x14ac:dyDescent="0.2">
      <c r="A26" s="14"/>
      <c r="B26" s="18"/>
      <c r="C26" s="11" t="s">
        <v>310</v>
      </c>
      <c r="D26" s="11" t="s">
        <v>309</v>
      </c>
      <c r="E26" s="11" t="s">
        <v>66</v>
      </c>
      <c r="F26" s="11" t="s">
        <v>66</v>
      </c>
      <c r="G26" s="12" t="s">
        <v>104</v>
      </c>
      <c r="H26" s="11" t="s">
        <v>21</v>
      </c>
      <c r="I26" s="11" t="s">
        <v>24</v>
      </c>
      <c r="J26" s="11" t="s">
        <v>66</v>
      </c>
      <c r="K26" s="12" t="s">
        <v>307</v>
      </c>
      <c r="L26" s="13">
        <v>1</v>
      </c>
    </row>
    <row r="27" spans="1:12" ht="16.5" x14ac:dyDescent="0.2">
      <c r="A27" s="14"/>
      <c r="B27" s="15" t="s">
        <v>209</v>
      </c>
      <c r="C27" s="16"/>
      <c r="D27" s="16"/>
      <c r="E27" s="16"/>
      <c r="F27" s="16"/>
      <c r="G27" s="16"/>
      <c r="H27" s="16"/>
      <c r="I27" s="16"/>
      <c r="J27" s="16"/>
      <c r="K27" s="16"/>
      <c r="L27" s="17">
        <v>13</v>
      </c>
    </row>
    <row r="28" spans="1:12" ht="33" customHeight="1" x14ac:dyDescent="0.2">
      <c r="A28" s="9" t="s">
        <v>36</v>
      </c>
      <c r="B28" s="10">
        <v>0</v>
      </c>
      <c r="C28" s="11" t="s">
        <v>43</v>
      </c>
      <c r="D28" s="11" t="s">
        <v>81</v>
      </c>
      <c r="E28" s="11" t="s">
        <v>66</v>
      </c>
      <c r="F28" s="11" t="s">
        <v>66</v>
      </c>
      <c r="G28" s="12" t="s">
        <v>70</v>
      </c>
      <c r="H28" s="11" t="s">
        <v>9</v>
      </c>
      <c r="I28" s="11" t="s">
        <v>66</v>
      </c>
      <c r="J28" s="11" t="s">
        <v>194</v>
      </c>
      <c r="K28" s="12" t="s">
        <v>193</v>
      </c>
      <c r="L28" s="13">
        <v>1</v>
      </c>
    </row>
    <row r="29" spans="1:12" ht="16.5" x14ac:dyDescent="0.2">
      <c r="A29" s="14"/>
      <c r="B29" s="15" t="s">
        <v>209</v>
      </c>
      <c r="C29" s="16"/>
      <c r="D29" s="16"/>
      <c r="E29" s="16"/>
      <c r="F29" s="16"/>
      <c r="G29" s="16"/>
      <c r="H29" s="16"/>
      <c r="I29" s="16"/>
      <c r="J29" s="16"/>
      <c r="K29" s="16"/>
      <c r="L29" s="17">
        <v>1</v>
      </c>
    </row>
    <row r="30" spans="1:12" ht="33" customHeight="1" x14ac:dyDescent="0.2">
      <c r="A30" s="14"/>
      <c r="B30" s="10">
        <v>4</v>
      </c>
      <c r="C30" s="11" t="s">
        <v>142</v>
      </c>
      <c r="D30" s="11" t="s">
        <v>365</v>
      </c>
      <c r="E30" s="11" t="s">
        <v>66</v>
      </c>
      <c r="F30" s="11" t="s">
        <v>66</v>
      </c>
      <c r="G30" s="12" t="s">
        <v>101</v>
      </c>
      <c r="H30" s="11" t="s">
        <v>21</v>
      </c>
      <c r="I30" s="11" t="s">
        <v>66</v>
      </c>
      <c r="J30" s="11" t="s">
        <v>146</v>
      </c>
      <c r="K30" s="12" t="s">
        <v>363</v>
      </c>
      <c r="L30" s="13">
        <v>1</v>
      </c>
    </row>
    <row r="31" spans="1:12" ht="16.5" x14ac:dyDescent="0.2">
      <c r="A31" s="14"/>
      <c r="B31" s="15" t="s">
        <v>216</v>
      </c>
      <c r="C31" s="16"/>
      <c r="D31" s="16"/>
      <c r="E31" s="16"/>
      <c r="F31" s="16"/>
      <c r="G31" s="16"/>
      <c r="H31" s="16"/>
      <c r="I31" s="16"/>
      <c r="J31" s="16"/>
      <c r="K31" s="16"/>
      <c r="L31" s="17">
        <v>1</v>
      </c>
    </row>
    <row r="32" spans="1:12" ht="33" customHeight="1" x14ac:dyDescent="0.2">
      <c r="A32" s="14"/>
      <c r="B32" s="10">
        <v>5</v>
      </c>
      <c r="C32" s="11" t="s">
        <v>362</v>
      </c>
      <c r="D32" s="11" t="s">
        <v>361</v>
      </c>
      <c r="E32" s="11" t="s">
        <v>66</v>
      </c>
      <c r="F32" s="11" t="s">
        <v>72</v>
      </c>
      <c r="G32" s="12" t="s">
        <v>104</v>
      </c>
      <c r="H32" s="11" t="s">
        <v>21</v>
      </c>
      <c r="I32" s="11" t="s">
        <v>66</v>
      </c>
      <c r="J32" s="11" t="s">
        <v>360</v>
      </c>
      <c r="K32" s="12" t="s">
        <v>358</v>
      </c>
      <c r="L32" s="13">
        <v>1</v>
      </c>
    </row>
    <row r="33" spans="1:12" ht="16.5" x14ac:dyDescent="0.2">
      <c r="A33" s="14"/>
      <c r="B33" s="15" t="s">
        <v>399</v>
      </c>
      <c r="C33" s="16"/>
      <c r="D33" s="16"/>
      <c r="E33" s="16"/>
      <c r="F33" s="16"/>
      <c r="G33" s="16"/>
      <c r="H33" s="16"/>
      <c r="I33" s="16"/>
      <c r="J33" s="16"/>
      <c r="K33" s="16"/>
      <c r="L33" s="17">
        <v>1</v>
      </c>
    </row>
    <row r="34" spans="1:12" ht="33" customHeight="1" x14ac:dyDescent="0.2">
      <c r="A34" s="14"/>
      <c r="B34" s="10">
        <v>15</v>
      </c>
      <c r="C34" s="11" t="s">
        <v>142</v>
      </c>
      <c r="D34" s="11" t="s">
        <v>279</v>
      </c>
      <c r="E34" s="11" t="s">
        <v>66</v>
      </c>
      <c r="F34" s="11" t="s">
        <v>72</v>
      </c>
      <c r="G34" s="12" t="s">
        <v>70</v>
      </c>
      <c r="H34" s="11" t="s">
        <v>21</v>
      </c>
      <c r="I34" s="11" t="s">
        <v>66</v>
      </c>
      <c r="J34" s="11" t="s">
        <v>278</v>
      </c>
      <c r="K34" s="12" t="s">
        <v>366</v>
      </c>
      <c r="L34" s="13">
        <v>1</v>
      </c>
    </row>
    <row r="35" spans="1:12" ht="16.5" x14ac:dyDescent="0.2">
      <c r="A35" s="14"/>
      <c r="B35" s="15" t="s">
        <v>317</v>
      </c>
      <c r="C35" s="16"/>
      <c r="D35" s="16"/>
      <c r="E35" s="16"/>
      <c r="F35" s="16"/>
      <c r="G35" s="16"/>
      <c r="H35" s="16"/>
      <c r="I35" s="16"/>
      <c r="J35" s="16"/>
      <c r="K35" s="16"/>
      <c r="L35" s="17">
        <v>1</v>
      </c>
    </row>
    <row r="36" spans="1:12" ht="33" customHeight="1" x14ac:dyDescent="0.2">
      <c r="A36" s="14"/>
      <c r="B36" s="10">
        <v>23</v>
      </c>
      <c r="C36" s="11" t="s">
        <v>289</v>
      </c>
      <c r="D36" s="11" t="s">
        <v>357</v>
      </c>
      <c r="E36" s="11" t="s">
        <v>66</v>
      </c>
      <c r="F36" s="11" t="s">
        <v>66</v>
      </c>
      <c r="G36" s="12" t="s">
        <v>67</v>
      </c>
      <c r="H36" s="11" t="s">
        <v>9</v>
      </c>
      <c r="I36" s="11" t="s">
        <v>66</v>
      </c>
      <c r="J36" s="11" t="s">
        <v>356</v>
      </c>
      <c r="K36" s="12" t="s">
        <v>354</v>
      </c>
      <c r="L36" s="13">
        <v>1</v>
      </c>
    </row>
    <row r="37" spans="1:12" ht="16.5" x14ac:dyDescent="0.2">
      <c r="A37" s="14"/>
      <c r="B37" s="15" t="s">
        <v>234</v>
      </c>
      <c r="C37" s="16"/>
      <c r="D37" s="16"/>
      <c r="E37" s="16"/>
      <c r="F37" s="16"/>
      <c r="G37" s="16"/>
      <c r="H37" s="16"/>
      <c r="I37" s="16"/>
      <c r="J37" s="16"/>
      <c r="K37" s="16"/>
      <c r="L37" s="17">
        <v>1</v>
      </c>
    </row>
    <row r="38" spans="1:12" ht="33" customHeight="1" x14ac:dyDescent="0.2">
      <c r="A38" s="14"/>
      <c r="B38" s="10">
        <v>26</v>
      </c>
      <c r="C38" s="11" t="s">
        <v>93</v>
      </c>
      <c r="D38" s="11" t="s">
        <v>276</v>
      </c>
      <c r="E38" s="11" t="s">
        <v>66</v>
      </c>
      <c r="F38" s="11" t="s">
        <v>66</v>
      </c>
      <c r="G38" s="12" t="s">
        <v>94</v>
      </c>
      <c r="H38" s="11" t="s">
        <v>9</v>
      </c>
      <c r="I38" s="11" t="s">
        <v>88</v>
      </c>
      <c r="J38" s="11" t="s">
        <v>66</v>
      </c>
      <c r="K38" s="12" t="s">
        <v>353</v>
      </c>
      <c r="L38" s="13">
        <v>1</v>
      </c>
    </row>
    <row r="39" spans="1:12" ht="16.5" x14ac:dyDescent="0.2">
      <c r="A39" s="14"/>
      <c r="B39" s="15" t="s">
        <v>400</v>
      </c>
      <c r="C39" s="16"/>
      <c r="D39" s="16"/>
      <c r="E39" s="16"/>
      <c r="F39" s="16"/>
      <c r="G39" s="16"/>
      <c r="H39" s="16"/>
      <c r="I39" s="16"/>
      <c r="J39" s="16"/>
      <c r="K39" s="16"/>
      <c r="L39" s="17">
        <v>1</v>
      </c>
    </row>
    <row r="40" spans="1:12" ht="33" customHeight="1" x14ac:dyDescent="0.2">
      <c r="A40" s="14"/>
      <c r="B40" s="10">
        <v>27</v>
      </c>
      <c r="C40" s="11" t="s">
        <v>47</v>
      </c>
      <c r="D40" s="11" t="s">
        <v>213</v>
      </c>
      <c r="E40" s="11" t="s">
        <v>48</v>
      </c>
      <c r="F40" s="11" t="s">
        <v>66</v>
      </c>
      <c r="G40" s="12" t="s">
        <v>214</v>
      </c>
      <c r="H40" s="11" t="s">
        <v>9</v>
      </c>
      <c r="I40" s="11" t="s">
        <v>88</v>
      </c>
      <c r="J40" s="11" t="s">
        <v>66</v>
      </c>
      <c r="K40" s="12" t="s">
        <v>212</v>
      </c>
      <c r="L40" s="13">
        <v>1</v>
      </c>
    </row>
    <row r="41" spans="1:12" ht="16.5" x14ac:dyDescent="0.2">
      <c r="A41" s="14"/>
      <c r="B41" s="15" t="s">
        <v>241</v>
      </c>
      <c r="C41" s="16"/>
      <c r="D41" s="16"/>
      <c r="E41" s="16"/>
      <c r="F41" s="16"/>
      <c r="G41" s="16"/>
      <c r="H41" s="16"/>
      <c r="I41" s="16"/>
      <c r="J41" s="16"/>
      <c r="K41" s="16"/>
      <c r="L41" s="17">
        <v>1</v>
      </c>
    </row>
    <row r="42" spans="1:12" ht="33" customHeight="1" x14ac:dyDescent="0.2">
      <c r="A42" s="14"/>
      <c r="B42" s="10">
        <v>28</v>
      </c>
      <c r="C42" s="11" t="s">
        <v>93</v>
      </c>
      <c r="D42" s="11" t="s">
        <v>240</v>
      </c>
      <c r="E42" s="11" t="s">
        <v>66</v>
      </c>
      <c r="F42" s="11" t="s">
        <v>66</v>
      </c>
      <c r="G42" s="12" t="s">
        <v>76</v>
      </c>
      <c r="H42" s="11" t="s">
        <v>21</v>
      </c>
      <c r="I42" s="11" t="s">
        <v>24</v>
      </c>
      <c r="J42" s="11" t="s">
        <v>66</v>
      </c>
      <c r="K42" s="12" t="s">
        <v>238</v>
      </c>
      <c r="L42" s="13">
        <v>1</v>
      </c>
    </row>
    <row r="43" spans="1:12" ht="16.5" x14ac:dyDescent="0.2">
      <c r="A43" s="14"/>
      <c r="B43" s="15" t="s">
        <v>401</v>
      </c>
      <c r="C43" s="16"/>
      <c r="D43" s="16"/>
      <c r="E43" s="16"/>
      <c r="F43" s="16"/>
      <c r="G43" s="16"/>
      <c r="H43" s="16"/>
      <c r="I43" s="16"/>
      <c r="J43" s="16"/>
      <c r="K43" s="16"/>
      <c r="L43" s="17">
        <v>1</v>
      </c>
    </row>
    <row r="44" spans="1:12" ht="33" customHeight="1" x14ac:dyDescent="0.2">
      <c r="A44" s="14"/>
      <c r="B44" s="10">
        <v>33</v>
      </c>
      <c r="C44" s="11" t="s">
        <v>93</v>
      </c>
      <c r="D44" s="11" t="s">
        <v>103</v>
      </c>
      <c r="E44" s="11" t="s">
        <v>66</v>
      </c>
      <c r="F44" s="11" t="s">
        <v>66</v>
      </c>
      <c r="G44" s="12" t="s">
        <v>67</v>
      </c>
      <c r="H44" s="11" t="s">
        <v>21</v>
      </c>
      <c r="I44" s="11" t="s">
        <v>88</v>
      </c>
      <c r="J44" s="11" t="s">
        <v>66</v>
      </c>
      <c r="K44" s="12" t="s">
        <v>352</v>
      </c>
      <c r="L44" s="13">
        <v>1</v>
      </c>
    </row>
    <row r="45" spans="1:12" ht="16.5" x14ac:dyDescent="0.2">
      <c r="A45" s="14"/>
      <c r="B45" s="15" t="s">
        <v>402</v>
      </c>
      <c r="C45" s="16"/>
      <c r="D45" s="16"/>
      <c r="E45" s="16"/>
      <c r="F45" s="16"/>
      <c r="G45" s="16"/>
      <c r="H45" s="16"/>
      <c r="I45" s="16"/>
      <c r="J45" s="16"/>
      <c r="K45" s="16"/>
      <c r="L45" s="17">
        <v>1</v>
      </c>
    </row>
    <row r="46" spans="1:12" ht="33" customHeight="1" x14ac:dyDescent="0.2">
      <c r="A46" s="14"/>
      <c r="B46" s="10">
        <v>35</v>
      </c>
      <c r="C46" s="11" t="s">
        <v>47</v>
      </c>
      <c r="D46" s="11" t="s">
        <v>45</v>
      </c>
      <c r="E46" s="11" t="s">
        <v>48</v>
      </c>
      <c r="F46" s="11" t="s">
        <v>72</v>
      </c>
      <c r="G46" s="12" t="s">
        <v>67</v>
      </c>
      <c r="H46" s="11" t="s">
        <v>9</v>
      </c>
      <c r="I46" s="11" t="s">
        <v>66</v>
      </c>
      <c r="J46" s="11" t="s">
        <v>87</v>
      </c>
      <c r="K46" s="12" t="s">
        <v>197</v>
      </c>
      <c r="L46" s="13">
        <v>1</v>
      </c>
    </row>
    <row r="47" spans="1:12" ht="16.5" x14ac:dyDescent="0.2">
      <c r="A47" s="14"/>
      <c r="B47" s="15" t="s">
        <v>403</v>
      </c>
      <c r="C47" s="16"/>
      <c r="D47" s="16"/>
      <c r="E47" s="16"/>
      <c r="F47" s="16"/>
      <c r="G47" s="16"/>
      <c r="H47" s="16"/>
      <c r="I47" s="16"/>
      <c r="J47" s="16"/>
      <c r="K47" s="16"/>
      <c r="L47" s="17">
        <v>1</v>
      </c>
    </row>
    <row r="48" spans="1:12" ht="33" customHeight="1" x14ac:dyDescent="0.2">
      <c r="A48" s="14"/>
      <c r="B48" s="10">
        <v>38</v>
      </c>
      <c r="C48" s="11" t="s">
        <v>43</v>
      </c>
      <c r="D48" s="11" t="s">
        <v>42</v>
      </c>
      <c r="E48" s="11" t="s">
        <v>66</v>
      </c>
      <c r="F48" s="11" t="s">
        <v>66</v>
      </c>
      <c r="G48" s="12" t="s">
        <v>68</v>
      </c>
      <c r="H48" s="11" t="s">
        <v>9</v>
      </c>
      <c r="I48" s="11" t="s">
        <v>66</v>
      </c>
      <c r="J48" s="11" t="s">
        <v>87</v>
      </c>
      <c r="K48" s="12" t="s">
        <v>192</v>
      </c>
      <c r="L48" s="13">
        <v>1</v>
      </c>
    </row>
    <row r="49" spans="1:12" ht="16.5" x14ac:dyDescent="0.2">
      <c r="A49" s="14"/>
      <c r="B49" s="15" t="s">
        <v>404</v>
      </c>
      <c r="C49" s="16"/>
      <c r="D49" s="16"/>
      <c r="E49" s="16"/>
      <c r="F49" s="16"/>
      <c r="G49" s="16"/>
      <c r="H49" s="16"/>
      <c r="I49" s="16"/>
      <c r="J49" s="16"/>
      <c r="K49" s="16"/>
      <c r="L49" s="17">
        <v>1</v>
      </c>
    </row>
    <row r="50" spans="1:12" ht="33" customHeight="1" x14ac:dyDescent="0.2">
      <c r="A50" s="14"/>
      <c r="B50" s="10">
        <v>39</v>
      </c>
      <c r="C50" s="11" t="s">
        <v>43</v>
      </c>
      <c r="D50" s="11" t="s">
        <v>59</v>
      </c>
      <c r="E50" s="11" t="s">
        <v>66</v>
      </c>
      <c r="F50" s="11" t="s">
        <v>66</v>
      </c>
      <c r="G50" s="12" t="s">
        <v>68</v>
      </c>
      <c r="H50" s="11" t="s">
        <v>9</v>
      </c>
      <c r="I50" s="11" t="s">
        <v>66</v>
      </c>
      <c r="J50" s="11" t="s">
        <v>196</v>
      </c>
      <c r="K50" s="12" t="s">
        <v>195</v>
      </c>
      <c r="L50" s="13">
        <v>1</v>
      </c>
    </row>
    <row r="51" spans="1:12" ht="33" customHeight="1" x14ac:dyDescent="0.2">
      <c r="A51" s="14"/>
      <c r="B51" s="18"/>
      <c r="C51" s="11" t="s">
        <v>40</v>
      </c>
      <c r="D51" s="11" t="s">
        <v>39</v>
      </c>
      <c r="E51" s="11" t="s">
        <v>66</v>
      </c>
      <c r="F51" s="11" t="s">
        <v>66</v>
      </c>
      <c r="G51" s="12" t="s">
        <v>73</v>
      </c>
      <c r="H51" s="11" t="s">
        <v>9</v>
      </c>
      <c r="I51" s="11" t="s">
        <v>66</v>
      </c>
      <c r="J51" s="11" t="s">
        <v>191</v>
      </c>
      <c r="K51" s="12" t="s">
        <v>190</v>
      </c>
      <c r="L51" s="13">
        <v>1</v>
      </c>
    </row>
    <row r="52" spans="1:12" ht="16.5" x14ac:dyDescent="0.2">
      <c r="A52" s="14"/>
      <c r="B52" s="15" t="s">
        <v>405</v>
      </c>
      <c r="C52" s="16"/>
      <c r="D52" s="16"/>
      <c r="E52" s="16"/>
      <c r="F52" s="16"/>
      <c r="G52" s="16"/>
      <c r="H52" s="16"/>
      <c r="I52" s="16"/>
      <c r="J52" s="16"/>
      <c r="K52" s="16"/>
      <c r="L52" s="17">
        <v>2</v>
      </c>
    </row>
    <row r="53" spans="1:12" ht="33" customHeight="1" x14ac:dyDescent="0.2">
      <c r="A53" s="14"/>
      <c r="B53" s="10">
        <v>40</v>
      </c>
      <c r="C53" s="11" t="s">
        <v>47</v>
      </c>
      <c r="D53" s="11" t="s">
        <v>281</v>
      </c>
      <c r="E53" s="11" t="s">
        <v>66</v>
      </c>
      <c r="F53" s="11" t="s">
        <v>72</v>
      </c>
      <c r="G53" s="12" t="s">
        <v>67</v>
      </c>
      <c r="H53" s="11" t="s">
        <v>9</v>
      </c>
      <c r="I53" s="11" t="s">
        <v>66</v>
      </c>
      <c r="J53" s="11" t="s">
        <v>87</v>
      </c>
      <c r="K53" s="12" t="s">
        <v>280</v>
      </c>
      <c r="L53" s="13">
        <v>1</v>
      </c>
    </row>
    <row r="54" spans="1:12" ht="16.5" x14ac:dyDescent="0.2">
      <c r="A54" s="14"/>
      <c r="B54" s="15" t="s">
        <v>406</v>
      </c>
      <c r="C54" s="16"/>
      <c r="D54" s="16"/>
      <c r="E54" s="16"/>
      <c r="F54" s="16"/>
      <c r="G54" s="16"/>
      <c r="H54" s="16"/>
      <c r="I54" s="16"/>
      <c r="J54" s="16"/>
      <c r="K54" s="16"/>
      <c r="L54" s="17">
        <v>1</v>
      </c>
    </row>
    <row r="55" spans="1:12" ht="33" customHeight="1" x14ac:dyDescent="0.2">
      <c r="A55" s="9" t="s">
        <v>19</v>
      </c>
      <c r="B55" s="10">
        <v>0</v>
      </c>
      <c r="C55" s="11" t="s">
        <v>35</v>
      </c>
      <c r="D55" s="11" t="s">
        <v>34</v>
      </c>
      <c r="E55" s="11" t="s">
        <v>66</v>
      </c>
      <c r="F55" s="11" t="s">
        <v>66</v>
      </c>
      <c r="G55" s="12" t="s">
        <v>77</v>
      </c>
      <c r="H55" s="11" t="s">
        <v>21</v>
      </c>
      <c r="I55" s="11" t="s">
        <v>66</v>
      </c>
      <c r="J55" s="11" t="s">
        <v>189</v>
      </c>
      <c r="K55" s="12" t="s">
        <v>188</v>
      </c>
      <c r="L55" s="13">
        <v>1</v>
      </c>
    </row>
    <row r="56" spans="1:12" ht="33" customHeight="1" x14ac:dyDescent="0.2">
      <c r="A56" s="14"/>
      <c r="B56" s="18"/>
      <c r="C56" s="19"/>
      <c r="D56" s="11" t="s">
        <v>127</v>
      </c>
      <c r="E56" s="11" t="s">
        <v>66</v>
      </c>
      <c r="F56" s="11" t="s">
        <v>66</v>
      </c>
      <c r="G56" s="12" t="s">
        <v>92</v>
      </c>
      <c r="H56" s="11" t="s">
        <v>21</v>
      </c>
      <c r="I56" s="11" t="s">
        <v>66</v>
      </c>
      <c r="J56" s="11" t="s">
        <v>270</v>
      </c>
      <c r="K56" s="12" t="s">
        <v>269</v>
      </c>
      <c r="L56" s="13">
        <v>1</v>
      </c>
    </row>
    <row r="57" spans="1:12" ht="33" customHeight="1" x14ac:dyDescent="0.2">
      <c r="A57" s="14"/>
      <c r="B57" s="18"/>
      <c r="C57" s="19"/>
      <c r="D57" s="11" t="s">
        <v>350</v>
      </c>
      <c r="E57" s="11" t="s">
        <v>66</v>
      </c>
      <c r="F57" s="11" t="s">
        <v>66</v>
      </c>
      <c r="G57" s="12" t="s">
        <v>77</v>
      </c>
      <c r="H57" s="11" t="s">
        <v>21</v>
      </c>
      <c r="I57" s="11" t="s">
        <v>66</v>
      </c>
      <c r="J57" s="11" t="s">
        <v>349</v>
      </c>
      <c r="K57" s="12" t="s">
        <v>347</v>
      </c>
      <c r="L57" s="13">
        <v>1</v>
      </c>
    </row>
    <row r="58" spans="1:12" ht="33" customHeight="1" x14ac:dyDescent="0.2">
      <c r="A58" s="14"/>
      <c r="B58" s="18"/>
      <c r="C58" s="11" t="s">
        <v>32</v>
      </c>
      <c r="D58" s="11" t="s">
        <v>119</v>
      </c>
      <c r="E58" s="11" t="s">
        <v>66</v>
      </c>
      <c r="F58" s="11" t="s">
        <v>66</v>
      </c>
      <c r="G58" s="12" t="s">
        <v>74</v>
      </c>
      <c r="H58" s="11" t="s">
        <v>9</v>
      </c>
      <c r="I58" s="11" t="s">
        <v>24</v>
      </c>
      <c r="J58" s="11" t="s">
        <v>66</v>
      </c>
      <c r="K58" s="12" t="s">
        <v>117</v>
      </c>
      <c r="L58" s="13">
        <v>1</v>
      </c>
    </row>
    <row r="59" spans="1:12" ht="33" customHeight="1" x14ac:dyDescent="0.2">
      <c r="A59" s="14"/>
      <c r="B59" s="18"/>
      <c r="C59" s="19"/>
      <c r="D59" s="11" t="s">
        <v>135</v>
      </c>
      <c r="E59" s="11" t="s">
        <v>66</v>
      </c>
      <c r="F59" s="11" t="s">
        <v>66</v>
      </c>
      <c r="G59" s="12" t="s">
        <v>74</v>
      </c>
      <c r="H59" s="11" t="s">
        <v>21</v>
      </c>
      <c r="I59" s="11" t="s">
        <v>24</v>
      </c>
      <c r="J59" s="11" t="s">
        <v>66</v>
      </c>
      <c r="K59" s="12" t="s">
        <v>134</v>
      </c>
      <c r="L59" s="13">
        <v>1</v>
      </c>
    </row>
    <row r="60" spans="1:12" ht="33" customHeight="1" x14ac:dyDescent="0.2">
      <c r="A60" s="14"/>
      <c r="B60" s="18"/>
      <c r="C60" s="11" t="s">
        <v>160</v>
      </c>
      <c r="D60" s="11" t="s">
        <v>158</v>
      </c>
      <c r="E60" s="11" t="s">
        <v>66</v>
      </c>
      <c r="F60" s="11" t="s">
        <v>66</v>
      </c>
      <c r="G60" s="12" t="s">
        <v>76</v>
      </c>
      <c r="H60" s="11" t="s">
        <v>21</v>
      </c>
      <c r="I60" s="11" t="s">
        <v>24</v>
      </c>
      <c r="J60" s="11" t="s">
        <v>66</v>
      </c>
      <c r="K60" s="12" t="s">
        <v>156</v>
      </c>
      <c r="L60" s="13">
        <v>1</v>
      </c>
    </row>
    <row r="61" spans="1:12" ht="33" customHeight="1" x14ac:dyDescent="0.2">
      <c r="A61" s="14"/>
      <c r="B61" s="18"/>
      <c r="C61" s="11" t="s">
        <v>107</v>
      </c>
      <c r="D61" s="11" t="s">
        <v>106</v>
      </c>
      <c r="E61" s="11" t="s">
        <v>66</v>
      </c>
      <c r="F61" s="11" t="s">
        <v>66</v>
      </c>
      <c r="G61" s="12" t="s">
        <v>77</v>
      </c>
      <c r="H61" s="11" t="s">
        <v>21</v>
      </c>
      <c r="I61" s="11" t="s">
        <v>66</v>
      </c>
      <c r="J61" s="11" t="s">
        <v>186</v>
      </c>
      <c r="K61" s="12" t="s">
        <v>185</v>
      </c>
      <c r="L61" s="13">
        <v>1</v>
      </c>
    </row>
    <row r="62" spans="1:12" ht="33" customHeight="1" x14ac:dyDescent="0.2">
      <c r="A62" s="14"/>
      <c r="B62" s="18"/>
      <c r="C62" s="19"/>
      <c r="D62" s="11" t="s">
        <v>110</v>
      </c>
      <c r="E62" s="11" t="s">
        <v>66</v>
      </c>
      <c r="F62" s="11" t="s">
        <v>66</v>
      </c>
      <c r="G62" s="12" t="s">
        <v>77</v>
      </c>
      <c r="H62" s="11" t="s">
        <v>21</v>
      </c>
      <c r="I62" s="11" t="s">
        <v>66</v>
      </c>
      <c r="J62" s="11" t="s">
        <v>182</v>
      </c>
      <c r="K62" s="12" t="s">
        <v>181</v>
      </c>
      <c r="L62" s="13">
        <v>1</v>
      </c>
    </row>
    <row r="63" spans="1:12" ht="33" customHeight="1" x14ac:dyDescent="0.2">
      <c r="A63" s="14"/>
      <c r="B63" s="18"/>
      <c r="C63" s="19"/>
      <c r="D63" s="11" t="s">
        <v>108</v>
      </c>
      <c r="E63" s="11" t="s">
        <v>66</v>
      </c>
      <c r="F63" s="11" t="s">
        <v>66</v>
      </c>
      <c r="G63" s="12" t="s">
        <v>77</v>
      </c>
      <c r="H63" s="11" t="s">
        <v>21</v>
      </c>
      <c r="I63" s="11" t="s">
        <v>66</v>
      </c>
      <c r="J63" s="11" t="s">
        <v>184</v>
      </c>
      <c r="K63" s="12" t="s">
        <v>183</v>
      </c>
      <c r="L63" s="13">
        <v>1</v>
      </c>
    </row>
    <row r="64" spans="1:12" ht="33" customHeight="1" x14ac:dyDescent="0.2">
      <c r="A64" s="14"/>
      <c r="B64" s="18"/>
      <c r="C64" s="11" t="s">
        <v>31</v>
      </c>
      <c r="D64" s="11" t="s">
        <v>30</v>
      </c>
      <c r="E64" s="11" t="s">
        <v>66</v>
      </c>
      <c r="F64" s="11" t="s">
        <v>66</v>
      </c>
      <c r="G64" s="12" t="s">
        <v>79</v>
      </c>
      <c r="H64" s="11" t="s">
        <v>21</v>
      </c>
      <c r="I64" s="11" t="s">
        <v>24</v>
      </c>
      <c r="J64" s="11" t="s">
        <v>96</v>
      </c>
      <c r="K64" s="12" t="s">
        <v>268</v>
      </c>
      <c r="L64" s="13">
        <v>1</v>
      </c>
    </row>
    <row r="65" spans="1:12" ht="33" customHeight="1" x14ac:dyDescent="0.2">
      <c r="A65" s="14"/>
      <c r="B65" s="18"/>
      <c r="C65" s="11" t="s">
        <v>177</v>
      </c>
      <c r="D65" s="11" t="s">
        <v>180</v>
      </c>
      <c r="E65" s="11" t="s">
        <v>66</v>
      </c>
      <c r="F65" s="11" t="s">
        <v>66</v>
      </c>
      <c r="G65" s="12" t="s">
        <v>74</v>
      </c>
      <c r="H65" s="11" t="s">
        <v>21</v>
      </c>
      <c r="I65" s="11" t="s">
        <v>24</v>
      </c>
      <c r="J65" s="11" t="s">
        <v>66</v>
      </c>
      <c r="K65" s="12" t="s">
        <v>178</v>
      </c>
      <c r="L65" s="13">
        <v>1</v>
      </c>
    </row>
    <row r="66" spans="1:12" ht="33" customHeight="1" x14ac:dyDescent="0.2">
      <c r="A66" s="14"/>
      <c r="B66" s="18"/>
      <c r="C66" s="11" t="s">
        <v>95</v>
      </c>
      <c r="D66" s="11" t="s">
        <v>227</v>
      </c>
      <c r="E66" s="11" t="s">
        <v>66</v>
      </c>
      <c r="F66" s="11" t="s">
        <v>66</v>
      </c>
      <c r="G66" s="12" t="s">
        <v>76</v>
      </c>
      <c r="H66" s="11" t="s">
        <v>21</v>
      </c>
      <c r="I66" s="11" t="s">
        <v>66</v>
      </c>
      <c r="J66" s="11" t="s">
        <v>226</v>
      </c>
      <c r="K66" s="12" t="s">
        <v>224</v>
      </c>
      <c r="L66" s="13">
        <v>1</v>
      </c>
    </row>
    <row r="67" spans="1:12" ht="33" customHeight="1" x14ac:dyDescent="0.2">
      <c r="A67" s="14"/>
      <c r="B67" s="18"/>
      <c r="C67" s="19"/>
      <c r="D67" s="11" t="s">
        <v>232</v>
      </c>
      <c r="E67" s="11" t="s">
        <v>66</v>
      </c>
      <c r="F67" s="11" t="s">
        <v>66</v>
      </c>
      <c r="G67" s="12" t="s">
        <v>235</v>
      </c>
      <c r="H67" s="11" t="s">
        <v>21</v>
      </c>
      <c r="I67" s="11" t="s">
        <v>66</v>
      </c>
      <c r="J67" s="11" t="s">
        <v>231</v>
      </c>
      <c r="K67" s="12" t="s">
        <v>229</v>
      </c>
      <c r="L67" s="13">
        <v>1</v>
      </c>
    </row>
    <row r="68" spans="1:12" ht="33" customHeight="1" x14ac:dyDescent="0.2">
      <c r="A68" s="14"/>
      <c r="B68" s="18"/>
      <c r="C68" s="19"/>
      <c r="D68" s="11" t="s">
        <v>267</v>
      </c>
      <c r="E68" s="11" t="s">
        <v>66</v>
      </c>
      <c r="F68" s="11" t="s">
        <v>66</v>
      </c>
      <c r="G68" s="12" t="s">
        <v>75</v>
      </c>
      <c r="H68" s="11" t="s">
        <v>21</v>
      </c>
      <c r="I68" s="11" t="s">
        <v>24</v>
      </c>
      <c r="J68" s="11" t="s">
        <v>66</v>
      </c>
      <c r="K68" s="12" t="s">
        <v>265</v>
      </c>
      <c r="L68" s="13">
        <v>1</v>
      </c>
    </row>
    <row r="69" spans="1:12" ht="33" customHeight="1" x14ac:dyDescent="0.2">
      <c r="A69" s="14"/>
      <c r="B69" s="18"/>
      <c r="C69" s="19"/>
      <c r="D69" s="11" t="s">
        <v>287</v>
      </c>
      <c r="E69" s="11" t="s">
        <v>66</v>
      </c>
      <c r="F69" s="11" t="s">
        <v>66</v>
      </c>
      <c r="G69" s="12" t="s">
        <v>215</v>
      </c>
      <c r="H69" s="11" t="s">
        <v>21</v>
      </c>
      <c r="I69" s="11" t="s">
        <v>24</v>
      </c>
      <c r="J69" s="11" t="s">
        <v>66</v>
      </c>
      <c r="K69" s="12" t="s">
        <v>285</v>
      </c>
      <c r="L69" s="13">
        <v>1</v>
      </c>
    </row>
    <row r="70" spans="1:12" ht="33" customHeight="1" x14ac:dyDescent="0.2">
      <c r="A70" s="14"/>
      <c r="B70" s="18"/>
      <c r="C70" s="19"/>
      <c r="D70" s="11" t="s">
        <v>302</v>
      </c>
      <c r="E70" s="11" t="s">
        <v>66</v>
      </c>
      <c r="F70" s="11" t="s">
        <v>66</v>
      </c>
      <c r="G70" s="12" t="s">
        <v>74</v>
      </c>
      <c r="H70" s="11" t="s">
        <v>21</v>
      </c>
      <c r="I70" s="11" t="s">
        <v>24</v>
      </c>
      <c r="J70" s="11" t="s">
        <v>66</v>
      </c>
      <c r="K70" s="12" t="s">
        <v>300</v>
      </c>
      <c r="L70" s="13">
        <v>1</v>
      </c>
    </row>
    <row r="71" spans="1:12" ht="33" customHeight="1" x14ac:dyDescent="0.2">
      <c r="A71" s="14"/>
      <c r="B71" s="18"/>
      <c r="C71" s="19"/>
      <c r="D71" s="11" t="s">
        <v>306</v>
      </c>
      <c r="E71" s="11" t="s">
        <v>66</v>
      </c>
      <c r="F71" s="11" t="s">
        <v>66</v>
      </c>
      <c r="G71" s="12" t="s">
        <v>92</v>
      </c>
      <c r="H71" s="11" t="s">
        <v>21</v>
      </c>
      <c r="I71" s="11" t="s">
        <v>66</v>
      </c>
      <c r="J71" s="11" t="s">
        <v>305</v>
      </c>
      <c r="K71" s="12" t="s">
        <v>303</v>
      </c>
      <c r="L71" s="13">
        <v>1</v>
      </c>
    </row>
    <row r="72" spans="1:12" ht="33" customHeight="1" x14ac:dyDescent="0.2">
      <c r="A72" s="14"/>
      <c r="B72" s="18"/>
      <c r="C72" s="11" t="s">
        <v>26</v>
      </c>
      <c r="D72" s="11" t="s">
        <v>28</v>
      </c>
      <c r="E72" s="11" t="s">
        <v>66</v>
      </c>
      <c r="F72" s="11" t="s">
        <v>66</v>
      </c>
      <c r="G72" s="12" t="s">
        <v>78</v>
      </c>
      <c r="H72" s="11" t="s">
        <v>21</v>
      </c>
      <c r="I72" s="11" t="s">
        <v>66</v>
      </c>
      <c r="J72" s="11" t="s">
        <v>176</v>
      </c>
      <c r="K72" s="12" t="s">
        <v>339</v>
      </c>
      <c r="L72" s="13">
        <v>1</v>
      </c>
    </row>
    <row r="73" spans="1:12" ht="33" customHeight="1" x14ac:dyDescent="0.2">
      <c r="A73" s="14"/>
      <c r="B73" s="18"/>
      <c r="C73" s="19"/>
      <c r="D73" s="11" t="s">
        <v>90</v>
      </c>
      <c r="E73" s="11" t="s">
        <v>66</v>
      </c>
      <c r="F73" s="11" t="s">
        <v>66</v>
      </c>
      <c r="G73" s="12" t="s">
        <v>71</v>
      </c>
      <c r="H73" s="11" t="s">
        <v>21</v>
      </c>
      <c r="I73" s="11" t="s">
        <v>66</v>
      </c>
      <c r="J73" s="11" t="s">
        <v>155</v>
      </c>
      <c r="K73" s="12" t="s">
        <v>337</v>
      </c>
      <c r="L73" s="13">
        <v>1</v>
      </c>
    </row>
    <row r="74" spans="1:12" ht="33" customHeight="1" x14ac:dyDescent="0.2">
      <c r="A74" s="14"/>
      <c r="B74" s="18"/>
      <c r="C74" s="19"/>
      <c r="D74" s="11" t="s">
        <v>299</v>
      </c>
      <c r="E74" s="11" t="s">
        <v>66</v>
      </c>
      <c r="F74" s="11" t="s">
        <v>66</v>
      </c>
      <c r="G74" s="12" t="s">
        <v>318</v>
      </c>
      <c r="H74" s="11" t="s">
        <v>21</v>
      </c>
      <c r="I74" s="11" t="s">
        <v>66</v>
      </c>
      <c r="J74" s="11" t="s">
        <v>298</v>
      </c>
      <c r="K74" s="12" t="s">
        <v>338</v>
      </c>
      <c r="L74" s="13">
        <v>1</v>
      </c>
    </row>
    <row r="75" spans="1:12" ht="33" customHeight="1" x14ac:dyDescent="0.2">
      <c r="A75" s="14"/>
      <c r="B75" s="18"/>
      <c r="C75" s="11" t="s">
        <v>99</v>
      </c>
      <c r="D75" s="11" t="s">
        <v>145</v>
      </c>
      <c r="E75" s="11" t="s">
        <v>66</v>
      </c>
      <c r="F75" s="11" t="s">
        <v>66</v>
      </c>
      <c r="G75" s="12" t="s">
        <v>71</v>
      </c>
      <c r="H75" s="11" t="s">
        <v>21</v>
      </c>
      <c r="I75" s="11" t="s">
        <v>24</v>
      </c>
      <c r="J75" s="11" t="s">
        <v>66</v>
      </c>
      <c r="K75" s="12" t="s">
        <v>143</v>
      </c>
      <c r="L75" s="13">
        <v>1</v>
      </c>
    </row>
    <row r="76" spans="1:12" ht="33" customHeight="1" x14ac:dyDescent="0.2">
      <c r="A76" s="14"/>
      <c r="B76" s="18"/>
      <c r="C76" s="19"/>
      <c r="D76" s="11" t="s">
        <v>100</v>
      </c>
      <c r="E76" s="11" t="s">
        <v>66</v>
      </c>
      <c r="F76" s="11" t="s">
        <v>66</v>
      </c>
      <c r="G76" s="12" t="s">
        <v>92</v>
      </c>
      <c r="H76" s="11" t="s">
        <v>21</v>
      </c>
      <c r="I76" s="11" t="s">
        <v>24</v>
      </c>
      <c r="J76" s="11" t="s">
        <v>66</v>
      </c>
      <c r="K76" s="12" t="s">
        <v>264</v>
      </c>
      <c r="L76" s="13">
        <v>1</v>
      </c>
    </row>
    <row r="77" spans="1:12" ht="33" customHeight="1" x14ac:dyDescent="0.2">
      <c r="A77" s="14"/>
      <c r="B77" s="18"/>
      <c r="C77" s="19"/>
      <c r="D77" s="11" t="s">
        <v>256</v>
      </c>
      <c r="E77" s="11" t="s">
        <v>66</v>
      </c>
      <c r="F77" s="11" t="s">
        <v>66</v>
      </c>
      <c r="G77" s="12" t="s">
        <v>114</v>
      </c>
      <c r="H77" s="11" t="s">
        <v>21</v>
      </c>
      <c r="I77" s="11" t="s">
        <v>66</v>
      </c>
      <c r="J77" s="11" t="s">
        <v>255</v>
      </c>
      <c r="K77" s="12" t="s">
        <v>253</v>
      </c>
      <c r="L77" s="13">
        <v>1</v>
      </c>
    </row>
    <row r="78" spans="1:12" ht="33" customHeight="1" x14ac:dyDescent="0.2">
      <c r="A78" s="14"/>
      <c r="B78" s="18"/>
      <c r="C78" s="19"/>
      <c r="D78" s="11" t="s">
        <v>259</v>
      </c>
      <c r="E78" s="11" t="s">
        <v>66</v>
      </c>
      <c r="F78" s="11" t="s">
        <v>66</v>
      </c>
      <c r="G78" s="12" t="s">
        <v>215</v>
      </c>
      <c r="H78" s="11" t="s">
        <v>21</v>
      </c>
      <c r="I78" s="11" t="s">
        <v>66</v>
      </c>
      <c r="J78" s="11" t="s">
        <v>258</v>
      </c>
      <c r="K78" s="12" t="s">
        <v>257</v>
      </c>
      <c r="L78" s="13">
        <v>1</v>
      </c>
    </row>
    <row r="79" spans="1:12" ht="33" customHeight="1" x14ac:dyDescent="0.2">
      <c r="A79" s="14"/>
      <c r="B79" s="18"/>
      <c r="C79" s="19"/>
      <c r="D79" s="11" t="s">
        <v>223</v>
      </c>
      <c r="E79" s="11" t="s">
        <v>66</v>
      </c>
      <c r="F79" s="11" t="s">
        <v>66</v>
      </c>
      <c r="G79" s="12" t="s">
        <v>74</v>
      </c>
      <c r="H79" s="11" t="s">
        <v>21</v>
      </c>
      <c r="I79" s="11" t="s">
        <v>24</v>
      </c>
      <c r="J79" s="11" t="s">
        <v>66</v>
      </c>
      <c r="K79" s="12" t="s">
        <v>222</v>
      </c>
      <c r="L79" s="13">
        <v>1</v>
      </c>
    </row>
    <row r="80" spans="1:12" ht="33" customHeight="1" x14ac:dyDescent="0.2">
      <c r="A80" s="14"/>
      <c r="B80" s="18"/>
      <c r="C80" s="19"/>
      <c r="D80" s="11" t="s">
        <v>262</v>
      </c>
      <c r="E80" s="11" t="s">
        <v>66</v>
      </c>
      <c r="F80" s="11" t="s">
        <v>66</v>
      </c>
      <c r="G80" s="12" t="s">
        <v>77</v>
      </c>
      <c r="H80" s="11" t="s">
        <v>21</v>
      </c>
      <c r="I80" s="11" t="s">
        <v>24</v>
      </c>
      <c r="J80" s="11" t="s">
        <v>66</v>
      </c>
      <c r="K80" s="12" t="s">
        <v>260</v>
      </c>
      <c r="L80" s="13">
        <v>1</v>
      </c>
    </row>
    <row r="81" spans="1:12" ht="33" customHeight="1" x14ac:dyDescent="0.2">
      <c r="A81" s="14"/>
      <c r="B81" s="18"/>
      <c r="C81" s="19"/>
      <c r="D81" s="11" t="s">
        <v>296</v>
      </c>
      <c r="E81" s="11" t="s">
        <v>66</v>
      </c>
      <c r="F81" s="11" t="s">
        <v>66</v>
      </c>
      <c r="G81" s="12" t="s">
        <v>75</v>
      </c>
      <c r="H81" s="11" t="s">
        <v>21</v>
      </c>
      <c r="I81" s="11" t="s">
        <v>24</v>
      </c>
      <c r="J81" s="11" t="s">
        <v>66</v>
      </c>
      <c r="K81" s="12" t="s">
        <v>294</v>
      </c>
      <c r="L81" s="13">
        <v>1</v>
      </c>
    </row>
    <row r="82" spans="1:12" ht="33" customHeight="1" x14ac:dyDescent="0.2">
      <c r="A82" s="14"/>
      <c r="B82" s="18"/>
      <c r="C82" s="11" t="s">
        <v>82</v>
      </c>
      <c r="D82" s="11" t="s">
        <v>85</v>
      </c>
      <c r="E82" s="11" t="s">
        <v>66</v>
      </c>
      <c r="F82" s="11" t="s">
        <v>66</v>
      </c>
      <c r="G82" s="12" t="s">
        <v>76</v>
      </c>
      <c r="H82" s="11" t="s">
        <v>21</v>
      </c>
      <c r="I82" s="11" t="s">
        <v>66</v>
      </c>
      <c r="J82" s="11" t="s">
        <v>175</v>
      </c>
      <c r="K82" s="12" t="s">
        <v>174</v>
      </c>
      <c r="L82" s="13">
        <v>1</v>
      </c>
    </row>
    <row r="83" spans="1:12" ht="33" customHeight="1" x14ac:dyDescent="0.2">
      <c r="A83" s="14"/>
      <c r="B83" s="18"/>
      <c r="C83" s="19"/>
      <c r="D83" s="11" t="s">
        <v>98</v>
      </c>
      <c r="E83" s="11" t="s">
        <v>66</v>
      </c>
      <c r="F83" s="11" t="s">
        <v>66</v>
      </c>
      <c r="G83" s="12" t="s">
        <v>75</v>
      </c>
      <c r="H83" s="11" t="s">
        <v>21</v>
      </c>
      <c r="I83" s="11" t="s">
        <v>24</v>
      </c>
      <c r="J83" s="11" t="s">
        <v>66</v>
      </c>
      <c r="K83" s="12" t="s">
        <v>252</v>
      </c>
      <c r="L83" s="13">
        <v>1</v>
      </c>
    </row>
    <row r="84" spans="1:12" ht="33" customHeight="1" x14ac:dyDescent="0.2">
      <c r="A84" s="14"/>
      <c r="B84" s="18"/>
      <c r="C84" s="19"/>
      <c r="D84" s="11" t="s">
        <v>335</v>
      </c>
      <c r="E84" s="11" t="s">
        <v>66</v>
      </c>
      <c r="F84" s="11" t="s">
        <v>66</v>
      </c>
      <c r="G84" s="12" t="s">
        <v>74</v>
      </c>
      <c r="H84" s="11" t="s">
        <v>21</v>
      </c>
      <c r="I84" s="11" t="s">
        <v>66</v>
      </c>
      <c r="J84" s="11" t="s">
        <v>334</v>
      </c>
      <c r="K84" s="12" t="s">
        <v>333</v>
      </c>
      <c r="L84" s="13">
        <v>1</v>
      </c>
    </row>
    <row r="85" spans="1:12" ht="33" customHeight="1" x14ac:dyDescent="0.2">
      <c r="A85" s="14"/>
      <c r="B85" s="18"/>
      <c r="C85" s="19"/>
      <c r="D85" s="11" t="s">
        <v>251</v>
      </c>
      <c r="E85" s="11" t="s">
        <v>66</v>
      </c>
      <c r="F85" s="11" t="s">
        <v>66</v>
      </c>
      <c r="G85" s="12" t="s">
        <v>215</v>
      </c>
      <c r="H85" s="11" t="s">
        <v>21</v>
      </c>
      <c r="I85" s="11" t="s">
        <v>24</v>
      </c>
      <c r="J85" s="11" t="s">
        <v>66</v>
      </c>
      <c r="K85" s="12" t="s">
        <v>249</v>
      </c>
      <c r="L85" s="13">
        <v>1</v>
      </c>
    </row>
    <row r="86" spans="1:12" ht="33" customHeight="1" x14ac:dyDescent="0.2">
      <c r="A86" s="14"/>
      <c r="B86" s="18"/>
      <c r="C86" s="19"/>
      <c r="D86" s="11" t="s">
        <v>330</v>
      </c>
      <c r="E86" s="11" t="s">
        <v>66</v>
      </c>
      <c r="F86" s="11" t="s">
        <v>66</v>
      </c>
      <c r="G86" s="12" t="s">
        <v>71</v>
      </c>
      <c r="H86" s="11" t="s">
        <v>21</v>
      </c>
      <c r="I86" s="11" t="s">
        <v>24</v>
      </c>
      <c r="J86" s="11" t="s">
        <v>329</v>
      </c>
      <c r="K86" s="12" t="s">
        <v>327</v>
      </c>
      <c r="L86" s="13">
        <v>1</v>
      </c>
    </row>
    <row r="87" spans="1:12" ht="33" customHeight="1" x14ac:dyDescent="0.2">
      <c r="A87" s="14"/>
      <c r="B87" s="18"/>
      <c r="C87" s="19"/>
      <c r="D87" s="11" t="s">
        <v>332</v>
      </c>
      <c r="E87" s="11" t="s">
        <v>66</v>
      </c>
      <c r="F87" s="11" t="s">
        <v>66</v>
      </c>
      <c r="G87" s="12" t="s">
        <v>75</v>
      </c>
      <c r="H87" s="11" t="s">
        <v>21</v>
      </c>
      <c r="I87" s="11" t="s">
        <v>24</v>
      </c>
      <c r="J87" s="11" t="s">
        <v>66</v>
      </c>
      <c r="K87" s="12" t="s">
        <v>331</v>
      </c>
      <c r="L87" s="13">
        <v>1</v>
      </c>
    </row>
    <row r="88" spans="1:12" ht="33" customHeight="1" x14ac:dyDescent="0.2">
      <c r="A88" s="14"/>
      <c r="B88" s="18"/>
      <c r="C88" s="11" t="s">
        <v>84</v>
      </c>
      <c r="D88" s="11" t="s">
        <v>102</v>
      </c>
      <c r="E88" s="11" t="s">
        <v>66</v>
      </c>
      <c r="F88" s="11" t="s">
        <v>66</v>
      </c>
      <c r="G88" s="12" t="s">
        <v>75</v>
      </c>
      <c r="H88" s="11" t="s">
        <v>21</v>
      </c>
      <c r="I88" s="11" t="s">
        <v>24</v>
      </c>
      <c r="J88" s="11" t="s">
        <v>66</v>
      </c>
      <c r="K88" s="12" t="s">
        <v>248</v>
      </c>
      <c r="L88" s="13">
        <v>1</v>
      </c>
    </row>
    <row r="89" spans="1:12" ht="33" customHeight="1" x14ac:dyDescent="0.2">
      <c r="A89" s="14"/>
      <c r="B89" s="18"/>
      <c r="C89" s="11" t="s">
        <v>115</v>
      </c>
      <c r="D89" s="11" t="s">
        <v>291</v>
      </c>
      <c r="E89" s="11" t="s">
        <v>66</v>
      </c>
      <c r="F89" s="11" t="s">
        <v>66</v>
      </c>
      <c r="G89" s="12" t="s">
        <v>77</v>
      </c>
      <c r="H89" s="11" t="s">
        <v>21</v>
      </c>
      <c r="I89" s="11" t="s">
        <v>24</v>
      </c>
      <c r="J89" s="11" t="s">
        <v>66</v>
      </c>
      <c r="K89" s="12" t="s">
        <v>290</v>
      </c>
      <c r="L89" s="13">
        <v>1</v>
      </c>
    </row>
    <row r="90" spans="1:12" ht="33" customHeight="1" x14ac:dyDescent="0.2">
      <c r="A90" s="14"/>
      <c r="B90" s="18"/>
      <c r="C90" s="19"/>
      <c r="D90" s="11" t="s">
        <v>121</v>
      </c>
      <c r="E90" s="11" t="s">
        <v>66</v>
      </c>
      <c r="F90" s="11" t="s">
        <v>66</v>
      </c>
      <c r="G90" s="12" t="s">
        <v>74</v>
      </c>
      <c r="H90" s="11" t="s">
        <v>21</v>
      </c>
      <c r="I90" s="11" t="s">
        <v>171</v>
      </c>
      <c r="J90" s="11" t="s">
        <v>66</v>
      </c>
      <c r="K90" s="12" t="s">
        <v>211</v>
      </c>
      <c r="L90" s="13">
        <v>1</v>
      </c>
    </row>
    <row r="91" spans="1:12" ht="33" customHeight="1" x14ac:dyDescent="0.2">
      <c r="A91" s="14"/>
      <c r="B91" s="18"/>
      <c r="C91" s="19"/>
      <c r="D91" s="11" t="s">
        <v>173</v>
      </c>
      <c r="E91" s="11" t="s">
        <v>66</v>
      </c>
      <c r="F91" s="11" t="s">
        <v>66</v>
      </c>
      <c r="G91" s="12" t="s">
        <v>77</v>
      </c>
      <c r="H91" s="11" t="s">
        <v>21</v>
      </c>
      <c r="I91" s="11" t="s">
        <v>24</v>
      </c>
      <c r="J91" s="11" t="s">
        <v>66</v>
      </c>
      <c r="K91" s="12" t="s">
        <v>172</v>
      </c>
      <c r="L91" s="13">
        <v>1</v>
      </c>
    </row>
    <row r="92" spans="1:12" ht="33" customHeight="1" x14ac:dyDescent="0.2">
      <c r="A92" s="14"/>
      <c r="B92" s="18"/>
      <c r="C92" s="19"/>
      <c r="D92" s="11" t="s">
        <v>244</v>
      </c>
      <c r="E92" s="11" t="s">
        <v>66</v>
      </c>
      <c r="F92" s="11" t="s">
        <v>66</v>
      </c>
      <c r="G92" s="12" t="s">
        <v>74</v>
      </c>
      <c r="H92" s="11" t="s">
        <v>21</v>
      </c>
      <c r="I92" s="11" t="s">
        <v>24</v>
      </c>
      <c r="J92" s="11" t="s">
        <v>66</v>
      </c>
      <c r="K92" s="12" t="s">
        <v>242</v>
      </c>
      <c r="L92" s="13">
        <v>1</v>
      </c>
    </row>
    <row r="93" spans="1:12" ht="33" customHeight="1" x14ac:dyDescent="0.2">
      <c r="A93" s="14"/>
      <c r="B93" s="18"/>
      <c r="C93" s="19"/>
      <c r="D93" s="11" t="s">
        <v>247</v>
      </c>
      <c r="E93" s="11" t="s">
        <v>66</v>
      </c>
      <c r="F93" s="11" t="s">
        <v>66</v>
      </c>
      <c r="G93" s="12" t="s">
        <v>74</v>
      </c>
      <c r="H93" s="11" t="s">
        <v>21</v>
      </c>
      <c r="I93" s="11" t="s">
        <v>24</v>
      </c>
      <c r="J93" s="11" t="s">
        <v>66</v>
      </c>
      <c r="K93" s="12" t="s">
        <v>246</v>
      </c>
      <c r="L93" s="13">
        <v>1</v>
      </c>
    </row>
    <row r="94" spans="1:12" ht="33" customHeight="1" x14ac:dyDescent="0.2">
      <c r="A94" s="14"/>
      <c r="B94" s="18"/>
      <c r="C94" s="11" t="s">
        <v>275</v>
      </c>
      <c r="D94" s="11" t="s">
        <v>273</v>
      </c>
      <c r="E94" s="11" t="s">
        <v>66</v>
      </c>
      <c r="F94" s="11" t="s">
        <v>66</v>
      </c>
      <c r="G94" s="12" t="s">
        <v>284</v>
      </c>
      <c r="H94" s="11" t="s">
        <v>21</v>
      </c>
      <c r="I94" s="11" t="s">
        <v>24</v>
      </c>
      <c r="J94" s="11" t="s">
        <v>66</v>
      </c>
      <c r="K94" s="12" t="s">
        <v>271</v>
      </c>
      <c r="L94" s="13">
        <v>1</v>
      </c>
    </row>
    <row r="95" spans="1:12" ht="33" customHeight="1" x14ac:dyDescent="0.2">
      <c r="A95" s="14"/>
      <c r="B95" s="18"/>
      <c r="C95" s="11" t="s">
        <v>237</v>
      </c>
      <c r="D95" s="11" t="s">
        <v>346</v>
      </c>
      <c r="E95" s="11" t="s">
        <v>66</v>
      </c>
      <c r="F95" s="11" t="s">
        <v>66</v>
      </c>
      <c r="G95" s="12" t="s">
        <v>319</v>
      </c>
      <c r="H95" s="11" t="s">
        <v>21</v>
      </c>
      <c r="I95" s="11" t="s">
        <v>24</v>
      </c>
      <c r="J95" s="11" t="s">
        <v>66</v>
      </c>
      <c r="K95" s="12" t="s">
        <v>344</v>
      </c>
      <c r="L95" s="13">
        <v>1</v>
      </c>
    </row>
    <row r="96" spans="1:12" ht="33" customHeight="1" x14ac:dyDescent="0.2">
      <c r="A96" s="14"/>
      <c r="B96" s="18"/>
      <c r="C96" s="11" t="s">
        <v>323</v>
      </c>
      <c r="D96" s="11" t="s">
        <v>322</v>
      </c>
      <c r="E96" s="11" t="s">
        <v>66</v>
      </c>
      <c r="F96" s="11" t="s">
        <v>66</v>
      </c>
      <c r="G96" s="12" t="s">
        <v>74</v>
      </c>
      <c r="H96" s="11" t="s">
        <v>21</v>
      </c>
      <c r="I96" s="11" t="s">
        <v>24</v>
      </c>
      <c r="J96" s="11" t="s">
        <v>66</v>
      </c>
      <c r="K96" s="12" t="s">
        <v>320</v>
      </c>
      <c r="L96" s="13">
        <v>1</v>
      </c>
    </row>
    <row r="97" spans="1:12" ht="33" customHeight="1" x14ac:dyDescent="0.2">
      <c r="A97" s="14"/>
      <c r="B97" s="18"/>
      <c r="C97" s="19"/>
      <c r="D97" s="11" t="s">
        <v>326</v>
      </c>
      <c r="E97" s="11" t="s">
        <v>66</v>
      </c>
      <c r="F97" s="11" t="s">
        <v>66</v>
      </c>
      <c r="G97" s="12" t="s">
        <v>75</v>
      </c>
      <c r="H97" s="11" t="s">
        <v>21</v>
      </c>
      <c r="I97" s="11" t="s">
        <v>24</v>
      </c>
      <c r="J97" s="11" t="s">
        <v>66</v>
      </c>
      <c r="K97" s="12" t="s">
        <v>324</v>
      </c>
      <c r="L97" s="13">
        <v>1</v>
      </c>
    </row>
    <row r="98" spans="1:12" ht="33" customHeight="1" x14ac:dyDescent="0.2">
      <c r="A98" s="14"/>
      <c r="B98" s="18"/>
      <c r="C98" s="11" t="s">
        <v>343</v>
      </c>
      <c r="D98" s="11" t="s">
        <v>342</v>
      </c>
      <c r="E98" s="11" t="s">
        <v>66</v>
      </c>
      <c r="F98" s="11" t="s">
        <v>66</v>
      </c>
      <c r="G98" s="12" t="s">
        <v>79</v>
      </c>
      <c r="H98" s="11" t="s">
        <v>21</v>
      </c>
      <c r="I98" s="11" t="s">
        <v>24</v>
      </c>
      <c r="J98" s="11" t="s">
        <v>66</v>
      </c>
      <c r="K98" s="12" t="s">
        <v>340</v>
      </c>
      <c r="L98" s="13">
        <v>1</v>
      </c>
    </row>
    <row r="99" spans="1:12" ht="33" customHeight="1" x14ac:dyDescent="0.2">
      <c r="A99" s="14"/>
      <c r="B99" s="18"/>
      <c r="C99" s="11" t="s">
        <v>125</v>
      </c>
      <c r="D99" s="11" t="s">
        <v>124</v>
      </c>
      <c r="E99" s="11" t="s">
        <v>66</v>
      </c>
      <c r="F99" s="11" t="s">
        <v>66</v>
      </c>
      <c r="G99" s="12" t="s">
        <v>71</v>
      </c>
      <c r="H99" s="11" t="s">
        <v>21</v>
      </c>
      <c r="I99" s="11" t="s">
        <v>24</v>
      </c>
      <c r="J99" s="11" t="s">
        <v>66</v>
      </c>
      <c r="K99" s="12" t="s">
        <v>133</v>
      </c>
      <c r="L99" s="13">
        <v>1</v>
      </c>
    </row>
    <row r="100" spans="1:12" ht="16.5" x14ac:dyDescent="0.2">
      <c r="A100" s="20"/>
      <c r="B100" s="21" t="s">
        <v>209</v>
      </c>
      <c r="C100" s="22"/>
      <c r="D100" s="22"/>
      <c r="E100" s="22"/>
      <c r="F100" s="22"/>
      <c r="G100" s="22"/>
      <c r="H100" s="22"/>
      <c r="I100" s="22"/>
      <c r="J100" s="22"/>
      <c r="K100" s="22"/>
      <c r="L100" s="23">
        <v>45</v>
      </c>
    </row>
    <row r="101" spans="1:12" ht="16.5" x14ac:dyDescent="0.2">
      <c r="A101" s="24"/>
      <c r="B101" s="24"/>
      <c r="C101" s="24"/>
      <c r="D101" s="24"/>
      <c r="E101" s="24"/>
      <c r="F101" s="24"/>
      <c r="G101" s="24"/>
      <c r="H101" s="24"/>
      <c r="I101" s="24"/>
      <c r="J101" s="24"/>
      <c r="K101" s="24"/>
      <c r="L101" s="25"/>
    </row>
    <row r="102" spans="1:12" ht="16.5" x14ac:dyDescent="0.2">
      <c r="A102" s="24"/>
      <c r="B102" s="24"/>
      <c r="C102" s="24"/>
      <c r="D102" s="24"/>
      <c r="E102" s="24"/>
      <c r="F102" s="24"/>
      <c r="G102" s="24"/>
      <c r="H102" s="24"/>
      <c r="I102" s="24"/>
      <c r="J102" s="24"/>
      <c r="K102" s="24"/>
      <c r="L102" s="25"/>
    </row>
    <row r="103" spans="1:12" ht="16.5" x14ac:dyDescent="0.2">
      <c r="A103" s="24"/>
      <c r="B103" s="24"/>
      <c r="C103" s="24"/>
      <c r="D103" s="24"/>
      <c r="E103" s="24"/>
      <c r="F103" s="24"/>
      <c r="G103" s="24"/>
      <c r="H103" s="24"/>
      <c r="I103" s="24"/>
      <c r="J103" s="24"/>
      <c r="K103" s="24"/>
      <c r="L103" s="25"/>
    </row>
    <row r="104" spans="1:12" ht="16.5" x14ac:dyDescent="0.2">
      <c r="A104" s="24"/>
      <c r="B104" s="24"/>
      <c r="C104" s="24"/>
      <c r="D104" s="24"/>
      <c r="E104" s="24"/>
      <c r="F104" s="24"/>
      <c r="G104" s="24"/>
      <c r="H104" s="24"/>
      <c r="I104" s="24"/>
      <c r="J104" s="24"/>
      <c r="K104" s="24"/>
      <c r="L104" s="25"/>
    </row>
    <row r="105" spans="1:12" ht="16.5" x14ac:dyDescent="0.2">
      <c r="A105" s="24"/>
      <c r="B105" s="24"/>
      <c r="C105" s="24"/>
      <c r="D105" s="24"/>
      <c r="E105" s="24"/>
      <c r="F105" s="24"/>
      <c r="G105" s="24"/>
      <c r="H105" s="24"/>
      <c r="I105" s="24"/>
      <c r="J105" s="24"/>
      <c r="K105" s="24"/>
      <c r="L105" s="25"/>
    </row>
    <row r="106" spans="1:12" ht="16.5" x14ac:dyDescent="0.2">
      <c r="A106" s="24"/>
      <c r="B106" s="24"/>
      <c r="C106" s="24"/>
      <c r="D106" s="24"/>
      <c r="E106" s="24"/>
      <c r="F106" s="24"/>
      <c r="G106" s="24"/>
      <c r="H106" s="24"/>
      <c r="I106" s="24"/>
      <c r="J106" s="24"/>
      <c r="K106" s="24"/>
      <c r="L106" s="25"/>
    </row>
    <row r="107" spans="1:12" ht="16.5" x14ac:dyDescent="0.2">
      <c r="A107" s="24"/>
      <c r="B107" s="24"/>
      <c r="C107" s="24"/>
      <c r="D107" s="24"/>
      <c r="E107" s="24"/>
      <c r="F107" s="24"/>
      <c r="G107" s="24"/>
      <c r="H107" s="24"/>
      <c r="I107" s="24"/>
      <c r="J107" s="24"/>
      <c r="K107" s="24"/>
      <c r="L107" s="25"/>
    </row>
    <row r="108" spans="1:12" ht="16.5" x14ac:dyDescent="0.2">
      <c r="A108" s="24"/>
      <c r="B108" s="24"/>
      <c r="C108" s="24"/>
      <c r="D108" s="24"/>
      <c r="E108" s="24"/>
      <c r="F108" s="24"/>
      <c r="G108" s="24"/>
      <c r="H108" s="24"/>
      <c r="I108" s="24"/>
      <c r="J108" s="24"/>
      <c r="K108" s="24"/>
      <c r="L108" s="25"/>
    </row>
    <row r="109" spans="1:12" ht="16.5" x14ac:dyDescent="0.2">
      <c r="A109" s="24"/>
      <c r="B109" s="24"/>
      <c r="C109" s="24"/>
      <c r="D109" s="24"/>
      <c r="E109" s="24"/>
      <c r="F109" s="24"/>
      <c r="G109" s="24"/>
      <c r="H109" s="24"/>
      <c r="I109" s="24"/>
      <c r="J109" s="24"/>
      <c r="K109" s="24"/>
      <c r="L109" s="25"/>
    </row>
    <row r="110" spans="1:12" ht="16.5" x14ac:dyDescent="0.2">
      <c r="A110" s="24"/>
      <c r="B110" s="24"/>
      <c r="C110" s="24"/>
      <c r="D110" s="24"/>
      <c r="E110" s="24"/>
      <c r="F110" s="24"/>
      <c r="G110" s="24"/>
      <c r="H110" s="24"/>
      <c r="I110" s="24"/>
      <c r="J110" s="24"/>
      <c r="K110" s="24"/>
      <c r="L110" s="25"/>
    </row>
    <row r="111" spans="1:12" ht="16.5" x14ac:dyDescent="0.2">
      <c r="A111" s="24"/>
      <c r="B111" s="24"/>
      <c r="C111" s="24"/>
      <c r="D111" s="24"/>
      <c r="E111" s="24"/>
      <c r="F111" s="24"/>
      <c r="G111" s="24"/>
      <c r="H111" s="24"/>
      <c r="I111" s="24"/>
      <c r="J111" s="24"/>
      <c r="K111" s="24"/>
      <c r="L111" s="25"/>
    </row>
    <row r="112" spans="1:12" ht="16.5" x14ac:dyDescent="0.2">
      <c r="A112" s="24"/>
      <c r="B112" s="24"/>
      <c r="C112" s="24"/>
      <c r="D112" s="24"/>
      <c r="E112" s="24"/>
      <c r="F112" s="24"/>
      <c r="G112" s="24"/>
      <c r="H112" s="24"/>
      <c r="I112" s="24"/>
      <c r="J112" s="24"/>
      <c r="K112" s="24"/>
      <c r="L112" s="25"/>
    </row>
    <row r="113" spans="1:12" ht="16.5" x14ac:dyDescent="0.2">
      <c r="A113" s="24"/>
      <c r="B113" s="24"/>
      <c r="C113" s="24"/>
      <c r="D113" s="24"/>
      <c r="E113" s="24"/>
      <c r="F113" s="24"/>
      <c r="G113" s="24"/>
      <c r="H113" s="24"/>
      <c r="I113" s="24"/>
      <c r="J113" s="24"/>
      <c r="K113" s="24"/>
      <c r="L113" s="25"/>
    </row>
    <row r="114" spans="1:12" ht="16.5" x14ac:dyDescent="0.2">
      <c r="A114" s="24"/>
      <c r="B114" s="24"/>
      <c r="C114" s="24"/>
      <c r="D114" s="24"/>
      <c r="E114" s="24"/>
      <c r="F114" s="24"/>
      <c r="G114" s="24"/>
      <c r="H114" s="24"/>
      <c r="I114" s="24"/>
      <c r="J114" s="24"/>
      <c r="K114" s="24"/>
      <c r="L114" s="25"/>
    </row>
    <row r="115" spans="1:12" ht="16.5" x14ac:dyDescent="0.2">
      <c r="A115" s="24"/>
      <c r="B115" s="24"/>
      <c r="C115" s="24"/>
      <c r="D115" s="24"/>
      <c r="E115" s="24"/>
      <c r="F115" s="24"/>
      <c r="G115" s="24"/>
      <c r="H115" s="24"/>
      <c r="I115" s="24"/>
      <c r="J115" s="24"/>
      <c r="K115" s="24"/>
      <c r="L115" s="25"/>
    </row>
    <row r="116" spans="1:12" ht="16.5" x14ac:dyDescent="0.2">
      <c r="A116" s="24"/>
      <c r="B116" s="24"/>
      <c r="C116" s="24"/>
      <c r="D116" s="24"/>
      <c r="E116" s="24"/>
      <c r="F116" s="24"/>
      <c r="G116" s="24"/>
      <c r="H116" s="24"/>
      <c r="I116" s="24"/>
      <c r="J116" s="24"/>
      <c r="K116" s="24"/>
      <c r="L116" s="25"/>
    </row>
    <row r="117" spans="1:12" ht="16.5" x14ac:dyDescent="0.2">
      <c r="A117" s="24"/>
      <c r="B117" s="24"/>
      <c r="C117" s="24"/>
      <c r="D117" s="24"/>
      <c r="E117" s="24"/>
      <c r="F117" s="24"/>
      <c r="G117" s="24"/>
      <c r="H117" s="24"/>
      <c r="I117" s="24"/>
      <c r="J117" s="24"/>
      <c r="K117" s="24"/>
      <c r="L117" s="25"/>
    </row>
    <row r="118" spans="1:12" ht="16.5" x14ac:dyDescent="0.2">
      <c r="A118" s="24"/>
      <c r="B118" s="24"/>
      <c r="C118" s="24"/>
      <c r="D118" s="24"/>
      <c r="E118" s="24"/>
      <c r="F118" s="24"/>
      <c r="G118" s="24"/>
      <c r="H118" s="24"/>
      <c r="I118" s="24"/>
      <c r="J118" s="24"/>
      <c r="K118" s="24"/>
      <c r="L118" s="25"/>
    </row>
    <row r="119" spans="1:12" ht="16.5" x14ac:dyDescent="0.2">
      <c r="A119" s="24"/>
      <c r="B119" s="24"/>
      <c r="C119" s="24"/>
      <c r="D119" s="24"/>
      <c r="E119" s="24"/>
      <c r="F119" s="24"/>
      <c r="G119" s="24"/>
      <c r="H119" s="24"/>
      <c r="I119" s="24"/>
      <c r="J119" s="24"/>
      <c r="K119" s="24"/>
      <c r="L119" s="25"/>
    </row>
    <row r="120" spans="1:12" ht="16.5" x14ac:dyDescent="0.2">
      <c r="A120" s="24"/>
      <c r="B120" s="24"/>
      <c r="C120" s="24"/>
      <c r="D120" s="24"/>
      <c r="E120" s="24"/>
      <c r="F120" s="24"/>
      <c r="G120" s="24"/>
      <c r="H120" s="24"/>
      <c r="I120" s="24"/>
      <c r="J120" s="24"/>
      <c r="K120" s="24"/>
      <c r="L120" s="25"/>
    </row>
    <row r="121" spans="1:12" ht="16.5" x14ac:dyDescent="0.2">
      <c r="A121" s="24"/>
      <c r="B121" s="24"/>
      <c r="C121" s="24"/>
      <c r="D121" s="24"/>
      <c r="E121" s="24"/>
      <c r="F121" s="24"/>
      <c r="G121" s="24"/>
      <c r="H121" s="24"/>
      <c r="I121" s="24"/>
      <c r="J121" s="24"/>
      <c r="K121" s="24"/>
      <c r="L121" s="25"/>
    </row>
    <row r="122" spans="1:12" ht="16.5" x14ac:dyDescent="0.2">
      <c r="A122" s="24"/>
      <c r="B122" s="24"/>
      <c r="C122" s="24"/>
      <c r="D122" s="24"/>
      <c r="E122" s="24"/>
      <c r="F122" s="24"/>
      <c r="G122" s="24"/>
      <c r="H122" s="24"/>
      <c r="I122" s="24"/>
      <c r="J122" s="24"/>
      <c r="K122" s="24"/>
      <c r="L122" s="25"/>
    </row>
    <row r="123" spans="1:12" ht="16.5" x14ac:dyDescent="0.2">
      <c r="A123" s="24"/>
      <c r="B123" s="24"/>
      <c r="C123" s="24"/>
      <c r="D123" s="24"/>
      <c r="E123" s="24"/>
      <c r="F123" s="24"/>
      <c r="G123" s="24"/>
      <c r="H123" s="24"/>
      <c r="I123" s="24"/>
      <c r="J123" s="24"/>
      <c r="K123" s="24"/>
      <c r="L123" s="25"/>
    </row>
    <row r="124" spans="1:12" ht="16.5" x14ac:dyDescent="0.2">
      <c r="A124" s="24"/>
      <c r="B124" s="24"/>
      <c r="C124" s="24"/>
      <c r="D124" s="24"/>
      <c r="E124" s="24"/>
      <c r="F124" s="24"/>
      <c r="G124" s="24"/>
      <c r="H124" s="24"/>
      <c r="I124" s="24"/>
      <c r="J124" s="24"/>
      <c r="K124" s="24"/>
      <c r="L124" s="25"/>
    </row>
    <row r="125" spans="1:12" ht="16.5" x14ac:dyDescent="0.2">
      <c r="A125" s="24"/>
      <c r="B125" s="24"/>
      <c r="C125" s="24"/>
      <c r="D125" s="24"/>
      <c r="E125" s="24"/>
      <c r="F125" s="24"/>
      <c r="G125" s="24"/>
      <c r="H125" s="24"/>
      <c r="I125" s="24"/>
      <c r="J125" s="24"/>
      <c r="K125" s="24"/>
      <c r="L125" s="25"/>
    </row>
    <row r="126" spans="1:12" ht="16.5" x14ac:dyDescent="0.2">
      <c r="A126" s="24"/>
      <c r="B126" s="24"/>
      <c r="C126" s="24"/>
      <c r="D126" s="24"/>
      <c r="E126" s="24"/>
      <c r="F126" s="24"/>
      <c r="G126" s="24"/>
      <c r="H126" s="24"/>
      <c r="I126" s="24"/>
      <c r="J126" s="24"/>
      <c r="K126" s="24"/>
      <c r="L126" s="25"/>
    </row>
    <row r="127" spans="1:12" ht="16.5" x14ac:dyDescent="0.2">
      <c r="A127" s="24"/>
      <c r="B127" s="24"/>
      <c r="C127" s="24"/>
      <c r="D127" s="24"/>
      <c r="E127" s="24"/>
      <c r="F127" s="24"/>
      <c r="G127" s="24"/>
      <c r="H127" s="24"/>
      <c r="I127" s="24"/>
      <c r="J127" s="24"/>
      <c r="K127" s="24"/>
      <c r="L127" s="25"/>
    </row>
    <row r="128" spans="1:12" ht="16.5" x14ac:dyDescent="0.2">
      <c r="A128" s="24"/>
      <c r="B128" s="24"/>
      <c r="C128" s="24"/>
      <c r="D128" s="24"/>
      <c r="E128" s="24"/>
      <c r="F128" s="24"/>
      <c r="G128" s="24"/>
      <c r="H128" s="24"/>
      <c r="I128" s="24"/>
      <c r="J128" s="24"/>
      <c r="K128" s="24"/>
      <c r="L128" s="25"/>
    </row>
    <row r="129" spans="1:12" ht="16.5" x14ac:dyDescent="0.2">
      <c r="A129" s="24"/>
      <c r="B129" s="24"/>
      <c r="C129" s="24"/>
      <c r="D129" s="24"/>
      <c r="E129" s="24"/>
      <c r="F129" s="24"/>
      <c r="G129" s="24"/>
      <c r="H129" s="24"/>
      <c r="I129" s="24"/>
      <c r="J129" s="24"/>
      <c r="K129" s="24"/>
      <c r="L129" s="25"/>
    </row>
    <row r="130" spans="1:12" ht="16.5" x14ac:dyDescent="0.2">
      <c r="A130" s="24"/>
      <c r="B130" s="24"/>
      <c r="C130" s="24"/>
      <c r="D130" s="24"/>
      <c r="E130" s="24"/>
      <c r="F130" s="24"/>
      <c r="G130" s="24"/>
      <c r="H130" s="24"/>
      <c r="I130" s="24"/>
      <c r="J130" s="24"/>
      <c r="K130" s="24"/>
      <c r="L130" s="25"/>
    </row>
    <row r="131" spans="1:12" ht="16.5" x14ac:dyDescent="0.2">
      <c r="A131" s="24"/>
      <c r="B131" s="24"/>
      <c r="C131" s="24"/>
      <c r="D131" s="24"/>
      <c r="E131" s="24"/>
      <c r="F131" s="24"/>
      <c r="G131" s="24"/>
      <c r="H131" s="24"/>
      <c r="I131" s="24"/>
      <c r="J131" s="24"/>
      <c r="K131" s="24"/>
      <c r="L131" s="25"/>
    </row>
    <row r="132" spans="1:12" ht="16.5" x14ac:dyDescent="0.2">
      <c r="A132" s="24"/>
      <c r="B132" s="24"/>
      <c r="C132" s="24"/>
      <c r="D132" s="24"/>
      <c r="E132" s="24"/>
      <c r="F132" s="24"/>
      <c r="G132" s="24"/>
      <c r="H132" s="24"/>
      <c r="I132" s="24"/>
      <c r="J132" s="24"/>
      <c r="K132" s="24"/>
      <c r="L132" s="25"/>
    </row>
    <row r="133" spans="1:12" ht="16.5" x14ac:dyDescent="0.2">
      <c r="A133" s="24"/>
      <c r="B133" s="24"/>
      <c r="C133" s="24"/>
      <c r="D133" s="24"/>
      <c r="E133" s="24"/>
      <c r="F133" s="24"/>
      <c r="G133" s="24"/>
      <c r="H133" s="24"/>
      <c r="I133" s="24"/>
      <c r="J133" s="24"/>
      <c r="K133" s="24"/>
      <c r="L133" s="25"/>
    </row>
    <row r="134" spans="1:12" ht="16.5" x14ac:dyDescent="0.2">
      <c r="A134" s="24"/>
      <c r="B134" s="24"/>
      <c r="C134" s="24"/>
      <c r="D134" s="24"/>
      <c r="E134" s="24"/>
      <c r="F134" s="24"/>
      <c r="G134" s="24"/>
      <c r="H134" s="24"/>
      <c r="I134" s="24"/>
      <c r="J134" s="24"/>
      <c r="K134" s="24"/>
      <c r="L134" s="25"/>
    </row>
    <row r="135" spans="1:12" ht="16.5" x14ac:dyDescent="0.2">
      <c r="A135" s="24"/>
      <c r="B135" s="24"/>
      <c r="C135" s="24"/>
      <c r="D135" s="24"/>
      <c r="E135" s="24"/>
      <c r="F135" s="24"/>
      <c r="G135" s="24"/>
      <c r="H135" s="24"/>
      <c r="I135" s="24"/>
      <c r="J135" s="24"/>
      <c r="K135" s="24"/>
      <c r="L135" s="25"/>
    </row>
    <row r="136" spans="1:12" ht="16.5" x14ac:dyDescent="0.2">
      <c r="A136" s="24"/>
      <c r="B136" s="24"/>
      <c r="C136" s="24"/>
      <c r="D136" s="24"/>
      <c r="E136" s="24"/>
      <c r="F136" s="24"/>
      <c r="G136" s="24"/>
      <c r="H136" s="24"/>
      <c r="I136" s="24"/>
      <c r="J136" s="24"/>
      <c r="K136" s="24"/>
      <c r="L136" s="25"/>
    </row>
    <row r="137" spans="1:12" ht="16.5" x14ac:dyDescent="0.2">
      <c r="A137" s="24"/>
      <c r="B137" s="24"/>
      <c r="C137" s="24"/>
      <c r="D137" s="24"/>
      <c r="E137" s="24"/>
      <c r="F137" s="24"/>
      <c r="G137" s="24"/>
      <c r="H137" s="24"/>
      <c r="I137" s="24"/>
      <c r="J137" s="24"/>
      <c r="K137" s="24"/>
      <c r="L137" s="25"/>
    </row>
    <row r="138" spans="1:12" ht="16.5" x14ac:dyDescent="0.2">
      <c r="A138" s="24"/>
      <c r="B138" s="24"/>
      <c r="C138" s="24"/>
      <c r="D138" s="24"/>
      <c r="E138" s="24"/>
      <c r="F138" s="24"/>
      <c r="G138" s="24"/>
      <c r="H138" s="24"/>
      <c r="I138" s="24"/>
      <c r="J138" s="24"/>
      <c r="K138" s="24"/>
      <c r="L138" s="25"/>
    </row>
    <row r="139" spans="1:12" ht="16.5" x14ac:dyDescent="0.2">
      <c r="A139" s="24"/>
      <c r="B139" s="24"/>
      <c r="C139" s="24"/>
      <c r="D139" s="24"/>
      <c r="E139" s="24"/>
      <c r="F139" s="24"/>
      <c r="G139" s="24"/>
      <c r="H139" s="24"/>
      <c r="I139" s="24"/>
      <c r="J139" s="24"/>
      <c r="K139" s="24"/>
      <c r="L139" s="25"/>
    </row>
    <row r="140" spans="1:12" ht="16.5" x14ac:dyDescent="0.2">
      <c r="A140" s="24"/>
      <c r="B140" s="24"/>
      <c r="C140" s="24"/>
      <c r="D140" s="24"/>
      <c r="E140" s="24"/>
      <c r="F140" s="24"/>
      <c r="G140" s="24"/>
      <c r="H140" s="24"/>
      <c r="I140" s="24"/>
      <c r="J140" s="24"/>
      <c r="K140" s="24"/>
      <c r="L140" s="25"/>
    </row>
    <row r="141" spans="1:12" ht="16.5" x14ac:dyDescent="0.2">
      <c r="A141" s="24"/>
      <c r="B141" s="24"/>
      <c r="C141" s="24"/>
      <c r="D141" s="24"/>
      <c r="E141" s="24"/>
      <c r="F141" s="24"/>
      <c r="G141" s="24"/>
      <c r="H141" s="24"/>
      <c r="I141" s="24"/>
      <c r="J141" s="24"/>
      <c r="K141" s="24"/>
      <c r="L141" s="25"/>
    </row>
    <row r="142" spans="1:12" ht="16.5" x14ac:dyDescent="0.2">
      <c r="A142" s="24"/>
      <c r="B142" s="24"/>
      <c r="C142" s="24"/>
      <c r="D142" s="24"/>
      <c r="E142" s="24"/>
      <c r="F142" s="24"/>
      <c r="G142" s="24"/>
      <c r="H142" s="24"/>
      <c r="I142" s="24"/>
      <c r="J142" s="24"/>
      <c r="K142" s="24"/>
      <c r="L142" s="25"/>
    </row>
    <row r="143" spans="1:12" ht="16.5" x14ac:dyDescent="0.2">
      <c r="A143" s="24"/>
      <c r="B143" s="24"/>
      <c r="C143" s="24"/>
      <c r="D143" s="24"/>
      <c r="E143" s="24"/>
      <c r="F143" s="24"/>
      <c r="G143" s="24"/>
      <c r="H143" s="24"/>
      <c r="I143" s="24"/>
      <c r="J143" s="24"/>
      <c r="K143" s="24"/>
      <c r="L143" s="25"/>
    </row>
    <row r="144" spans="1:12" ht="16.5" x14ac:dyDescent="0.2">
      <c r="A144" s="24"/>
      <c r="B144" s="24"/>
      <c r="C144" s="24"/>
      <c r="D144" s="24"/>
      <c r="E144" s="24"/>
      <c r="F144" s="24"/>
      <c r="G144" s="24"/>
      <c r="H144" s="24"/>
      <c r="I144" s="24"/>
      <c r="J144" s="24"/>
      <c r="K144" s="24"/>
      <c r="L144" s="25"/>
    </row>
    <row r="145" spans="1:12" ht="16.5" x14ac:dyDescent="0.2">
      <c r="A145" s="24"/>
      <c r="B145" s="24"/>
      <c r="C145" s="24"/>
      <c r="D145" s="24"/>
      <c r="E145" s="24"/>
      <c r="F145" s="24"/>
      <c r="G145" s="24"/>
      <c r="H145" s="24"/>
      <c r="I145" s="24"/>
      <c r="J145" s="24"/>
      <c r="K145" s="24"/>
      <c r="L145" s="25"/>
    </row>
    <row r="146" spans="1:12" ht="16.5" x14ac:dyDescent="0.2">
      <c r="A146" s="24"/>
      <c r="B146" s="24"/>
      <c r="C146" s="24"/>
      <c r="D146" s="24"/>
      <c r="E146" s="24"/>
      <c r="F146" s="24"/>
      <c r="G146" s="24"/>
      <c r="H146" s="24"/>
      <c r="I146" s="24"/>
      <c r="J146" s="24"/>
      <c r="K146" s="24"/>
      <c r="L146" s="25"/>
    </row>
    <row r="147" spans="1:12" ht="16.5" x14ac:dyDescent="0.2">
      <c r="A147" s="24"/>
      <c r="B147" s="24"/>
      <c r="C147" s="24"/>
      <c r="D147" s="24"/>
      <c r="E147" s="24"/>
      <c r="F147" s="24"/>
      <c r="G147" s="24"/>
      <c r="H147" s="24"/>
      <c r="I147" s="24"/>
      <c r="J147" s="24"/>
      <c r="K147" s="24"/>
      <c r="L147" s="25"/>
    </row>
    <row r="148" spans="1:12" ht="16.5" x14ac:dyDescent="0.2">
      <c r="A148" s="24"/>
      <c r="B148" s="24"/>
      <c r="C148" s="24"/>
      <c r="D148" s="24"/>
      <c r="E148" s="24"/>
      <c r="F148" s="24"/>
      <c r="G148" s="24"/>
      <c r="H148" s="24"/>
      <c r="I148" s="24"/>
      <c r="J148" s="24"/>
      <c r="K148" s="24"/>
      <c r="L148" s="25"/>
    </row>
    <row r="149" spans="1:12" ht="16.5" x14ac:dyDescent="0.2">
      <c r="A149" s="24"/>
      <c r="B149" s="24"/>
      <c r="C149" s="24"/>
      <c r="D149" s="24"/>
      <c r="E149" s="24"/>
      <c r="F149" s="24"/>
      <c r="G149" s="24"/>
      <c r="H149" s="24"/>
      <c r="I149" s="24"/>
      <c r="J149" s="24"/>
      <c r="K149" s="24"/>
      <c r="L149" s="25"/>
    </row>
    <row r="150" spans="1:12" ht="16.5" x14ac:dyDescent="0.2">
      <c r="A150" s="24"/>
      <c r="B150" s="24"/>
      <c r="C150" s="24"/>
      <c r="D150" s="24"/>
      <c r="E150" s="24"/>
      <c r="F150" s="24"/>
      <c r="G150" s="24"/>
      <c r="H150" s="24"/>
      <c r="I150" s="24"/>
      <c r="J150" s="24"/>
      <c r="K150" s="24"/>
      <c r="L150" s="25"/>
    </row>
    <row r="151" spans="1:12" ht="16.5" x14ac:dyDescent="0.2">
      <c r="A151" s="24"/>
      <c r="B151" s="24"/>
      <c r="C151" s="24"/>
      <c r="D151" s="24"/>
      <c r="E151" s="24"/>
      <c r="F151" s="24"/>
      <c r="G151" s="24"/>
      <c r="H151" s="24"/>
      <c r="I151" s="24"/>
      <c r="J151" s="24"/>
      <c r="K151" s="24"/>
      <c r="L151" s="25"/>
    </row>
    <row r="152" spans="1:12" ht="16.5" x14ac:dyDescent="0.2">
      <c r="A152" s="24"/>
      <c r="B152" s="24"/>
      <c r="C152" s="24"/>
      <c r="D152" s="24"/>
      <c r="E152" s="24"/>
      <c r="F152" s="24"/>
      <c r="G152" s="24"/>
      <c r="H152" s="24"/>
      <c r="I152" s="24"/>
      <c r="J152" s="24"/>
      <c r="K152" s="24"/>
      <c r="L152" s="25"/>
    </row>
    <row r="153" spans="1:12" ht="16.5" x14ac:dyDescent="0.2">
      <c r="A153" s="24"/>
      <c r="B153" s="24"/>
      <c r="C153" s="24"/>
      <c r="D153" s="24"/>
      <c r="E153" s="24"/>
      <c r="F153" s="24"/>
      <c r="G153" s="24"/>
      <c r="H153" s="24"/>
      <c r="I153" s="24"/>
      <c r="J153" s="24"/>
      <c r="K153" s="24"/>
      <c r="L153" s="25"/>
    </row>
    <row r="154" spans="1:12" ht="16.5" x14ac:dyDescent="0.2">
      <c r="A154" s="24"/>
      <c r="B154" s="24"/>
      <c r="C154" s="24"/>
      <c r="D154" s="24"/>
      <c r="E154" s="24"/>
      <c r="F154" s="24"/>
      <c r="G154" s="24"/>
      <c r="H154" s="24"/>
      <c r="I154" s="24"/>
      <c r="J154" s="24"/>
      <c r="K154" s="24"/>
      <c r="L154" s="25"/>
    </row>
    <row r="155" spans="1:12" ht="16.5" x14ac:dyDescent="0.2">
      <c r="A155" s="24"/>
      <c r="B155" s="24"/>
      <c r="C155" s="24"/>
      <c r="D155" s="24"/>
      <c r="E155" s="24"/>
      <c r="F155" s="24"/>
      <c r="G155" s="24"/>
      <c r="H155" s="24"/>
      <c r="I155" s="24"/>
      <c r="J155" s="24"/>
      <c r="K155" s="24"/>
      <c r="L155" s="25"/>
    </row>
    <row r="156" spans="1:12" ht="16.5" x14ac:dyDescent="0.2">
      <c r="A156" s="24"/>
      <c r="B156" s="24"/>
      <c r="C156" s="24"/>
      <c r="D156" s="24"/>
      <c r="E156" s="24"/>
      <c r="F156" s="24"/>
      <c r="G156" s="24"/>
      <c r="H156" s="24"/>
      <c r="I156" s="24"/>
      <c r="J156" s="24"/>
      <c r="K156" s="24"/>
      <c r="L156" s="25"/>
    </row>
    <row r="157" spans="1:12" ht="16.5" x14ac:dyDescent="0.2">
      <c r="A157" s="24"/>
      <c r="B157" s="24"/>
      <c r="C157" s="24"/>
      <c r="D157" s="24"/>
      <c r="E157" s="24"/>
      <c r="F157" s="24"/>
      <c r="G157" s="24"/>
      <c r="H157" s="24"/>
      <c r="I157" s="24"/>
      <c r="J157" s="24"/>
      <c r="K157" s="24"/>
      <c r="L157" s="25"/>
    </row>
    <row r="158" spans="1:12" ht="16.5" x14ac:dyDescent="0.2">
      <c r="A158" s="24"/>
      <c r="B158" s="24"/>
      <c r="C158" s="24"/>
      <c r="D158" s="24"/>
      <c r="E158" s="24"/>
      <c r="F158" s="24"/>
      <c r="G158" s="24"/>
      <c r="H158" s="24"/>
      <c r="I158" s="24"/>
      <c r="J158" s="24"/>
      <c r="K158" s="24"/>
      <c r="L158" s="25"/>
    </row>
    <row r="159" spans="1:12" ht="16.5" x14ac:dyDescent="0.2">
      <c r="A159" s="24"/>
      <c r="B159" s="24"/>
      <c r="C159" s="24"/>
      <c r="D159" s="24"/>
      <c r="E159" s="24"/>
      <c r="F159" s="24"/>
      <c r="G159" s="24"/>
      <c r="H159" s="24"/>
      <c r="I159" s="24"/>
      <c r="J159" s="24"/>
      <c r="K159" s="24"/>
      <c r="L159" s="25"/>
    </row>
    <row r="160" spans="1:12" ht="16.5" x14ac:dyDescent="0.2">
      <c r="A160" s="24"/>
      <c r="B160" s="24"/>
      <c r="C160" s="24"/>
      <c r="D160" s="24"/>
      <c r="E160" s="24"/>
      <c r="F160" s="24"/>
      <c r="G160" s="24"/>
      <c r="H160" s="24"/>
      <c r="I160" s="24"/>
      <c r="J160" s="24"/>
      <c r="K160" s="24"/>
      <c r="L160" s="25"/>
    </row>
    <row r="161" spans="1:12" ht="16.5" x14ac:dyDescent="0.2">
      <c r="A161" s="24"/>
      <c r="B161" s="24"/>
      <c r="C161" s="24"/>
      <c r="D161" s="24"/>
      <c r="E161" s="24"/>
      <c r="F161" s="24"/>
      <c r="G161" s="24"/>
      <c r="H161" s="24"/>
      <c r="I161" s="24"/>
      <c r="J161" s="24"/>
      <c r="K161" s="24"/>
      <c r="L161" s="25"/>
    </row>
    <row r="162" spans="1:12" ht="16.5" x14ac:dyDescent="0.2">
      <c r="A162" s="24"/>
      <c r="B162" s="24"/>
      <c r="C162" s="24"/>
      <c r="D162" s="24"/>
      <c r="E162" s="24"/>
      <c r="F162" s="24"/>
      <c r="G162" s="24"/>
      <c r="H162" s="24"/>
      <c r="I162" s="24"/>
      <c r="J162" s="24"/>
      <c r="K162" s="24"/>
      <c r="L162" s="25"/>
    </row>
    <row r="163" spans="1:12" ht="16.5" x14ac:dyDescent="0.2">
      <c r="A163" s="24"/>
      <c r="B163" s="24"/>
      <c r="C163" s="24"/>
      <c r="D163" s="24"/>
      <c r="E163" s="24"/>
      <c r="F163" s="24"/>
      <c r="G163" s="24"/>
      <c r="H163" s="24"/>
      <c r="I163" s="24"/>
      <c r="J163" s="24"/>
      <c r="K163" s="24"/>
      <c r="L163" s="25"/>
    </row>
    <row r="164" spans="1:12" ht="16.5" x14ac:dyDescent="0.2">
      <c r="A164" s="24"/>
      <c r="B164" s="24"/>
      <c r="C164" s="24"/>
      <c r="D164" s="24"/>
      <c r="E164" s="24"/>
      <c r="F164" s="24"/>
      <c r="G164" s="24"/>
      <c r="H164" s="24"/>
      <c r="I164" s="24"/>
      <c r="J164" s="24"/>
      <c r="K164" s="24"/>
      <c r="L164" s="25"/>
    </row>
    <row r="165" spans="1:12" ht="16.5" x14ac:dyDescent="0.2">
      <c r="A165" s="24"/>
      <c r="B165" s="24"/>
      <c r="C165" s="24"/>
      <c r="D165" s="24"/>
      <c r="E165" s="24"/>
      <c r="F165" s="24"/>
      <c r="G165" s="24"/>
      <c r="H165" s="24"/>
      <c r="I165" s="24"/>
      <c r="J165" s="24"/>
      <c r="K165" s="24"/>
      <c r="L165" s="25"/>
    </row>
    <row r="166" spans="1:12" ht="16.5" x14ac:dyDescent="0.2">
      <c r="A166" s="24"/>
      <c r="B166" s="24"/>
      <c r="C166" s="24"/>
      <c r="D166" s="24"/>
      <c r="E166" s="24"/>
      <c r="F166" s="24"/>
      <c r="G166" s="24"/>
      <c r="H166" s="24"/>
      <c r="I166" s="24"/>
      <c r="J166" s="24"/>
      <c r="K166" s="24"/>
      <c r="L166" s="25"/>
    </row>
    <row r="167" spans="1:12" ht="16.5" x14ac:dyDescent="0.2">
      <c r="A167" s="24"/>
      <c r="B167" s="24"/>
      <c r="C167" s="24"/>
      <c r="D167" s="24"/>
      <c r="E167" s="24"/>
      <c r="F167" s="24"/>
      <c r="G167" s="24"/>
      <c r="H167" s="24"/>
      <c r="I167" s="24"/>
      <c r="J167" s="24"/>
      <c r="K167" s="24"/>
      <c r="L167" s="25"/>
    </row>
    <row r="168" spans="1:12" ht="16.5" x14ac:dyDescent="0.2">
      <c r="A168" s="24"/>
      <c r="B168" s="24"/>
      <c r="C168" s="24"/>
      <c r="D168" s="24"/>
      <c r="E168" s="24"/>
      <c r="F168" s="24"/>
      <c r="G168" s="24"/>
      <c r="H168" s="24"/>
      <c r="I168" s="24"/>
      <c r="J168" s="24"/>
      <c r="K168" s="24"/>
      <c r="L168" s="25"/>
    </row>
    <row r="169" spans="1:12" ht="16.5" x14ac:dyDescent="0.2">
      <c r="A169" s="24"/>
      <c r="B169" s="24"/>
      <c r="C169" s="24"/>
      <c r="D169" s="24"/>
      <c r="E169" s="24"/>
      <c r="F169" s="24"/>
      <c r="G169" s="24"/>
      <c r="H169" s="24"/>
      <c r="I169" s="24"/>
      <c r="J169" s="24"/>
      <c r="K169" s="24"/>
      <c r="L169" s="25"/>
    </row>
    <row r="170" spans="1:12" ht="16.5" x14ac:dyDescent="0.2">
      <c r="A170" s="24"/>
      <c r="B170" s="24"/>
      <c r="C170" s="24"/>
      <c r="D170" s="24"/>
      <c r="E170" s="24"/>
      <c r="F170" s="24"/>
      <c r="G170" s="24"/>
      <c r="H170" s="24"/>
      <c r="I170" s="24"/>
      <c r="J170" s="24"/>
      <c r="K170" s="24"/>
      <c r="L170" s="25"/>
    </row>
    <row r="171" spans="1:12" ht="16.5" x14ac:dyDescent="0.2">
      <c r="A171" s="24"/>
      <c r="B171" s="24"/>
      <c r="C171" s="24"/>
      <c r="D171" s="24"/>
      <c r="E171" s="24"/>
      <c r="F171" s="24"/>
      <c r="G171" s="24"/>
      <c r="H171" s="24"/>
      <c r="I171" s="24"/>
      <c r="J171" s="24"/>
      <c r="K171" s="24"/>
      <c r="L171" s="25"/>
    </row>
    <row r="172" spans="1:12" ht="16.5" x14ac:dyDescent="0.2">
      <c r="A172" s="24"/>
      <c r="B172" s="24"/>
      <c r="C172" s="24"/>
      <c r="D172" s="24"/>
      <c r="E172" s="24"/>
      <c r="F172" s="24"/>
      <c r="G172" s="24"/>
      <c r="H172" s="24"/>
      <c r="I172" s="24"/>
      <c r="J172" s="24"/>
      <c r="K172" s="24"/>
      <c r="L172" s="25"/>
    </row>
    <row r="173" spans="1:12" ht="16.5" x14ac:dyDescent="0.2">
      <c r="A173" s="24"/>
      <c r="B173" s="24"/>
      <c r="C173" s="24"/>
      <c r="D173" s="24"/>
      <c r="E173" s="24"/>
      <c r="F173" s="24"/>
      <c r="G173" s="24"/>
      <c r="H173" s="24"/>
      <c r="I173" s="24"/>
      <c r="J173" s="24"/>
      <c r="K173" s="24"/>
      <c r="L173" s="25"/>
    </row>
    <row r="174" spans="1:12" ht="16.5" x14ac:dyDescent="0.2">
      <c r="A174" s="24"/>
      <c r="B174" s="24"/>
      <c r="C174" s="24"/>
      <c r="D174" s="24"/>
      <c r="E174" s="24"/>
      <c r="F174" s="24"/>
      <c r="G174" s="24"/>
      <c r="H174" s="24"/>
      <c r="I174" s="24"/>
      <c r="J174" s="24"/>
      <c r="K174" s="24"/>
      <c r="L174" s="25"/>
    </row>
    <row r="175" spans="1:12" ht="16.5" x14ac:dyDescent="0.2">
      <c r="A175" s="24"/>
      <c r="B175" s="24"/>
      <c r="C175" s="24"/>
      <c r="D175" s="24"/>
      <c r="E175" s="24"/>
      <c r="F175" s="24"/>
      <c r="G175" s="24"/>
      <c r="H175" s="24"/>
      <c r="I175" s="24"/>
      <c r="J175" s="24"/>
      <c r="K175" s="24"/>
      <c r="L175" s="25"/>
    </row>
    <row r="176" spans="1:12" ht="16.5" x14ac:dyDescent="0.2">
      <c r="A176" s="24"/>
      <c r="B176" s="24"/>
      <c r="C176" s="24"/>
      <c r="D176" s="24"/>
      <c r="E176" s="24"/>
      <c r="F176" s="24"/>
      <c r="G176" s="24"/>
      <c r="H176" s="24"/>
      <c r="I176" s="24"/>
      <c r="J176" s="24"/>
      <c r="K176" s="24"/>
      <c r="L176" s="25"/>
    </row>
    <row r="177" spans="1:12" ht="16.5" x14ac:dyDescent="0.2">
      <c r="A177" s="24"/>
      <c r="B177" s="24"/>
      <c r="C177" s="24"/>
      <c r="D177" s="24"/>
      <c r="E177" s="24"/>
      <c r="F177" s="24"/>
      <c r="G177" s="24"/>
      <c r="H177" s="24"/>
      <c r="I177" s="24"/>
      <c r="J177" s="24"/>
      <c r="K177" s="24"/>
      <c r="L177" s="25"/>
    </row>
    <row r="178" spans="1:12" ht="16.5" x14ac:dyDescent="0.2">
      <c r="A178" s="24"/>
      <c r="B178" s="24"/>
      <c r="C178" s="24"/>
      <c r="D178" s="24"/>
      <c r="E178" s="24"/>
      <c r="F178" s="24"/>
      <c r="G178" s="24"/>
      <c r="H178" s="24"/>
      <c r="I178" s="24"/>
      <c r="J178" s="24"/>
      <c r="K178" s="24"/>
      <c r="L178" s="25"/>
    </row>
    <row r="179" spans="1:12" ht="16.5" x14ac:dyDescent="0.2">
      <c r="A179" s="24"/>
      <c r="B179" s="24"/>
      <c r="C179" s="24"/>
      <c r="D179" s="24"/>
      <c r="E179" s="24"/>
      <c r="F179" s="24"/>
      <c r="G179" s="24"/>
      <c r="H179" s="24"/>
      <c r="I179" s="24"/>
      <c r="J179" s="24"/>
      <c r="K179" s="24"/>
      <c r="L179" s="25"/>
    </row>
    <row r="180" spans="1:12" ht="16.5" x14ac:dyDescent="0.2">
      <c r="A180" s="24"/>
      <c r="B180" s="24"/>
      <c r="C180" s="24"/>
      <c r="D180" s="24"/>
      <c r="E180" s="24"/>
      <c r="F180" s="24"/>
      <c r="G180" s="24"/>
      <c r="H180" s="24"/>
      <c r="I180" s="24"/>
      <c r="J180" s="24"/>
      <c r="K180" s="24"/>
      <c r="L180" s="25"/>
    </row>
    <row r="181" spans="1:12" ht="16.5" x14ac:dyDescent="0.2">
      <c r="A181" s="24"/>
      <c r="B181" s="24"/>
      <c r="C181" s="24"/>
      <c r="D181" s="24"/>
      <c r="E181" s="24"/>
      <c r="F181" s="24"/>
      <c r="G181" s="24"/>
      <c r="H181" s="24"/>
      <c r="I181" s="24"/>
      <c r="J181" s="24"/>
      <c r="K181" s="24"/>
      <c r="L181" s="25"/>
    </row>
    <row r="182" spans="1:12" ht="16.5" x14ac:dyDescent="0.2">
      <c r="A182" s="24"/>
      <c r="B182" s="24"/>
      <c r="C182" s="24"/>
      <c r="D182" s="24"/>
      <c r="E182" s="24"/>
      <c r="F182" s="24"/>
      <c r="G182" s="24"/>
      <c r="H182" s="24"/>
      <c r="I182" s="24"/>
      <c r="J182" s="24"/>
      <c r="K182" s="24"/>
      <c r="L182" s="25"/>
    </row>
    <row r="183" spans="1:12" ht="16.5" x14ac:dyDescent="0.2">
      <c r="A183" s="24"/>
      <c r="B183" s="24"/>
      <c r="C183" s="24"/>
      <c r="D183" s="24"/>
      <c r="E183" s="24"/>
      <c r="F183" s="24"/>
      <c r="G183" s="24"/>
      <c r="H183" s="24"/>
      <c r="I183" s="24"/>
      <c r="J183" s="24"/>
      <c r="K183" s="24"/>
      <c r="L183" s="25"/>
    </row>
    <row r="184" spans="1:12" ht="16.5" x14ac:dyDescent="0.2">
      <c r="A184" s="24"/>
      <c r="B184" s="24"/>
      <c r="C184" s="24"/>
      <c r="D184" s="24"/>
      <c r="E184" s="24"/>
      <c r="F184" s="24"/>
      <c r="G184" s="24"/>
      <c r="H184" s="24"/>
      <c r="I184" s="24"/>
      <c r="J184" s="24"/>
      <c r="K184" s="24"/>
      <c r="L184" s="25"/>
    </row>
    <row r="185" spans="1:12" ht="16.5" x14ac:dyDescent="0.2">
      <c r="A185" s="24"/>
      <c r="B185" s="24"/>
      <c r="C185" s="24"/>
      <c r="D185" s="24"/>
      <c r="E185" s="24"/>
      <c r="F185" s="24"/>
      <c r="G185" s="24"/>
      <c r="H185" s="24"/>
      <c r="I185" s="24"/>
      <c r="J185" s="24"/>
      <c r="K185" s="24"/>
      <c r="L185" s="25"/>
    </row>
    <row r="186" spans="1:12" ht="16.5" x14ac:dyDescent="0.2">
      <c r="A186" s="24"/>
      <c r="B186" s="24"/>
      <c r="C186" s="24"/>
      <c r="D186" s="24"/>
      <c r="E186" s="24"/>
      <c r="F186" s="24"/>
      <c r="G186" s="24"/>
      <c r="H186" s="24"/>
      <c r="I186" s="24"/>
      <c r="J186" s="24"/>
      <c r="K186" s="24"/>
      <c r="L186" s="25"/>
    </row>
    <row r="187" spans="1:12" ht="16.5" x14ac:dyDescent="0.2">
      <c r="A187" s="24"/>
      <c r="B187" s="24"/>
      <c r="C187" s="24"/>
      <c r="D187" s="24"/>
      <c r="E187" s="24"/>
      <c r="F187" s="24"/>
      <c r="G187" s="24"/>
      <c r="H187" s="24"/>
      <c r="I187" s="24"/>
      <c r="J187" s="24"/>
      <c r="K187" s="24"/>
      <c r="L187" s="25"/>
    </row>
    <row r="188" spans="1:12" ht="16.5" x14ac:dyDescent="0.2">
      <c r="A188" s="24"/>
      <c r="B188" s="24"/>
      <c r="C188" s="24"/>
      <c r="D188" s="24"/>
      <c r="E188" s="24"/>
      <c r="F188" s="24"/>
      <c r="G188" s="24"/>
      <c r="H188" s="24"/>
      <c r="I188" s="24"/>
      <c r="J188" s="24"/>
      <c r="K188" s="24"/>
      <c r="L188" s="25"/>
    </row>
    <row r="189" spans="1:12" ht="16.5" x14ac:dyDescent="0.2">
      <c r="A189" s="24"/>
      <c r="B189" s="24"/>
      <c r="C189" s="24"/>
      <c r="D189" s="24"/>
      <c r="E189" s="24"/>
      <c r="F189" s="24"/>
      <c r="G189" s="24"/>
      <c r="H189" s="24"/>
      <c r="I189" s="24"/>
      <c r="J189" s="24"/>
      <c r="K189" s="24"/>
      <c r="L189" s="25"/>
    </row>
    <row r="190" spans="1:12" ht="16.5" x14ac:dyDescent="0.2">
      <c r="A190" s="24"/>
      <c r="B190" s="24"/>
      <c r="C190" s="24"/>
      <c r="D190" s="24"/>
      <c r="E190" s="24"/>
      <c r="F190" s="24"/>
      <c r="G190" s="24"/>
      <c r="H190" s="24"/>
      <c r="I190" s="24"/>
      <c r="J190" s="24"/>
      <c r="K190" s="24"/>
      <c r="L190" s="25"/>
    </row>
    <row r="191" spans="1:12" ht="16.5" x14ac:dyDescent="0.2">
      <c r="A191" s="24"/>
      <c r="B191" s="24"/>
      <c r="C191" s="24"/>
      <c r="D191" s="24"/>
      <c r="E191" s="24"/>
      <c r="F191" s="24"/>
      <c r="G191" s="24"/>
      <c r="H191" s="24"/>
      <c r="I191" s="24"/>
      <c r="J191" s="24"/>
      <c r="K191" s="24"/>
      <c r="L191" s="25"/>
    </row>
    <row r="192" spans="1:12" ht="16.5" x14ac:dyDescent="0.2">
      <c r="A192" s="24"/>
      <c r="B192" s="24"/>
      <c r="C192" s="24"/>
      <c r="D192" s="24"/>
      <c r="E192" s="24"/>
      <c r="F192" s="24"/>
      <c r="G192" s="24"/>
      <c r="H192" s="24"/>
      <c r="I192" s="24"/>
      <c r="J192" s="24"/>
      <c r="K192" s="24"/>
      <c r="L192" s="25"/>
    </row>
    <row r="193" spans="1:12" ht="16.5" x14ac:dyDescent="0.2">
      <c r="A193" s="24"/>
      <c r="B193" s="24"/>
      <c r="C193" s="24"/>
      <c r="D193" s="24"/>
      <c r="E193" s="24"/>
      <c r="F193" s="24"/>
      <c r="G193" s="24"/>
      <c r="H193" s="24"/>
      <c r="I193" s="24"/>
      <c r="J193" s="24"/>
      <c r="K193" s="24"/>
      <c r="L193" s="25"/>
    </row>
    <row r="194" spans="1:12" ht="16.5" x14ac:dyDescent="0.2">
      <c r="A194" s="24"/>
      <c r="B194" s="24"/>
      <c r="C194" s="24"/>
      <c r="D194" s="24"/>
      <c r="E194" s="24"/>
      <c r="F194" s="24"/>
      <c r="G194" s="24"/>
      <c r="H194" s="24"/>
      <c r="I194" s="24"/>
      <c r="J194" s="24"/>
      <c r="K194" s="24"/>
      <c r="L194" s="25"/>
    </row>
    <row r="195" spans="1:12" ht="16.5" x14ac:dyDescent="0.2">
      <c r="A195" s="24"/>
      <c r="B195" s="24"/>
      <c r="C195" s="24"/>
      <c r="D195" s="24"/>
      <c r="E195" s="24"/>
      <c r="F195" s="24"/>
      <c r="G195" s="24"/>
      <c r="H195" s="24"/>
      <c r="I195" s="24"/>
      <c r="J195" s="24"/>
      <c r="K195" s="24"/>
      <c r="L195" s="25"/>
    </row>
    <row r="196" spans="1:12" ht="16.5" x14ac:dyDescent="0.2">
      <c r="A196" s="24"/>
      <c r="B196" s="24"/>
      <c r="C196" s="24"/>
      <c r="D196" s="24"/>
      <c r="E196" s="24"/>
      <c r="F196" s="24"/>
      <c r="G196" s="24"/>
      <c r="H196" s="24"/>
      <c r="I196" s="24"/>
      <c r="J196" s="24"/>
      <c r="K196" s="24"/>
      <c r="L196" s="25"/>
    </row>
    <row r="197" spans="1:12" ht="16.5" x14ac:dyDescent="0.2">
      <c r="A197" s="24"/>
      <c r="B197" s="24"/>
      <c r="C197" s="24"/>
      <c r="D197" s="24"/>
      <c r="E197" s="24"/>
      <c r="F197" s="24"/>
      <c r="G197" s="24"/>
      <c r="H197" s="24"/>
      <c r="I197" s="24"/>
      <c r="J197" s="24"/>
      <c r="K197" s="24"/>
      <c r="L197" s="25"/>
    </row>
    <row r="198" spans="1:12" ht="16.5" x14ac:dyDescent="0.2">
      <c r="A198" s="24"/>
      <c r="B198" s="24"/>
      <c r="C198" s="24"/>
      <c r="D198" s="24"/>
      <c r="E198" s="24"/>
      <c r="F198" s="24"/>
      <c r="G198" s="24"/>
      <c r="H198" s="24"/>
      <c r="I198" s="24"/>
      <c r="J198" s="24"/>
      <c r="K198" s="24"/>
      <c r="L198" s="25"/>
    </row>
    <row r="199" spans="1:12" ht="16.5" x14ac:dyDescent="0.2">
      <c r="A199" s="24"/>
      <c r="B199" s="24"/>
      <c r="C199" s="24"/>
      <c r="D199" s="24"/>
      <c r="E199" s="24"/>
      <c r="F199" s="24"/>
      <c r="G199" s="24"/>
      <c r="H199" s="24"/>
      <c r="I199" s="24"/>
      <c r="J199" s="24"/>
      <c r="K199" s="24"/>
      <c r="L199" s="25"/>
    </row>
    <row r="200" spans="1:12" ht="16.5" x14ac:dyDescent="0.2">
      <c r="A200" s="24"/>
      <c r="B200" s="24"/>
      <c r="C200" s="24"/>
      <c r="D200" s="24"/>
      <c r="E200" s="24"/>
      <c r="F200" s="24"/>
      <c r="G200" s="24"/>
      <c r="H200" s="24"/>
      <c r="I200" s="24"/>
      <c r="J200" s="24"/>
      <c r="K200" s="24"/>
      <c r="L200" s="25"/>
    </row>
    <row r="201" spans="1:12" ht="16.5" x14ac:dyDescent="0.2">
      <c r="A201" s="24"/>
      <c r="B201" s="24"/>
      <c r="C201" s="24"/>
      <c r="D201" s="24"/>
      <c r="E201" s="24"/>
      <c r="F201" s="24"/>
      <c r="G201" s="24"/>
      <c r="H201" s="24"/>
      <c r="I201" s="24"/>
      <c r="J201" s="24"/>
      <c r="K201" s="24"/>
      <c r="L201" s="25"/>
    </row>
    <row r="202" spans="1:12" ht="16.5" x14ac:dyDescent="0.2">
      <c r="A202" s="24"/>
      <c r="B202" s="24"/>
      <c r="C202" s="24"/>
      <c r="D202" s="24"/>
      <c r="E202" s="24"/>
      <c r="F202" s="24"/>
      <c r="G202" s="24"/>
      <c r="H202" s="24"/>
      <c r="I202" s="24"/>
      <c r="J202" s="24"/>
      <c r="K202" s="24"/>
      <c r="L202" s="25"/>
    </row>
    <row r="203" spans="1:12" ht="16.5" x14ac:dyDescent="0.2">
      <c r="A203" s="24"/>
      <c r="B203" s="24"/>
      <c r="C203" s="24"/>
      <c r="D203" s="24"/>
      <c r="E203" s="24"/>
      <c r="F203" s="24"/>
      <c r="G203" s="24"/>
      <c r="H203" s="24"/>
      <c r="I203" s="24"/>
      <c r="J203" s="24"/>
      <c r="K203" s="24"/>
      <c r="L203" s="25"/>
    </row>
    <row r="204" spans="1:12" ht="16.5" x14ac:dyDescent="0.2">
      <c r="A204" s="24"/>
      <c r="B204" s="24"/>
      <c r="C204" s="24"/>
      <c r="D204" s="24"/>
      <c r="E204" s="24"/>
      <c r="F204" s="24"/>
      <c r="G204" s="24"/>
      <c r="H204" s="24"/>
      <c r="I204" s="24"/>
      <c r="J204" s="24"/>
      <c r="K204" s="24"/>
      <c r="L204" s="25"/>
    </row>
    <row r="205" spans="1:12" ht="16.5" x14ac:dyDescent="0.2">
      <c r="A205" s="24"/>
      <c r="B205" s="24"/>
      <c r="C205" s="24"/>
      <c r="D205" s="24"/>
      <c r="E205" s="24"/>
      <c r="F205" s="24"/>
      <c r="G205" s="24"/>
      <c r="H205" s="24"/>
      <c r="I205" s="24"/>
      <c r="J205" s="24"/>
      <c r="K205" s="24"/>
      <c r="L205" s="25"/>
    </row>
    <row r="206" spans="1:12" ht="16.5" x14ac:dyDescent="0.2">
      <c r="A206" s="24"/>
      <c r="B206" s="24"/>
      <c r="C206" s="24"/>
      <c r="D206" s="24"/>
      <c r="E206" s="24"/>
      <c r="F206" s="24"/>
      <c r="G206" s="24"/>
      <c r="H206" s="24"/>
      <c r="I206" s="24"/>
      <c r="J206" s="24"/>
      <c r="K206" s="24"/>
      <c r="L206" s="25"/>
    </row>
    <row r="207" spans="1:12" ht="16.5" x14ac:dyDescent="0.2">
      <c r="A207" s="24"/>
      <c r="B207" s="24"/>
      <c r="C207" s="24"/>
      <c r="D207" s="24"/>
      <c r="E207" s="24"/>
      <c r="F207" s="24"/>
      <c r="G207" s="24"/>
      <c r="H207" s="24"/>
      <c r="I207" s="24"/>
      <c r="J207" s="24"/>
      <c r="K207" s="24"/>
      <c r="L207" s="25"/>
    </row>
    <row r="208" spans="1:12" ht="16.5" x14ac:dyDescent="0.2">
      <c r="A208" s="24"/>
      <c r="B208" s="24"/>
      <c r="C208" s="24"/>
      <c r="D208" s="24"/>
      <c r="E208" s="24"/>
      <c r="F208" s="24"/>
      <c r="G208" s="24"/>
      <c r="H208" s="24"/>
      <c r="I208" s="24"/>
      <c r="J208" s="24"/>
      <c r="K208" s="24"/>
      <c r="L208" s="25"/>
    </row>
    <row r="209" spans="1:12" ht="16.5" x14ac:dyDescent="0.2">
      <c r="A209" s="24"/>
      <c r="B209" s="24"/>
      <c r="C209" s="24"/>
      <c r="D209" s="24"/>
      <c r="E209" s="24"/>
      <c r="F209" s="24"/>
      <c r="G209" s="24"/>
      <c r="H209" s="24"/>
      <c r="I209" s="24"/>
      <c r="J209" s="24"/>
      <c r="K209" s="24"/>
      <c r="L209" s="25"/>
    </row>
    <row r="210" spans="1:12" ht="16.5" x14ac:dyDescent="0.2">
      <c r="A210" s="24"/>
      <c r="B210" s="24"/>
      <c r="C210" s="24"/>
      <c r="D210" s="24"/>
      <c r="E210" s="24"/>
      <c r="F210" s="24"/>
      <c r="G210" s="24"/>
      <c r="H210" s="24"/>
      <c r="I210" s="24"/>
      <c r="J210" s="24"/>
      <c r="K210" s="24"/>
      <c r="L210" s="25"/>
    </row>
    <row r="211" spans="1:12" ht="16.5" x14ac:dyDescent="0.2">
      <c r="A211" s="24"/>
      <c r="B211" s="24"/>
      <c r="C211" s="24"/>
      <c r="D211" s="24"/>
      <c r="E211" s="24"/>
      <c r="F211" s="24"/>
      <c r="G211" s="24"/>
      <c r="H211" s="24"/>
      <c r="I211" s="24"/>
      <c r="J211" s="24"/>
      <c r="K211" s="24"/>
      <c r="L211" s="25"/>
    </row>
    <row r="212" spans="1:12" ht="16.5" x14ac:dyDescent="0.2">
      <c r="A212" s="24"/>
      <c r="B212" s="24"/>
      <c r="C212" s="24"/>
      <c r="D212" s="24"/>
      <c r="E212" s="24"/>
      <c r="F212" s="24"/>
      <c r="G212" s="24"/>
      <c r="H212" s="24"/>
      <c r="I212" s="24"/>
      <c r="J212" s="24"/>
      <c r="K212" s="24"/>
      <c r="L212" s="25"/>
    </row>
    <row r="213" spans="1:12" ht="16.5" x14ac:dyDescent="0.2">
      <c r="A213" s="24"/>
      <c r="B213" s="24"/>
      <c r="C213" s="24"/>
      <c r="D213" s="24"/>
      <c r="E213" s="24"/>
      <c r="F213" s="24"/>
      <c r="G213" s="24"/>
      <c r="H213" s="24"/>
      <c r="I213" s="24"/>
      <c r="J213" s="24"/>
      <c r="K213" s="24"/>
      <c r="L213" s="25"/>
    </row>
    <row r="214" spans="1:12" ht="16.5" x14ac:dyDescent="0.2">
      <c r="A214" s="24"/>
      <c r="B214" s="24"/>
      <c r="C214" s="24"/>
      <c r="D214" s="24"/>
      <c r="E214" s="24"/>
      <c r="F214" s="24"/>
      <c r="G214" s="24"/>
      <c r="H214" s="24"/>
      <c r="I214" s="24"/>
      <c r="J214" s="24"/>
      <c r="K214" s="24"/>
      <c r="L214" s="25"/>
    </row>
    <row r="215" spans="1:12" ht="16.5" x14ac:dyDescent="0.2">
      <c r="A215" s="24"/>
      <c r="B215" s="24"/>
      <c r="C215" s="24"/>
      <c r="D215" s="24"/>
      <c r="E215" s="24"/>
      <c r="F215" s="24"/>
      <c r="G215" s="24"/>
      <c r="H215" s="24"/>
      <c r="I215" s="24"/>
      <c r="J215" s="24"/>
      <c r="K215" s="24"/>
      <c r="L215" s="25"/>
    </row>
    <row r="216" spans="1:12" ht="16.5" x14ac:dyDescent="0.2">
      <c r="A216" s="24"/>
      <c r="B216" s="24"/>
      <c r="C216" s="24"/>
      <c r="D216" s="24"/>
      <c r="E216" s="24"/>
      <c r="F216" s="24"/>
      <c r="G216" s="24"/>
      <c r="H216" s="24"/>
      <c r="I216" s="24"/>
      <c r="J216" s="24"/>
      <c r="K216" s="24"/>
      <c r="L216" s="25"/>
    </row>
    <row r="217" spans="1:12" ht="16.5" x14ac:dyDescent="0.2">
      <c r="A217" s="24"/>
      <c r="B217" s="24"/>
      <c r="C217" s="24"/>
      <c r="D217" s="24"/>
      <c r="E217" s="24"/>
      <c r="F217" s="24"/>
      <c r="G217" s="24"/>
      <c r="H217" s="24"/>
      <c r="I217" s="24"/>
      <c r="J217" s="24"/>
      <c r="K217" s="24"/>
      <c r="L217" s="25"/>
    </row>
    <row r="218" spans="1:12" ht="16.5" x14ac:dyDescent="0.2">
      <c r="A218" s="24"/>
      <c r="B218" s="24"/>
      <c r="C218" s="24"/>
      <c r="D218" s="24"/>
      <c r="E218" s="24"/>
      <c r="F218" s="24"/>
      <c r="G218" s="24"/>
      <c r="H218" s="24"/>
      <c r="I218" s="24"/>
      <c r="J218" s="24"/>
      <c r="K218" s="24"/>
      <c r="L218" s="25"/>
    </row>
    <row r="219" spans="1:12" ht="16.5" x14ac:dyDescent="0.2">
      <c r="A219" s="24"/>
      <c r="B219" s="24"/>
      <c r="C219" s="24"/>
      <c r="D219" s="24"/>
      <c r="E219" s="24"/>
      <c r="F219" s="24"/>
      <c r="G219" s="24"/>
      <c r="H219" s="24"/>
      <c r="I219" s="24"/>
      <c r="J219" s="24"/>
      <c r="K219" s="24"/>
      <c r="L219" s="25"/>
    </row>
    <row r="220" spans="1:12" ht="16.5" x14ac:dyDescent="0.2">
      <c r="A220" s="24"/>
      <c r="B220" s="24"/>
      <c r="C220" s="24"/>
      <c r="D220" s="24"/>
      <c r="E220" s="24"/>
      <c r="F220" s="24"/>
      <c r="G220" s="24"/>
      <c r="H220" s="24"/>
      <c r="I220" s="24"/>
      <c r="J220" s="24"/>
      <c r="K220" s="24"/>
      <c r="L220" s="25"/>
    </row>
    <row r="221" spans="1:12" ht="16.5" x14ac:dyDescent="0.2">
      <c r="A221" s="24"/>
      <c r="B221" s="24"/>
      <c r="C221" s="24"/>
      <c r="D221" s="24"/>
      <c r="E221" s="24"/>
      <c r="F221" s="24"/>
      <c r="G221" s="24"/>
      <c r="H221" s="24"/>
      <c r="I221" s="24"/>
      <c r="J221" s="24"/>
      <c r="K221" s="24"/>
      <c r="L221" s="25"/>
    </row>
    <row r="222" spans="1:12" ht="16.5" x14ac:dyDescent="0.2">
      <c r="A222" s="24"/>
      <c r="B222" s="24"/>
      <c r="C222" s="24"/>
      <c r="D222" s="24"/>
      <c r="E222" s="24"/>
      <c r="F222" s="24"/>
      <c r="G222" s="24"/>
      <c r="H222" s="24"/>
      <c r="I222" s="24"/>
      <c r="J222" s="24"/>
      <c r="K222" s="24"/>
      <c r="L222" s="25"/>
    </row>
    <row r="223" spans="1:12" ht="16.5" x14ac:dyDescent="0.2">
      <c r="A223" s="24"/>
      <c r="B223" s="24"/>
      <c r="C223" s="24"/>
      <c r="D223" s="24"/>
      <c r="E223" s="24"/>
      <c r="F223" s="24"/>
      <c r="G223" s="24"/>
      <c r="H223" s="24"/>
      <c r="I223" s="24"/>
      <c r="J223" s="24"/>
      <c r="K223" s="24"/>
      <c r="L223" s="25"/>
    </row>
    <row r="224" spans="1:12" ht="16.5" x14ac:dyDescent="0.2">
      <c r="A224" s="24"/>
      <c r="B224" s="24"/>
      <c r="C224" s="24"/>
      <c r="D224" s="24"/>
      <c r="E224" s="24"/>
      <c r="F224" s="24"/>
      <c r="G224" s="24"/>
      <c r="H224" s="24"/>
      <c r="I224" s="24"/>
      <c r="J224" s="24"/>
      <c r="K224" s="24"/>
      <c r="L224" s="25"/>
    </row>
    <row r="225" spans="1:12" ht="16.5" x14ac:dyDescent="0.2">
      <c r="A225" s="24"/>
      <c r="B225" s="24"/>
      <c r="C225" s="24"/>
      <c r="D225" s="24"/>
      <c r="E225" s="24"/>
      <c r="F225" s="24"/>
      <c r="G225" s="24"/>
      <c r="H225" s="24"/>
      <c r="I225" s="24"/>
      <c r="J225" s="24"/>
      <c r="K225" s="24"/>
      <c r="L225" s="25"/>
    </row>
    <row r="226" spans="1:12" ht="16.5" x14ac:dyDescent="0.2">
      <c r="A226" s="24"/>
      <c r="B226" s="24"/>
      <c r="C226" s="24"/>
      <c r="D226" s="24"/>
      <c r="E226" s="24"/>
      <c r="F226" s="24"/>
      <c r="G226" s="24"/>
      <c r="H226" s="24"/>
      <c r="I226" s="24"/>
      <c r="J226" s="24"/>
      <c r="K226" s="24"/>
      <c r="L226" s="25"/>
    </row>
    <row r="227" spans="1:12" ht="16.5" x14ac:dyDescent="0.2">
      <c r="A227" s="24"/>
      <c r="B227" s="24"/>
      <c r="C227" s="24"/>
      <c r="D227" s="24"/>
      <c r="E227" s="24"/>
      <c r="F227" s="24"/>
      <c r="G227" s="24"/>
      <c r="H227" s="24"/>
      <c r="I227" s="24"/>
      <c r="J227" s="24"/>
      <c r="K227" s="24"/>
      <c r="L227" s="25"/>
    </row>
    <row r="228" spans="1:12" ht="16.5" x14ac:dyDescent="0.2">
      <c r="A228" s="24"/>
      <c r="B228" s="24"/>
      <c r="C228" s="24"/>
      <c r="D228" s="24"/>
      <c r="E228" s="24"/>
      <c r="F228" s="24"/>
      <c r="G228" s="24"/>
      <c r="H228" s="24"/>
      <c r="I228" s="24"/>
      <c r="J228" s="24"/>
      <c r="K228" s="24"/>
      <c r="L228" s="25"/>
    </row>
    <row r="229" spans="1:12" ht="16.5" x14ac:dyDescent="0.2">
      <c r="A229" s="24"/>
      <c r="B229" s="24"/>
      <c r="C229" s="24"/>
      <c r="D229" s="24"/>
      <c r="E229" s="24"/>
      <c r="F229" s="24"/>
      <c r="G229" s="24"/>
      <c r="H229" s="24"/>
      <c r="I229" s="24"/>
      <c r="J229" s="24"/>
      <c r="K229" s="24"/>
      <c r="L229" s="25"/>
    </row>
    <row r="230" spans="1:12" ht="16.5" x14ac:dyDescent="0.2">
      <c r="A230" s="24"/>
      <c r="B230" s="24"/>
      <c r="C230" s="24"/>
      <c r="D230" s="24"/>
      <c r="E230" s="24"/>
      <c r="F230" s="24"/>
      <c r="G230" s="24"/>
      <c r="H230" s="24"/>
      <c r="I230" s="24"/>
      <c r="J230" s="24"/>
      <c r="K230" s="24"/>
      <c r="L230" s="25"/>
    </row>
    <row r="231" spans="1:12" ht="16.5" x14ac:dyDescent="0.2">
      <c r="A231" s="24"/>
      <c r="B231" s="24"/>
      <c r="C231" s="24"/>
      <c r="D231" s="24"/>
      <c r="E231" s="24"/>
      <c r="F231" s="24"/>
      <c r="G231" s="24"/>
      <c r="H231" s="24"/>
      <c r="I231" s="24"/>
      <c r="J231" s="24"/>
      <c r="K231" s="24"/>
      <c r="L231" s="25"/>
    </row>
    <row r="232" spans="1:12" ht="16.5" x14ac:dyDescent="0.2">
      <c r="A232" s="24"/>
      <c r="B232" s="24"/>
      <c r="C232" s="24"/>
      <c r="D232" s="24"/>
      <c r="E232" s="24"/>
      <c r="F232" s="24"/>
      <c r="G232" s="24"/>
      <c r="H232" s="24"/>
      <c r="I232" s="24"/>
      <c r="J232" s="24"/>
      <c r="K232" s="24"/>
      <c r="L232" s="25"/>
    </row>
    <row r="233" spans="1:12" ht="16.5" x14ac:dyDescent="0.2">
      <c r="A233" s="24"/>
      <c r="B233" s="24"/>
      <c r="C233" s="24"/>
      <c r="D233" s="24"/>
      <c r="E233" s="24"/>
      <c r="F233" s="24"/>
      <c r="G233" s="24"/>
      <c r="H233" s="24"/>
      <c r="I233" s="24"/>
      <c r="J233" s="24"/>
      <c r="K233" s="24"/>
      <c r="L233" s="25"/>
    </row>
    <row r="234" spans="1:12" ht="16.5" x14ac:dyDescent="0.2">
      <c r="A234" s="24"/>
      <c r="B234" s="24"/>
      <c r="C234" s="24"/>
      <c r="D234" s="24"/>
      <c r="E234" s="24"/>
      <c r="F234" s="24"/>
      <c r="G234" s="24"/>
      <c r="H234" s="24"/>
      <c r="I234" s="24"/>
      <c r="J234" s="24"/>
      <c r="K234" s="24"/>
      <c r="L234" s="25"/>
    </row>
    <row r="235" spans="1:12" ht="16.5" x14ac:dyDescent="0.2">
      <c r="A235" s="24"/>
      <c r="B235" s="24"/>
      <c r="C235" s="24"/>
      <c r="D235" s="24"/>
      <c r="E235" s="24"/>
      <c r="F235" s="24"/>
      <c r="G235" s="24"/>
      <c r="H235" s="24"/>
      <c r="I235" s="24"/>
      <c r="J235" s="24"/>
      <c r="K235" s="24"/>
      <c r="L235" s="25"/>
    </row>
    <row r="236" spans="1:12" ht="16.5" x14ac:dyDescent="0.2">
      <c r="A236" s="24"/>
      <c r="B236" s="24"/>
      <c r="C236" s="24"/>
      <c r="D236" s="24"/>
      <c r="E236" s="24"/>
      <c r="F236" s="24"/>
      <c r="G236" s="24"/>
      <c r="H236" s="24"/>
      <c r="I236" s="24"/>
      <c r="J236" s="24"/>
      <c r="K236" s="24"/>
      <c r="L236" s="25"/>
    </row>
    <row r="237" spans="1:12" ht="16.5" x14ac:dyDescent="0.2">
      <c r="A237" s="24"/>
      <c r="B237" s="24"/>
      <c r="C237" s="24"/>
      <c r="D237" s="24"/>
      <c r="E237" s="24"/>
      <c r="F237" s="24"/>
      <c r="G237" s="24"/>
      <c r="H237" s="24"/>
      <c r="I237" s="24"/>
      <c r="J237" s="24"/>
      <c r="K237" s="24"/>
      <c r="L237" s="25"/>
    </row>
    <row r="238" spans="1:12" ht="16.5" x14ac:dyDescent="0.2">
      <c r="A238" s="24"/>
      <c r="B238" s="24"/>
      <c r="C238" s="24"/>
      <c r="D238" s="24"/>
      <c r="E238" s="24"/>
      <c r="F238" s="24"/>
      <c r="G238" s="24"/>
      <c r="H238" s="24"/>
      <c r="I238" s="24"/>
      <c r="J238" s="24"/>
      <c r="K238" s="24"/>
      <c r="L238" s="25"/>
    </row>
    <row r="239" spans="1:12" ht="16.5" x14ac:dyDescent="0.2">
      <c r="A239" s="24"/>
      <c r="B239" s="24"/>
      <c r="C239" s="24"/>
      <c r="D239" s="24"/>
      <c r="E239" s="24"/>
      <c r="F239" s="24"/>
      <c r="G239" s="24"/>
      <c r="H239" s="24"/>
      <c r="I239" s="24"/>
      <c r="J239" s="24"/>
      <c r="K239" s="24"/>
      <c r="L239" s="25"/>
    </row>
    <row r="240" spans="1:12" ht="16.5" x14ac:dyDescent="0.2">
      <c r="A240" s="24"/>
      <c r="B240" s="24"/>
      <c r="C240" s="24"/>
      <c r="D240" s="24"/>
      <c r="E240" s="24"/>
      <c r="F240" s="24"/>
      <c r="G240" s="24"/>
      <c r="H240" s="24"/>
      <c r="I240" s="24"/>
      <c r="J240" s="24"/>
      <c r="K240" s="24"/>
      <c r="L240" s="25"/>
    </row>
    <row r="241" spans="1:12" ht="16.5" x14ac:dyDescent="0.2">
      <c r="A241" s="24"/>
      <c r="B241" s="24"/>
      <c r="C241" s="24"/>
      <c r="D241" s="24"/>
      <c r="E241" s="24"/>
      <c r="F241" s="24"/>
      <c r="G241" s="24"/>
      <c r="H241" s="24"/>
      <c r="I241" s="24"/>
      <c r="J241" s="24"/>
      <c r="K241" s="24"/>
      <c r="L241" s="25"/>
    </row>
    <row r="242" spans="1:12" ht="16.5" x14ac:dyDescent="0.2">
      <c r="A242" s="24"/>
      <c r="B242" s="24"/>
      <c r="C242" s="24"/>
      <c r="D242" s="24"/>
      <c r="E242" s="24"/>
      <c r="F242" s="24"/>
      <c r="G242" s="24"/>
      <c r="H242" s="24"/>
      <c r="I242" s="24"/>
      <c r="J242" s="24"/>
      <c r="K242" s="24"/>
      <c r="L242" s="25"/>
    </row>
    <row r="243" spans="1:12" ht="16.5" x14ac:dyDescent="0.2">
      <c r="A243" s="24"/>
      <c r="B243" s="24"/>
      <c r="C243" s="24"/>
      <c r="D243" s="24"/>
      <c r="E243" s="24"/>
      <c r="F243" s="24"/>
      <c r="G243" s="24"/>
      <c r="H243" s="24"/>
      <c r="I243" s="24"/>
      <c r="J243" s="24"/>
      <c r="K243" s="24"/>
      <c r="L243" s="25"/>
    </row>
    <row r="244" spans="1:12" ht="16.5" x14ac:dyDescent="0.2">
      <c r="A244" s="24"/>
      <c r="B244" s="24"/>
      <c r="C244" s="24"/>
      <c r="D244" s="24"/>
      <c r="E244" s="24"/>
      <c r="F244" s="24"/>
      <c r="G244" s="24"/>
      <c r="H244" s="24"/>
      <c r="I244" s="24"/>
      <c r="J244" s="24"/>
      <c r="K244" s="24"/>
      <c r="L244" s="25"/>
    </row>
    <row r="245" spans="1:12" ht="16.5" x14ac:dyDescent="0.2">
      <c r="A245" s="24"/>
      <c r="B245" s="24"/>
      <c r="C245" s="24"/>
      <c r="D245" s="24"/>
      <c r="E245" s="24"/>
      <c r="F245" s="24"/>
      <c r="G245" s="24"/>
      <c r="H245" s="24"/>
      <c r="I245" s="24"/>
      <c r="J245" s="24"/>
      <c r="K245" s="24"/>
      <c r="L245" s="25"/>
    </row>
    <row r="246" spans="1:12" ht="16.5" x14ac:dyDescent="0.2">
      <c r="A246" s="24"/>
      <c r="B246" s="24"/>
      <c r="C246" s="24"/>
      <c r="D246" s="24"/>
      <c r="E246" s="24"/>
      <c r="F246" s="24"/>
      <c r="G246" s="24"/>
      <c r="H246" s="24"/>
      <c r="I246" s="24"/>
      <c r="J246" s="24"/>
      <c r="K246" s="24"/>
      <c r="L246" s="25"/>
    </row>
    <row r="247" spans="1:12" ht="16.5" x14ac:dyDescent="0.2">
      <c r="A247" s="24"/>
      <c r="B247" s="24"/>
      <c r="C247" s="24"/>
      <c r="D247" s="24"/>
      <c r="E247" s="24"/>
      <c r="F247" s="24"/>
      <c r="G247" s="24"/>
      <c r="H247" s="24"/>
      <c r="I247" s="24"/>
      <c r="J247" s="24"/>
      <c r="K247" s="24"/>
      <c r="L247" s="25"/>
    </row>
    <row r="248" spans="1:12" ht="16.5" x14ac:dyDescent="0.2">
      <c r="A248" s="24"/>
      <c r="B248" s="24"/>
      <c r="C248" s="24"/>
      <c r="D248" s="24"/>
      <c r="E248" s="24"/>
      <c r="F248" s="24"/>
      <c r="G248" s="24"/>
      <c r="H248" s="24"/>
      <c r="I248" s="24"/>
      <c r="J248" s="24"/>
      <c r="K248" s="24"/>
      <c r="L248" s="25"/>
    </row>
    <row r="249" spans="1:12" ht="16.5" x14ac:dyDescent="0.2">
      <c r="A249" s="24"/>
      <c r="B249" s="24"/>
      <c r="C249" s="24"/>
      <c r="D249" s="24"/>
      <c r="E249" s="24"/>
      <c r="F249" s="24"/>
      <c r="G249" s="24"/>
      <c r="H249" s="24"/>
      <c r="I249" s="24"/>
      <c r="J249" s="24"/>
      <c r="K249" s="24"/>
      <c r="L249" s="25"/>
    </row>
    <row r="250" spans="1:12" ht="16.5" x14ac:dyDescent="0.2">
      <c r="A250" s="24"/>
      <c r="B250" s="24"/>
      <c r="C250" s="24"/>
      <c r="D250" s="24"/>
      <c r="E250" s="24"/>
      <c r="F250" s="24"/>
      <c r="G250" s="24"/>
      <c r="H250" s="24"/>
      <c r="I250" s="24"/>
      <c r="J250" s="24"/>
      <c r="K250" s="24"/>
      <c r="L250" s="25"/>
    </row>
    <row r="251" spans="1:12" ht="16.5" x14ac:dyDescent="0.2">
      <c r="A251" s="24"/>
      <c r="B251" s="24"/>
      <c r="C251" s="24"/>
      <c r="D251" s="24"/>
      <c r="E251" s="24"/>
      <c r="F251" s="24"/>
      <c r="G251" s="24"/>
      <c r="H251" s="24"/>
      <c r="I251" s="24"/>
      <c r="J251" s="24"/>
      <c r="K251" s="24"/>
      <c r="L251" s="25"/>
    </row>
    <row r="252" spans="1:12" ht="16.5" x14ac:dyDescent="0.2">
      <c r="A252" s="24"/>
      <c r="B252" s="24"/>
      <c r="C252" s="24"/>
      <c r="D252" s="24"/>
      <c r="E252" s="24"/>
      <c r="F252" s="24"/>
      <c r="G252" s="24"/>
      <c r="H252" s="24"/>
      <c r="I252" s="24"/>
      <c r="J252" s="24"/>
      <c r="K252" s="24"/>
      <c r="L252" s="25"/>
    </row>
    <row r="253" spans="1:12" ht="16.5" x14ac:dyDescent="0.2">
      <c r="A253" s="24"/>
      <c r="B253" s="24"/>
      <c r="C253" s="24"/>
      <c r="D253" s="24"/>
      <c r="E253" s="24"/>
      <c r="F253" s="24"/>
      <c r="G253" s="24"/>
      <c r="H253" s="24"/>
      <c r="I253" s="24"/>
      <c r="J253" s="24"/>
      <c r="K253" s="24"/>
      <c r="L253" s="25"/>
    </row>
    <row r="254" spans="1:12" ht="16.5" x14ac:dyDescent="0.2">
      <c r="A254" s="24"/>
      <c r="B254" s="24"/>
      <c r="C254" s="24"/>
      <c r="D254" s="24"/>
      <c r="E254" s="24"/>
      <c r="F254" s="24"/>
      <c r="G254" s="24"/>
      <c r="H254" s="24"/>
      <c r="I254" s="24"/>
      <c r="J254" s="24"/>
      <c r="K254" s="24"/>
      <c r="L254" s="25"/>
    </row>
    <row r="255" spans="1:12" ht="16.5" x14ac:dyDescent="0.2">
      <c r="A255" s="24"/>
      <c r="B255" s="24"/>
      <c r="C255" s="24"/>
      <c r="D255" s="24"/>
      <c r="E255" s="24"/>
      <c r="F255" s="24"/>
      <c r="G255" s="24"/>
      <c r="H255" s="24"/>
      <c r="I255" s="24"/>
      <c r="J255" s="24"/>
      <c r="K255" s="24"/>
      <c r="L255" s="25"/>
    </row>
    <row r="256" spans="1:12" ht="16.5" x14ac:dyDescent="0.2">
      <c r="A256" s="24"/>
      <c r="B256" s="24"/>
      <c r="C256" s="24"/>
      <c r="D256" s="24"/>
      <c r="E256" s="24"/>
      <c r="F256" s="24"/>
      <c r="G256" s="24"/>
      <c r="H256" s="24"/>
      <c r="I256" s="24"/>
      <c r="J256" s="24"/>
      <c r="K256" s="24"/>
      <c r="L256" s="25"/>
    </row>
    <row r="257" spans="1:12" ht="16.5" x14ac:dyDescent="0.2">
      <c r="A257" s="24"/>
      <c r="B257" s="24"/>
      <c r="C257" s="24"/>
      <c r="D257" s="24"/>
      <c r="E257" s="24"/>
      <c r="F257" s="24"/>
      <c r="G257" s="24"/>
      <c r="H257" s="24"/>
      <c r="I257" s="24"/>
      <c r="J257" s="24"/>
      <c r="K257" s="24"/>
      <c r="L257" s="25"/>
    </row>
    <row r="258" spans="1:12" ht="16.5" x14ac:dyDescent="0.2">
      <c r="A258" s="24"/>
      <c r="B258" s="24"/>
      <c r="C258" s="24"/>
      <c r="D258" s="24"/>
      <c r="E258" s="24"/>
      <c r="F258" s="24"/>
      <c r="G258" s="24"/>
      <c r="H258" s="24"/>
      <c r="I258" s="24"/>
      <c r="J258" s="24"/>
      <c r="K258" s="24"/>
      <c r="L258" s="25"/>
    </row>
    <row r="259" spans="1:12" ht="16.5" x14ac:dyDescent="0.2">
      <c r="A259" s="24"/>
      <c r="B259" s="24"/>
      <c r="C259" s="24"/>
      <c r="D259" s="24"/>
      <c r="E259" s="24"/>
      <c r="F259" s="24"/>
      <c r="G259" s="24"/>
      <c r="H259" s="24"/>
      <c r="I259" s="24"/>
      <c r="J259" s="24"/>
      <c r="K259" s="24"/>
      <c r="L259" s="25"/>
    </row>
    <row r="260" spans="1:12" ht="16.5" x14ac:dyDescent="0.2">
      <c r="A260" s="24"/>
      <c r="B260" s="24"/>
      <c r="C260" s="24"/>
      <c r="D260" s="24"/>
      <c r="E260" s="24"/>
      <c r="F260" s="24"/>
      <c r="G260" s="24"/>
      <c r="H260" s="24"/>
      <c r="I260" s="24"/>
      <c r="J260" s="24"/>
      <c r="K260" s="24"/>
      <c r="L260" s="25"/>
    </row>
    <row r="261" spans="1:12" ht="16.5" x14ac:dyDescent="0.2">
      <c r="A261" s="24"/>
      <c r="B261" s="24"/>
      <c r="C261" s="24"/>
      <c r="D261" s="24"/>
      <c r="E261" s="24"/>
      <c r="F261" s="24"/>
      <c r="G261" s="24"/>
      <c r="H261" s="24"/>
      <c r="I261" s="24"/>
      <c r="J261" s="24"/>
      <c r="K261" s="24"/>
      <c r="L261" s="25"/>
    </row>
    <row r="262" spans="1:12" ht="16.5" x14ac:dyDescent="0.2">
      <c r="A262" s="24"/>
      <c r="B262" s="24"/>
      <c r="C262" s="24"/>
      <c r="D262" s="24"/>
      <c r="E262" s="24"/>
      <c r="F262" s="24"/>
      <c r="G262" s="24"/>
      <c r="H262" s="24"/>
      <c r="I262" s="24"/>
      <c r="J262" s="24"/>
      <c r="K262" s="24"/>
      <c r="L262" s="25"/>
    </row>
    <row r="263" spans="1:12" ht="16.5" x14ac:dyDescent="0.2">
      <c r="A263" s="24"/>
      <c r="B263" s="24"/>
      <c r="C263" s="24"/>
      <c r="D263" s="24"/>
      <c r="E263" s="24"/>
      <c r="F263" s="24"/>
      <c r="G263" s="24"/>
      <c r="H263" s="24"/>
      <c r="I263" s="24"/>
      <c r="J263" s="24"/>
      <c r="K263" s="24"/>
      <c r="L263" s="25"/>
    </row>
    <row r="264" spans="1:12" ht="16.5" x14ac:dyDescent="0.2">
      <c r="A264" s="24"/>
      <c r="B264" s="24"/>
      <c r="C264" s="24"/>
      <c r="D264" s="24"/>
      <c r="E264" s="24"/>
      <c r="F264" s="24"/>
      <c r="G264" s="24"/>
      <c r="H264" s="24"/>
      <c r="I264" s="24"/>
      <c r="J264" s="24"/>
      <c r="K264" s="24"/>
      <c r="L264" s="25"/>
    </row>
    <row r="265" spans="1:12" ht="16.5" x14ac:dyDescent="0.2">
      <c r="A265" s="24"/>
      <c r="B265" s="24"/>
      <c r="C265" s="24"/>
      <c r="D265" s="24"/>
      <c r="E265" s="24"/>
      <c r="F265" s="24"/>
      <c r="G265" s="24"/>
      <c r="H265" s="24"/>
      <c r="I265" s="24"/>
      <c r="J265" s="24"/>
      <c r="K265" s="24"/>
      <c r="L265" s="25"/>
    </row>
    <row r="266" spans="1:12" ht="16.5" x14ac:dyDescent="0.2">
      <c r="A266" s="24"/>
      <c r="B266" s="24"/>
      <c r="C266" s="24"/>
      <c r="D266" s="24"/>
      <c r="E266" s="24"/>
      <c r="F266" s="24"/>
      <c r="G266" s="24"/>
      <c r="H266" s="24"/>
      <c r="I266" s="24"/>
      <c r="J266" s="24"/>
      <c r="K266" s="24"/>
      <c r="L266" s="25"/>
    </row>
    <row r="267" spans="1:12" ht="16.5" x14ac:dyDescent="0.2">
      <c r="A267" s="24"/>
      <c r="B267" s="24"/>
      <c r="C267" s="24"/>
      <c r="D267" s="24"/>
      <c r="E267" s="24"/>
      <c r="F267" s="24"/>
      <c r="G267" s="24"/>
      <c r="H267" s="24"/>
      <c r="I267" s="24"/>
      <c r="J267" s="24"/>
      <c r="K267" s="24"/>
      <c r="L267" s="26"/>
    </row>
    <row r="268" spans="1:12" ht="16.5" x14ac:dyDescent="0.2">
      <c r="A268" s="24"/>
      <c r="B268" s="24"/>
      <c r="C268" s="24"/>
      <c r="D268" s="24"/>
      <c r="E268" s="24"/>
      <c r="F268" s="24"/>
      <c r="G268" s="24"/>
      <c r="H268" s="24"/>
      <c r="I268" s="24"/>
      <c r="J268" s="24"/>
      <c r="K268" s="24"/>
      <c r="L268" s="26"/>
    </row>
    <row r="269" spans="1:12" ht="16.5" x14ac:dyDescent="0.2">
      <c r="A269" s="24"/>
      <c r="B269" s="24"/>
      <c r="C269" s="24"/>
      <c r="D269" s="24"/>
      <c r="E269" s="24"/>
      <c r="F269" s="24"/>
      <c r="G269" s="24"/>
      <c r="H269" s="24"/>
      <c r="I269" s="24"/>
      <c r="J269" s="24"/>
      <c r="K269" s="24"/>
      <c r="L269" s="26"/>
    </row>
    <row r="270" spans="1:12" ht="16.5" x14ac:dyDescent="0.2">
      <c r="A270" s="24"/>
      <c r="B270" s="24"/>
      <c r="C270" s="24"/>
      <c r="D270" s="24"/>
      <c r="E270" s="24"/>
      <c r="F270" s="24"/>
      <c r="G270" s="24"/>
      <c r="H270" s="24"/>
      <c r="I270" s="24"/>
      <c r="J270" s="24"/>
      <c r="K270" s="24"/>
      <c r="L270" s="26"/>
    </row>
    <row r="271" spans="1:12" ht="16.5" x14ac:dyDescent="0.2">
      <c r="A271" s="24"/>
      <c r="B271" s="24"/>
      <c r="C271" s="24"/>
      <c r="D271" s="24"/>
      <c r="E271" s="24"/>
      <c r="F271" s="24"/>
      <c r="G271" s="24"/>
      <c r="H271" s="24"/>
      <c r="I271" s="24"/>
      <c r="J271" s="24"/>
      <c r="K271" s="24"/>
      <c r="L271" s="26"/>
    </row>
    <row r="272" spans="1:12" ht="16.5" x14ac:dyDescent="0.2">
      <c r="A272" s="24"/>
      <c r="B272" s="24"/>
      <c r="C272" s="24"/>
      <c r="D272" s="24"/>
      <c r="E272" s="24"/>
      <c r="F272" s="24"/>
      <c r="G272" s="24"/>
      <c r="H272" s="24"/>
      <c r="I272" s="24"/>
      <c r="J272" s="24"/>
      <c r="K272" s="24"/>
      <c r="L272" s="26"/>
    </row>
    <row r="273" spans="1:12" ht="16.5" x14ac:dyDescent="0.2">
      <c r="A273" s="24"/>
      <c r="B273" s="24"/>
      <c r="C273" s="24"/>
      <c r="D273" s="24"/>
      <c r="E273" s="24"/>
      <c r="F273" s="24"/>
      <c r="G273" s="24"/>
      <c r="H273" s="24"/>
      <c r="I273" s="24"/>
      <c r="J273" s="24"/>
      <c r="K273" s="24"/>
      <c r="L273" s="26"/>
    </row>
    <row r="274" spans="1:12" ht="16.5" x14ac:dyDescent="0.2">
      <c r="A274" s="24"/>
      <c r="B274" s="24"/>
      <c r="C274" s="24"/>
      <c r="D274" s="24"/>
      <c r="E274" s="24"/>
      <c r="F274" s="24"/>
      <c r="G274" s="24"/>
      <c r="H274" s="24"/>
      <c r="I274" s="24"/>
      <c r="J274" s="24"/>
      <c r="K274" s="24"/>
      <c r="L274" s="26"/>
    </row>
    <row r="275" spans="1:12" ht="16.5" x14ac:dyDescent="0.2">
      <c r="A275" s="24"/>
      <c r="B275" s="24"/>
      <c r="C275" s="24"/>
      <c r="D275" s="24"/>
      <c r="E275" s="24"/>
      <c r="F275" s="24"/>
      <c r="G275" s="24"/>
      <c r="H275" s="24"/>
      <c r="I275" s="24"/>
      <c r="J275" s="24"/>
      <c r="K275" s="24"/>
      <c r="L275" s="26"/>
    </row>
    <row r="276" spans="1:12" ht="16.5" x14ac:dyDescent="0.2">
      <c r="A276" s="24"/>
      <c r="B276" s="24"/>
      <c r="C276" s="24"/>
      <c r="D276" s="24"/>
      <c r="E276" s="24"/>
      <c r="F276" s="24"/>
      <c r="G276" s="24"/>
      <c r="H276" s="24"/>
      <c r="I276" s="24"/>
      <c r="J276" s="24"/>
      <c r="K276" s="24"/>
      <c r="L276" s="26"/>
    </row>
    <row r="277" spans="1:12" ht="16.5" x14ac:dyDescent="0.2">
      <c r="A277" s="24"/>
      <c r="B277" s="24"/>
      <c r="C277" s="24"/>
      <c r="D277" s="24"/>
      <c r="E277" s="24"/>
      <c r="F277" s="24"/>
      <c r="G277" s="24"/>
      <c r="H277" s="24"/>
      <c r="I277" s="24"/>
      <c r="J277" s="24"/>
      <c r="K277" s="24"/>
      <c r="L277" s="26"/>
    </row>
    <row r="278" spans="1:12" ht="16.5" x14ac:dyDescent="0.2">
      <c r="A278" s="24"/>
      <c r="B278" s="24"/>
      <c r="C278" s="24"/>
      <c r="D278" s="24"/>
      <c r="E278" s="24"/>
      <c r="F278" s="24"/>
      <c r="G278" s="24"/>
      <c r="H278" s="24"/>
      <c r="I278" s="24"/>
      <c r="J278" s="24"/>
      <c r="K278" s="24"/>
      <c r="L278" s="26"/>
    </row>
    <row r="279" spans="1:12" ht="16.5" x14ac:dyDescent="0.2">
      <c r="A279" s="24"/>
      <c r="B279" s="24"/>
      <c r="C279" s="24"/>
      <c r="D279" s="24"/>
      <c r="E279" s="24"/>
      <c r="F279" s="24"/>
      <c r="G279" s="24"/>
      <c r="H279" s="24"/>
      <c r="I279" s="24"/>
      <c r="J279" s="24"/>
      <c r="K279" s="24"/>
      <c r="L279" s="26"/>
    </row>
    <row r="280" spans="1:12" ht="16.5" x14ac:dyDescent="0.2">
      <c r="A280" s="24"/>
      <c r="B280" s="24"/>
      <c r="C280" s="24"/>
      <c r="D280" s="24"/>
      <c r="E280" s="24"/>
      <c r="F280" s="24"/>
      <c r="G280" s="24"/>
      <c r="H280" s="24"/>
      <c r="I280" s="24"/>
      <c r="J280" s="24"/>
      <c r="K280" s="24"/>
      <c r="L280" s="26"/>
    </row>
    <row r="281" spans="1:12" ht="16.5" x14ac:dyDescent="0.2">
      <c r="A281" s="24"/>
      <c r="B281" s="24"/>
      <c r="C281" s="24"/>
      <c r="D281" s="24"/>
      <c r="E281" s="24"/>
      <c r="F281" s="24"/>
      <c r="G281" s="24"/>
      <c r="H281" s="24"/>
      <c r="I281" s="24"/>
      <c r="J281" s="24"/>
      <c r="K281" s="24"/>
      <c r="L281" s="26"/>
    </row>
    <row r="282" spans="1:12" ht="16.5" x14ac:dyDescent="0.2">
      <c r="A282" s="24"/>
      <c r="B282" s="24"/>
      <c r="C282" s="24"/>
      <c r="D282" s="24"/>
      <c r="E282" s="24"/>
      <c r="F282" s="24"/>
      <c r="G282" s="24"/>
      <c r="H282" s="24"/>
      <c r="I282" s="24"/>
      <c r="J282" s="24"/>
      <c r="K282" s="24"/>
      <c r="L282" s="26"/>
    </row>
    <row r="283" spans="1:12" ht="16.5" x14ac:dyDescent="0.2">
      <c r="A283" s="24"/>
      <c r="B283" s="24"/>
      <c r="C283" s="24"/>
      <c r="D283" s="24"/>
      <c r="E283" s="24"/>
      <c r="F283" s="24"/>
      <c r="G283" s="24"/>
      <c r="H283" s="24"/>
      <c r="I283" s="24"/>
      <c r="J283" s="24"/>
      <c r="K283" s="24"/>
      <c r="L283" s="26"/>
    </row>
    <row r="284" spans="1:12" ht="16.5" x14ac:dyDescent="0.2">
      <c r="A284" s="24"/>
      <c r="B284" s="24"/>
      <c r="C284" s="24"/>
      <c r="D284" s="24"/>
      <c r="E284" s="24"/>
      <c r="F284" s="24"/>
      <c r="G284" s="24"/>
      <c r="H284" s="24"/>
      <c r="I284" s="24"/>
      <c r="J284" s="24"/>
      <c r="K284" s="24"/>
      <c r="L284" s="26"/>
    </row>
    <row r="285" spans="1:12" ht="16.5" x14ac:dyDescent="0.2">
      <c r="A285" s="24"/>
      <c r="B285" s="24"/>
      <c r="C285" s="24"/>
      <c r="D285" s="24"/>
      <c r="E285" s="24"/>
      <c r="F285" s="24"/>
      <c r="G285" s="24"/>
      <c r="H285" s="24"/>
      <c r="I285" s="24"/>
      <c r="J285" s="24"/>
      <c r="K285" s="24"/>
      <c r="L285" s="26"/>
    </row>
    <row r="286" spans="1:12" ht="16.5" x14ac:dyDescent="0.2">
      <c r="A286" s="24"/>
      <c r="B286" s="24"/>
      <c r="C286" s="24"/>
      <c r="D286" s="24"/>
      <c r="E286" s="24"/>
      <c r="F286" s="24"/>
      <c r="G286" s="24"/>
      <c r="H286" s="24"/>
      <c r="I286" s="24"/>
      <c r="J286" s="24"/>
      <c r="K286" s="24"/>
      <c r="L286" s="26"/>
    </row>
    <row r="287" spans="1:12" ht="16.5" x14ac:dyDescent="0.2">
      <c r="A287" s="24"/>
      <c r="B287" s="24"/>
      <c r="C287" s="24"/>
      <c r="D287" s="24"/>
      <c r="E287" s="24"/>
      <c r="F287" s="24"/>
      <c r="G287" s="24"/>
      <c r="H287" s="24"/>
      <c r="I287" s="24"/>
      <c r="J287" s="24"/>
      <c r="K287" s="24"/>
      <c r="L287" s="26"/>
    </row>
    <row r="288" spans="1:12" ht="16.5" x14ac:dyDescent="0.2">
      <c r="A288" s="24"/>
      <c r="B288" s="24"/>
      <c r="C288" s="24"/>
      <c r="D288" s="24"/>
      <c r="E288" s="24"/>
      <c r="F288" s="24"/>
      <c r="G288" s="24"/>
      <c r="H288" s="24"/>
      <c r="I288" s="24"/>
      <c r="J288" s="24"/>
      <c r="K288" s="24"/>
      <c r="L288" s="26"/>
    </row>
    <row r="289" spans="1:12" ht="16.5" x14ac:dyDescent="0.2">
      <c r="A289" s="24"/>
      <c r="B289" s="24"/>
      <c r="C289" s="24"/>
      <c r="D289" s="24"/>
      <c r="E289" s="24"/>
      <c r="F289" s="24"/>
      <c r="G289" s="24"/>
      <c r="H289" s="24"/>
      <c r="I289" s="24"/>
      <c r="J289" s="24"/>
      <c r="K289" s="24"/>
      <c r="L289" s="26"/>
    </row>
    <row r="290" spans="1:12" ht="16.5" x14ac:dyDescent="0.2">
      <c r="A290" s="24"/>
      <c r="B290" s="24"/>
      <c r="C290" s="24"/>
      <c r="D290" s="24"/>
      <c r="E290" s="24"/>
      <c r="F290" s="24"/>
      <c r="G290" s="24"/>
      <c r="H290" s="24"/>
      <c r="I290" s="24"/>
      <c r="J290" s="24"/>
      <c r="K290" s="24"/>
      <c r="L290" s="26"/>
    </row>
    <row r="291" spans="1:12" ht="16.5" x14ac:dyDescent="0.2">
      <c r="A291" s="24"/>
      <c r="B291" s="24"/>
      <c r="C291" s="24"/>
      <c r="D291" s="24"/>
      <c r="E291" s="24"/>
      <c r="F291" s="24"/>
      <c r="G291" s="24"/>
      <c r="H291" s="24"/>
      <c r="I291" s="24"/>
      <c r="J291" s="24"/>
      <c r="K291" s="24"/>
      <c r="L291" s="26"/>
    </row>
    <row r="292" spans="1:12" ht="16.5" x14ac:dyDescent="0.2">
      <c r="A292" s="24"/>
      <c r="B292" s="24"/>
      <c r="C292" s="24"/>
      <c r="D292" s="24"/>
      <c r="E292" s="24"/>
      <c r="F292" s="24"/>
      <c r="G292" s="24"/>
      <c r="H292" s="24"/>
      <c r="I292" s="24"/>
      <c r="J292" s="24"/>
      <c r="K292" s="24"/>
      <c r="L292" s="26"/>
    </row>
    <row r="293" spans="1:12" ht="16.5" x14ac:dyDescent="0.2">
      <c r="A293" s="24"/>
      <c r="B293" s="24"/>
      <c r="C293" s="24"/>
      <c r="D293" s="24"/>
      <c r="E293" s="24"/>
      <c r="F293" s="24"/>
      <c r="G293" s="24"/>
      <c r="H293" s="24"/>
      <c r="I293" s="24"/>
      <c r="J293" s="24"/>
      <c r="K293" s="24"/>
      <c r="L293" s="26"/>
    </row>
    <row r="294" spans="1:12" ht="16.5" x14ac:dyDescent="0.2">
      <c r="A294" s="24"/>
      <c r="B294" s="24"/>
      <c r="C294" s="24"/>
      <c r="D294" s="24"/>
      <c r="E294" s="24"/>
      <c r="F294" s="24"/>
      <c r="G294" s="24"/>
      <c r="H294" s="24"/>
      <c r="I294" s="24"/>
      <c r="J294" s="24"/>
      <c r="K294" s="24"/>
      <c r="L294" s="26"/>
    </row>
    <row r="295" spans="1:12" ht="16.5" x14ac:dyDescent="0.2">
      <c r="A295" s="24"/>
      <c r="B295" s="24"/>
      <c r="C295" s="24"/>
      <c r="D295" s="24"/>
      <c r="E295" s="24"/>
      <c r="F295" s="24"/>
      <c r="G295" s="24"/>
      <c r="H295" s="24"/>
      <c r="I295" s="24"/>
      <c r="J295" s="24"/>
      <c r="K295" s="24"/>
      <c r="L295" s="26"/>
    </row>
    <row r="296" spans="1:12" ht="16.5" x14ac:dyDescent="0.2">
      <c r="A296" s="24"/>
      <c r="B296" s="24"/>
      <c r="C296" s="24"/>
      <c r="D296" s="24"/>
      <c r="E296" s="24"/>
      <c r="F296" s="24"/>
      <c r="G296" s="24"/>
      <c r="H296" s="24"/>
      <c r="I296" s="24"/>
      <c r="J296" s="24"/>
      <c r="K296" s="24"/>
      <c r="L296" s="26"/>
    </row>
    <row r="297" spans="1:12" ht="16.5" x14ac:dyDescent="0.2">
      <c r="A297" s="24"/>
      <c r="B297" s="24"/>
      <c r="C297" s="24"/>
      <c r="D297" s="24"/>
      <c r="E297" s="24"/>
      <c r="F297" s="24"/>
      <c r="G297" s="24"/>
      <c r="H297" s="24"/>
      <c r="I297" s="24"/>
      <c r="J297" s="24"/>
      <c r="K297" s="24"/>
      <c r="L297" s="26"/>
    </row>
    <row r="298" spans="1:12" ht="16.5" x14ac:dyDescent="0.2">
      <c r="A298" s="24"/>
      <c r="B298" s="24"/>
      <c r="C298" s="24"/>
      <c r="D298" s="24"/>
      <c r="E298" s="24"/>
      <c r="F298" s="24"/>
      <c r="G298" s="24"/>
      <c r="H298" s="24"/>
      <c r="I298" s="24"/>
      <c r="J298" s="24"/>
      <c r="K298" s="24"/>
      <c r="L298" s="26"/>
    </row>
    <row r="299" spans="1:12" ht="16.5" x14ac:dyDescent="0.2">
      <c r="A299" s="24"/>
      <c r="B299" s="24"/>
      <c r="C299" s="24"/>
      <c r="D299" s="24"/>
      <c r="E299" s="24"/>
      <c r="F299" s="24"/>
      <c r="G299" s="24"/>
      <c r="H299" s="24"/>
      <c r="I299" s="24"/>
      <c r="J299" s="24"/>
      <c r="K299" s="24"/>
      <c r="L299" s="26"/>
    </row>
    <row r="300" spans="1:12" ht="16.5" x14ac:dyDescent="0.2">
      <c r="A300" s="24"/>
      <c r="B300" s="24"/>
      <c r="C300" s="24"/>
      <c r="D300" s="24"/>
      <c r="E300" s="24"/>
      <c r="F300" s="24"/>
      <c r="G300" s="24"/>
      <c r="H300" s="24"/>
      <c r="I300" s="24"/>
      <c r="J300" s="24"/>
      <c r="K300" s="24"/>
      <c r="L300" s="26"/>
    </row>
    <row r="301" spans="1:12" ht="16.5" x14ac:dyDescent="0.2">
      <c r="A301" s="24"/>
      <c r="B301" s="24"/>
      <c r="C301" s="24"/>
      <c r="D301" s="24"/>
      <c r="E301" s="24"/>
      <c r="F301" s="24"/>
      <c r="G301" s="24"/>
      <c r="H301" s="24"/>
      <c r="I301" s="24"/>
      <c r="J301" s="24"/>
      <c r="K301" s="24"/>
      <c r="L301" s="26"/>
    </row>
    <row r="302" spans="1:12" ht="16.5" x14ac:dyDescent="0.2">
      <c r="A302" s="24"/>
      <c r="B302" s="24"/>
      <c r="C302" s="24"/>
      <c r="D302" s="24"/>
      <c r="E302" s="24"/>
      <c r="F302" s="24"/>
      <c r="G302" s="24"/>
      <c r="H302" s="24"/>
      <c r="I302" s="24"/>
      <c r="J302" s="24"/>
      <c r="K302" s="24"/>
      <c r="L302" s="26"/>
    </row>
    <row r="303" spans="1:12" ht="16.5" x14ac:dyDescent="0.2">
      <c r="A303" s="24"/>
      <c r="B303" s="24"/>
      <c r="C303" s="24"/>
      <c r="D303" s="24"/>
      <c r="E303" s="24"/>
      <c r="F303" s="24"/>
      <c r="G303" s="24"/>
      <c r="H303" s="24"/>
      <c r="I303" s="24"/>
      <c r="J303" s="24"/>
      <c r="K303" s="24"/>
      <c r="L303" s="26"/>
    </row>
    <row r="304" spans="1:12" ht="16.5" x14ac:dyDescent="0.2">
      <c r="A304" s="24"/>
      <c r="B304" s="24"/>
      <c r="C304" s="24"/>
      <c r="D304" s="24"/>
      <c r="E304" s="24"/>
      <c r="F304" s="24"/>
      <c r="G304" s="24"/>
      <c r="H304" s="24"/>
      <c r="I304" s="24"/>
      <c r="J304" s="24"/>
      <c r="K304" s="24"/>
      <c r="L304" s="26"/>
    </row>
    <row r="305" spans="1:12" ht="16.5" x14ac:dyDescent="0.2">
      <c r="A305" s="24"/>
      <c r="B305" s="24"/>
      <c r="C305" s="24"/>
      <c r="D305" s="24"/>
      <c r="E305" s="24"/>
      <c r="F305" s="24"/>
      <c r="G305" s="24"/>
      <c r="H305" s="24"/>
      <c r="I305" s="24"/>
      <c r="J305" s="24"/>
      <c r="K305" s="24"/>
      <c r="L305" s="26"/>
    </row>
    <row r="306" spans="1:12" ht="16.5" x14ac:dyDescent="0.2">
      <c r="A306" s="24"/>
      <c r="B306" s="24"/>
      <c r="C306" s="24"/>
      <c r="D306" s="24"/>
      <c r="E306" s="24"/>
      <c r="F306" s="24"/>
      <c r="G306" s="24"/>
      <c r="H306" s="24"/>
      <c r="I306" s="24"/>
      <c r="J306" s="24"/>
      <c r="K306" s="24"/>
      <c r="L306" s="26"/>
    </row>
    <row r="307" spans="1:12" ht="16.5" x14ac:dyDescent="0.2">
      <c r="A307" s="24"/>
      <c r="B307" s="24"/>
      <c r="C307" s="24"/>
      <c r="D307" s="24"/>
      <c r="E307" s="24"/>
      <c r="F307" s="24"/>
      <c r="G307" s="24"/>
      <c r="H307" s="24"/>
      <c r="I307" s="24"/>
      <c r="J307" s="24"/>
      <c r="K307" s="24"/>
      <c r="L307" s="26"/>
    </row>
    <row r="308" spans="1:12" ht="16.5" x14ac:dyDescent="0.2">
      <c r="A308" s="24"/>
      <c r="B308" s="24"/>
      <c r="C308" s="24"/>
      <c r="D308" s="24"/>
      <c r="E308" s="24"/>
      <c r="F308" s="24"/>
      <c r="G308" s="24"/>
      <c r="H308" s="24"/>
      <c r="I308" s="24"/>
      <c r="J308" s="24"/>
      <c r="K308" s="24"/>
      <c r="L308" s="26"/>
    </row>
    <row r="309" spans="1:12" ht="16.5" x14ac:dyDescent="0.2">
      <c r="A309" s="24"/>
      <c r="B309" s="24"/>
      <c r="C309" s="24"/>
      <c r="D309" s="24"/>
      <c r="E309" s="24"/>
      <c r="F309" s="24"/>
      <c r="G309" s="24"/>
      <c r="H309" s="24"/>
      <c r="I309" s="24"/>
      <c r="J309" s="24"/>
      <c r="K309" s="24"/>
      <c r="L309" s="26"/>
    </row>
    <row r="310" spans="1:12" ht="16.5" x14ac:dyDescent="0.2">
      <c r="A310" s="24"/>
      <c r="B310" s="24"/>
      <c r="C310" s="24"/>
      <c r="D310" s="24"/>
      <c r="E310" s="24"/>
      <c r="F310" s="24"/>
      <c r="G310" s="24"/>
      <c r="H310" s="24"/>
      <c r="I310" s="24"/>
      <c r="J310" s="24"/>
      <c r="K310" s="24"/>
      <c r="L310" s="26"/>
    </row>
    <row r="311" spans="1:12" ht="16.5" x14ac:dyDescent="0.2">
      <c r="A311" s="24"/>
      <c r="B311" s="24"/>
      <c r="C311" s="24"/>
      <c r="D311" s="24"/>
      <c r="E311" s="24"/>
      <c r="F311" s="24"/>
      <c r="G311" s="24"/>
      <c r="H311" s="24"/>
      <c r="I311" s="24"/>
      <c r="J311" s="24"/>
      <c r="K311" s="24"/>
      <c r="L311" s="26"/>
    </row>
    <row r="312" spans="1:12" ht="16.5" x14ac:dyDescent="0.2">
      <c r="A312" s="24"/>
      <c r="B312" s="24"/>
      <c r="C312" s="24"/>
      <c r="D312" s="24"/>
      <c r="E312" s="24"/>
      <c r="F312" s="24"/>
      <c r="G312" s="24"/>
      <c r="H312" s="24"/>
      <c r="I312" s="24"/>
      <c r="J312" s="24"/>
      <c r="K312" s="24"/>
      <c r="L312" s="26"/>
    </row>
    <row r="313" spans="1:12" ht="16.5" x14ac:dyDescent="0.2">
      <c r="A313" s="24"/>
      <c r="B313" s="24"/>
      <c r="C313" s="24"/>
      <c r="D313" s="24"/>
      <c r="E313" s="24"/>
      <c r="F313" s="24"/>
      <c r="G313" s="24"/>
      <c r="H313" s="24"/>
      <c r="I313" s="24"/>
      <c r="J313" s="24"/>
      <c r="K313" s="24"/>
      <c r="L313" s="26"/>
    </row>
    <row r="314" spans="1:12" ht="16.5" x14ac:dyDescent="0.2">
      <c r="A314" s="24"/>
      <c r="B314" s="24"/>
      <c r="C314" s="24"/>
      <c r="D314" s="24"/>
      <c r="E314" s="24"/>
      <c r="F314" s="24"/>
      <c r="G314" s="24"/>
      <c r="H314" s="24"/>
      <c r="I314" s="24"/>
      <c r="J314" s="24"/>
      <c r="K314" s="24"/>
      <c r="L314" s="26"/>
    </row>
    <row r="315" spans="1:12" ht="16.5" x14ac:dyDescent="0.2">
      <c r="A315" s="24"/>
      <c r="B315" s="24"/>
      <c r="C315" s="24"/>
      <c r="D315" s="24"/>
      <c r="E315" s="24"/>
      <c r="F315" s="24"/>
      <c r="G315" s="24"/>
      <c r="H315" s="24"/>
      <c r="I315" s="24"/>
      <c r="J315" s="24"/>
      <c r="K315" s="24"/>
      <c r="L315" s="26"/>
    </row>
    <row r="316" spans="1:12" ht="16.5" x14ac:dyDescent="0.2">
      <c r="A316" s="24"/>
      <c r="B316" s="24"/>
      <c r="C316" s="24"/>
      <c r="D316" s="24"/>
      <c r="E316" s="24"/>
      <c r="F316" s="24"/>
      <c r="G316" s="24"/>
      <c r="H316" s="24"/>
      <c r="I316" s="24"/>
      <c r="J316" s="24"/>
      <c r="K316" s="24"/>
      <c r="L316" s="26"/>
    </row>
    <row r="317" spans="1:12" ht="16.5" x14ac:dyDescent="0.2">
      <c r="A317" s="24"/>
      <c r="B317" s="24"/>
      <c r="C317" s="24"/>
      <c r="D317" s="24"/>
      <c r="E317" s="24"/>
      <c r="F317" s="24"/>
      <c r="G317" s="24"/>
      <c r="H317" s="24"/>
      <c r="I317" s="24"/>
      <c r="J317" s="24"/>
      <c r="K317" s="24"/>
      <c r="L317" s="26"/>
    </row>
    <row r="318" spans="1:12" ht="16.5" x14ac:dyDescent="0.2">
      <c r="A318" s="24"/>
      <c r="B318" s="24"/>
      <c r="C318" s="24"/>
      <c r="D318" s="24"/>
      <c r="E318" s="24"/>
      <c r="F318" s="24"/>
      <c r="G318" s="24"/>
      <c r="H318" s="24"/>
      <c r="I318" s="24"/>
      <c r="J318" s="24"/>
      <c r="K318" s="24"/>
      <c r="L318" s="26"/>
    </row>
    <row r="319" spans="1:12" ht="16.5" x14ac:dyDescent="0.2">
      <c r="A319" s="24"/>
      <c r="B319" s="24"/>
      <c r="C319" s="24"/>
      <c r="D319" s="24"/>
      <c r="E319" s="24"/>
      <c r="F319" s="24"/>
      <c r="G319" s="24"/>
      <c r="H319" s="24"/>
      <c r="I319" s="24"/>
      <c r="J319" s="24"/>
      <c r="K319" s="24"/>
      <c r="L319" s="26"/>
    </row>
    <row r="320" spans="1:12" ht="16.5" x14ac:dyDescent="0.2">
      <c r="A320" s="24"/>
      <c r="B320" s="24"/>
      <c r="C320" s="24"/>
      <c r="D320" s="24"/>
      <c r="E320" s="24"/>
      <c r="F320" s="24"/>
      <c r="G320" s="24"/>
      <c r="H320" s="24"/>
      <c r="I320" s="24"/>
      <c r="J320" s="24"/>
      <c r="K320" s="24"/>
      <c r="L320" s="26"/>
    </row>
    <row r="321" spans="1:12" ht="16.5" x14ac:dyDescent="0.2">
      <c r="A321" s="24"/>
      <c r="B321" s="24"/>
      <c r="C321" s="24"/>
      <c r="D321" s="24"/>
      <c r="E321" s="24"/>
      <c r="F321" s="24"/>
      <c r="G321" s="24"/>
      <c r="H321" s="24"/>
      <c r="I321" s="24"/>
      <c r="J321" s="24"/>
      <c r="K321" s="24"/>
      <c r="L321" s="26"/>
    </row>
    <row r="322" spans="1:12" ht="16.5" x14ac:dyDescent="0.2">
      <c r="A322" s="24"/>
      <c r="B322" s="24"/>
      <c r="C322" s="24"/>
      <c r="D322" s="24"/>
      <c r="E322" s="24"/>
      <c r="F322" s="24"/>
      <c r="G322" s="24"/>
      <c r="H322" s="24"/>
      <c r="I322" s="24"/>
      <c r="J322" s="24"/>
      <c r="K322" s="24"/>
      <c r="L322" s="26"/>
    </row>
    <row r="323" spans="1:12" ht="16.5" x14ac:dyDescent="0.2">
      <c r="A323" s="24"/>
      <c r="B323" s="24"/>
      <c r="C323" s="24"/>
      <c r="D323" s="24"/>
      <c r="E323" s="24"/>
      <c r="F323" s="24"/>
      <c r="G323" s="24"/>
      <c r="H323" s="24"/>
      <c r="I323" s="24"/>
      <c r="J323" s="24"/>
      <c r="K323" s="24"/>
      <c r="L323" s="26"/>
    </row>
    <row r="324" spans="1:12" ht="16.5" x14ac:dyDescent="0.2">
      <c r="A324" s="24"/>
      <c r="B324" s="24"/>
      <c r="C324" s="24"/>
      <c r="D324" s="24"/>
      <c r="E324" s="24"/>
      <c r="F324" s="24"/>
      <c r="G324" s="24"/>
      <c r="H324" s="24"/>
      <c r="I324" s="24"/>
      <c r="J324" s="24"/>
      <c r="K324" s="24"/>
      <c r="L324" s="26"/>
    </row>
    <row r="325" spans="1:12" ht="16.5" x14ac:dyDescent="0.2">
      <c r="A325" s="24"/>
      <c r="B325" s="24"/>
      <c r="C325" s="24"/>
      <c r="D325" s="24"/>
      <c r="E325" s="24"/>
      <c r="F325" s="24"/>
      <c r="G325" s="24"/>
      <c r="H325" s="24"/>
      <c r="I325" s="24"/>
      <c r="J325" s="24"/>
      <c r="K325" s="24"/>
      <c r="L325" s="26"/>
    </row>
    <row r="326" spans="1:12" ht="16.5" x14ac:dyDescent="0.2">
      <c r="A326" s="24"/>
      <c r="B326" s="24"/>
      <c r="C326" s="24"/>
      <c r="D326" s="24"/>
      <c r="E326" s="24"/>
      <c r="F326" s="24"/>
      <c r="G326" s="24"/>
      <c r="H326" s="24"/>
      <c r="I326" s="24"/>
      <c r="J326" s="24"/>
      <c r="K326" s="24"/>
      <c r="L326" s="26"/>
    </row>
    <row r="327" spans="1:12" ht="16.5" x14ac:dyDescent="0.2">
      <c r="A327" s="24"/>
      <c r="B327" s="24"/>
      <c r="C327" s="24"/>
      <c r="D327" s="24"/>
      <c r="E327" s="24"/>
      <c r="F327" s="24"/>
      <c r="G327" s="24"/>
      <c r="H327" s="24"/>
      <c r="I327" s="24"/>
      <c r="J327" s="24"/>
      <c r="K327" s="24"/>
      <c r="L327" s="26"/>
    </row>
    <row r="328" spans="1:12" ht="16.5" x14ac:dyDescent="0.2">
      <c r="A328" s="24"/>
      <c r="B328" s="24"/>
      <c r="C328" s="24"/>
      <c r="D328" s="24"/>
      <c r="E328" s="24"/>
      <c r="F328" s="24"/>
      <c r="G328" s="24"/>
      <c r="H328" s="24"/>
      <c r="I328" s="24"/>
      <c r="J328" s="24"/>
      <c r="K328" s="24"/>
      <c r="L328" s="26"/>
    </row>
    <row r="329" spans="1:12" ht="16.5" x14ac:dyDescent="0.2">
      <c r="A329" s="24"/>
      <c r="B329" s="24"/>
      <c r="C329" s="24"/>
      <c r="D329" s="24"/>
      <c r="E329" s="24"/>
      <c r="F329" s="24"/>
      <c r="G329" s="24"/>
      <c r="H329" s="24"/>
      <c r="I329" s="24"/>
      <c r="J329" s="24"/>
      <c r="K329" s="24"/>
      <c r="L329" s="26"/>
    </row>
    <row r="330" spans="1:12" ht="16.5" x14ac:dyDescent="0.2">
      <c r="A330" s="24"/>
      <c r="B330" s="24"/>
      <c r="C330" s="24"/>
      <c r="D330" s="24"/>
      <c r="E330" s="24"/>
      <c r="F330" s="24"/>
      <c r="G330" s="24"/>
      <c r="H330" s="24"/>
      <c r="I330" s="24"/>
      <c r="J330" s="24"/>
      <c r="K330" s="24"/>
      <c r="L330" s="26"/>
    </row>
    <row r="331" spans="1:12" ht="16.5" x14ac:dyDescent="0.2">
      <c r="A331" s="24"/>
      <c r="B331" s="24"/>
      <c r="C331" s="24"/>
      <c r="D331" s="24"/>
      <c r="E331" s="24"/>
      <c r="F331" s="24"/>
      <c r="G331" s="24"/>
      <c r="H331" s="24"/>
      <c r="I331" s="24"/>
      <c r="J331" s="24"/>
      <c r="K331" s="24"/>
      <c r="L331" s="26"/>
    </row>
    <row r="332" spans="1:12" ht="16.5" x14ac:dyDescent="0.2">
      <c r="A332" s="24"/>
      <c r="B332" s="24"/>
      <c r="C332" s="24"/>
      <c r="D332" s="24"/>
      <c r="E332" s="24"/>
      <c r="F332" s="24"/>
      <c r="G332" s="24"/>
      <c r="H332" s="24"/>
      <c r="I332" s="24"/>
      <c r="J332" s="24"/>
      <c r="K332" s="24"/>
      <c r="L332" s="26"/>
    </row>
    <row r="333" spans="1:12" ht="16.5" x14ac:dyDescent="0.2">
      <c r="A333" s="24"/>
      <c r="B333" s="24"/>
      <c r="C333" s="24"/>
      <c r="D333" s="24"/>
      <c r="E333" s="24"/>
      <c r="F333" s="24"/>
      <c r="G333" s="24"/>
      <c r="H333" s="24"/>
      <c r="I333" s="24"/>
      <c r="J333" s="24"/>
      <c r="K333" s="24"/>
      <c r="L333" s="26"/>
    </row>
    <row r="334" spans="1:12" ht="16.5" x14ac:dyDescent="0.2">
      <c r="A334" s="24"/>
      <c r="B334" s="24"/>
      <c r="C334" s="24"/>
      <c r="D334" s="24"/>
      <c r="E334" s="24"/>
      <c r="F334" s="24"/>
      <c r="G334" s="24"/>
      <c r="H334" s="24"/>
      <c r="I334" s="24"/>
      <c r="J334" s="24"/>
      <c r="K334" s="24"/>
      <c r="L334" s="26"/>
    </row>
    <row r="335" spans="1:12" ht="16.5" x14ac:dyDescent="0.2">
      <c r="A335" s="24"/>
      <c r="B335" s="24"/>
      <c r="C335" s="24"/>
      <c r="D335" s="24"/>
      <c r="E335" s="24"/>
      <c r="F335" s="24"/>
      <c r="G335" s="24"/>
      <c r="H335" s="24"/>
      <c r="I335" s="24"/>
      <c r="J335" s="24"/>
      <c r="K335" s="24"/>
      <c r="L335" s="26"/>
    </row>
    <row r="336" spans="1:12" ht="16.5" x14ac:dyDescent="0.2">
      <c r="A336" s="24"/>
      <c r="B336" s="24"/>
      <c r="C336" s="24"/>
      <c r="D336" s="24"/>
      <c r="E336" s="24"/>
      <c r="F336" s="24"/>
      <c r="G336" s="24"/>
      <c r="H336" s="24"/>
      <c r="I336" s="24"/>
      <c r="J336" s="24"/>
      <c r="K336" s="24"/>
      <c r="L336" s="26"/>
    </row>
    <row r="337" spans="1:12" ht="16.5" x14ac:dyDescent="0.2">
      <c r="A337" s="24"/>
      <c r="B337" s="24"/>
      <c r="C337" s="24"/>
      <c r="D337" s="24"/>
      <c r="E337" s="24"/>
      <c r="F337" s="24"/>
      <c r="G337" s="24"/>
      <c r="H337" s="24"/>
      <c r="I337" s="24"/>
      <c r="J337" s="24"/>
      <c r="K337" s="24"/>
      <c r="L337" s="26"/>
    </row>
    <row r="338" spans="1:12" ht="16.5" x14ac:dyDescent="0.2">
      <c r="A338" s="24"/>
      <c r="B338" s="24"/>
      <c r="C338" s="24"/>
      <c r="D338" s="24"/>
      <c r="E338" s="24"/>
      <c r="F338" s="24"/>
      <c r="G338" s="24"/>
      <c r="H338" s="24"/>
      <c r="I338" s="24"/>
      <c r="J338" s="24"/>
      <c r="K338" s="24"/>
      <c r="L338" s="26"/>
    </row>
    <row r="339" spans="1:12" ht="16.5" x14ac:dyDescent="0.2">
      <c r="A339" s="24"/>
      <c r="B339" s="24"/>
      <c r="C339" s="24"/>
      <c r="D339" s="24"/>
      <c r="E339" s="24"/>
      <c r="F339" s="24"/>
      <c r="G339" s="24"/>
      <c r="H339" s="24"/>
      <c r="I339" s="24"/>
      <c r="J339" s="24"/>
      <c r="K339" s="24"/>
      <c r="L339" s="26"/>
    </row>
    <row r="340" spans="1:12" ht="16.5" x14ac:dyDescent="0.2">
      <c r="A340" s="24"/>
      <c r="B340" s="24"/>
      <c r="C340" s="24"/>
      <c r="D340" s="24"/>
      <c r="E340" s="24"/>
      <c r="F340" s="24"/>
      <c r="G340" s="24"/>
      <c r="H340" s="24"/>
      <c r="I340" s="24"/>
      <c r="J340" s="24"/>
      <c r="K340" s="24"/>
      <c r="L340" s="26"/>
    </row>
    <row r="341" spans="1:12" ht="16.5" x14ac:dyDescent="0.2">
      <c r="A341" s="24"/>
      <c r="B341" s="24"/>
      <c r="C341" s="24"/>
      <c r="D341" s="24"/>
      <c r="E341" s="24"/>
      <c r="F341" s="24"/>
      <c r="G341" s="24"/>
      <c r="H341" s="24"/>
      <c r="I341" s="24"/>
      <c r="J341" s="24"/>
      <c r="K341" s="24"/>
      <c r="L341" s="26"/>
    </row>
    <row r="342" spans="1:12" ht="16.5" x14ac:dyDescent="0.2">
      <c r="A342" s="24"/>
      <c r="B342" s="24"/>
      <c r="C342" s="24"/>
      <c r="D342" s="24"/>
      <c r="E342" s="24"/>
      <c r="F342" s="24"/>
      <c r="G342" s="24"/>
      <c r="H342" s="24"/>
      <c r="I342" s="24"/>
      <c r="J342" s="24"/>
      <c r="K342" s="24"/>
      <c r="L342" s="26"/>
    </row>
    <row r="343" spans="1:12" ht="16.5" x14ac:dyDescent="0.2">
      <c r="A343" s="24"/>
      <c r="B343" s="24"/>
      <c r="C343" s="24"/>
      <c r="D343" s="24"/>
      <c r="E343" s="24"/>
      <c r="F343" s="24"/>
      <c r="G343" s="24"/>
      <c r="H343" s="24"/>
      <c r="I343" s="24"/>
      <c r="J343" s="24"/>
      <c r="K343" s="24"/>
      <c r="L343" s="26"/>
    </row>
    <row r="344" spans="1:12" ht="16.5" x14ac:dyDescent="0.2">
      <c r="A344" s="24"/>
      <c r="B344" s="24"/>
      <c r="C344" s="24"/>
      <c r="D344" s="24"/>
      <c r="E344" s="24"/>
      <c r="F344" s="24"/>
      <c r="G344" s="24"/>
      <c r="H344" s="24"/>
      <c r="I344" s="24"/>
      <c r="J344" s="24"/>
      <c r="K344" s="24"/>
      <c r="L344" s="26"/>
    </row>
    <row r="345" spans="1:12" ht="16.5" x14ac:dyDescent="0.2">
      <c r="A345" s="24"/>
      <c r="B345" s="24"/>
      <c r="C345" s="24"/>
      <c r="D345" s="24"/>
      <c r="E345" s="24"/>
      <c r="F345" s="24"/>
      <c r="G345" s="24"/>
      <c r="H345" s="24"/>
      <c r="I345" s="24"/>
      <c r="J345" s="24"/>
      <c r="K345" s="24"/>
      <c r="L345" s="26"/>
    </row>
    <row r="346" spans="1:12" ht="16.5" x14ac:dyDescent="0.2">
      <c r="A346" s="24"/>
      <c r="B346" s="24"/>
      <c r="C346" s="24"/>
      <c r="D346" s="24"/>
      <c r="E346" s="24"/>
      <c r="F346" s="24"/>
      <c r="G346" s="24"/>
      <c r="H346" s="24"/>
      <c r="I346" s="24"/>
      <c r="J346" s="24"/>
      <c r="K346" s="24"/>
      <c r="L346" s="26"/>
    </row>
    <row r="347" spans="1:12" ht="16.5" x14ac:dyDescent="0.2">
      <c r="A347" s="24"/>
      <c r="B347" s="24"/>
      <c r="C347" s="24"/>
      <c r="D347" s="24"/>
      <c r="E347" s="24"/>
      <c r="F347" s="24"/>
      <c r="G347" s="24"/>
      <c r="H347" s="24"/>
      <c r="I347" s="24"/>
      <c r="J347" s="24"/>
      <c r="K347" s="24"/>
      <c r="L347" s="26"/>
    </row>
    <row r="348" spans="1:12" ht="16.5" x14ac:dyDescent="0.2">
      <c r="A348" s="24"/>
      <c r="B348" s="24"/>
      <c r="C348" s="24"/>
      <c r="D348" s="24"/>
      <c r="E348" s="24"/>
      <c r="F348" s="24"/>
      <c r="G348" s="24"/>
      <c r="H348" s="24"/>
      <c r="I348" s="24"/>
      <c r="J348" s="24"/>
      <c r="K348" s="24"/>
      <c r="L348" s="26"/>
    </row>
    <row r="349" spans="1:12" ht="16.5" x14ac:dyDescent="0.2">
      <c r="A349" s="24"/>
      <c r="B349" s="24"/>
      <c r="C349" s="24"/>
      <c r="D349" s="24"/>
      <c r="E349" s="24"/>
      <c r="F349" s="24"/>
      <c r="G349" s="24"/>
      <c r="H349" s="24"/>
      <c r="I349" s="24"/>
      <c r="J349" s="24"/>
      <c r="K349" s="24"/>
      <c r="L349" s="26"/>
    </row>
    <row r="350" spans="1:12" ht="16.5" x14ac:dyDescent="0.2">
      <c r="A350" s="24"/>
      <c r="B350" s="24"/>
      <c r="C350" s="24"/>
      <c r="D350" s="24"/>
      <c r="E350" s="24"/>
      <c r="F350" s="24"/>
      <c r="G350" s="24"/>
      <c r="H350" s="24"/>
      <c r="I350" s="24"/>
      <c r="J350" s="24"/>
      <c r="K350" s="24"/>
      <c r="L350" s="26"/>
    </row>
    <row r="351" spans="1:12" ht="16.5" x14ac:dyDescent="0.2">
      <c r="A351" s="24"/>
      <c r="B351" s="24"/>
      <c r="C351" s="24"/>
      <c r="D351" s="24"/>
      <c r="E351" s="24"/>
      <c r="F351" s="24"/>
      <c r="G351" s="24"/>
      <c r="H351" s="24"/>
      <c r="I351" s="24"/>
      <c r="J351" s="24"/>
      <c r="K351" s="24"/>
      <c r="L351" s="26"/>
    </row>
    <row r="352" spans="1:12" ht="16.5" x14ac:dyDescent="0.2">
      <c r="A352" s="24"/>
      <c r="B352" s="24"/>
      <c r="C352" s="24"/>
      <c r="D352" s="24"/>
      <c r="E352" s="24"/>
      <c r="F352" s="24"/>
      <c r="G352" s="24"/>
      <c r="H352" s="24"/>
      <c r="I352" s="24"/>
      <c r="J352" s="24"/>
      <c r="K352" s="24"/>
      <c r="L352" s="26"/>
    </row>
    <row r="353" spans="1:12" ht="16.5" x14ac:dyDescent="0.2">
      <c r="A353" s="24"/>
      <c r="B353" s="24"/>
      <c r="C353" s="24"/>
      <c r="D353" s="24"/>
      <c r="E353" s="24"/>
      <c r="F353" s="24"/>
      <c r="G353" s="24"/>
      <c r="H353" s="24"/>
      <c r="I353" s="24"/>
      <c r="J353" s="24"/>
      <c r="K353" s="24"/>
      <c r="L353" s="26"/>
    </row>
    <row r="354" spans="1:12" ht="16.5" x14ac:dyDescent="0.2">
      <c r="A354" s="24"/>
      <c r="B354" s="24"/>
      <c r="C354" s="24"/>
      <c r="D354" s="24"/>
      <c r="E354" s="24"/>
      <c r="F354" s="24"/>
      <c r="G354" s="24"/>
      <c r="H354" s="24"/>
      <c r="I354" s="24"/>
      <c r="J354" s="24"/>
      <c r="K354" s="24"/>
      <c r="L354" s="26"/>
    </row>
    <row r="355" spans="1:12" ht="16.5" x14ac:dyDescent="0.2">
      <c r="A355" s="24"/>
      <c r="B355" s="24"/>
      <c r="C355" s="24"/>
      <c r="D355" s="24"/>
      <c r="E355" s="24"/>
      <c r="F355" s="24"/>
      <c r="G355" s="24"/>
      <c r="H355" s="24"/>
      <c r="I355" s="24"/>
      <c r="J355" s="24"/>
      <c r="K355" s="24"/>
      <c r="L355" s="26"/>
    </row>
    <row r="356" spans="1:12" ht="16.5" x14ac:dyDescent="0.2">
      <c r="A356" s="24"/>
      <c r="B356" s="24"/>
      <c r="C356" s="24"/>
      <c r="D356" s="24"/>
      <c r="E356" s="24"/>
      <c r="F356" s="24"/>
      <c r="G356" s="24"/>
      <c r="H356" s="24"/>
      <c r="I356" s="24"/>
      <c r="J356" s="24"/>
      <c r="K356" s="24"/>
      <c r="L356" s="26"/>
    </row>
    <row r="357" spans="1:12" ht="16.5" x14ac:dyDescent="0.2">
      <c r="A357" s="24"/>
      <c r="B357" s="24"/>
      <c r="C357" s="24"/>
      <c r="D357" s="24"/>
      <c r="E357" s="24"/>
      <c r="F357" s="24"/>
      <c r="G357" s="24"/>
      <c r="H357" s="24"/>
      <c r="I357" s="24"/>
      <c r="J357" s="24"/>
      <c r="K357" s="24"/>
      <c r="L357" s="26"/>
    </row>
    <row r="358" spans="1:12" ht="16.5" x14ac:dyDescent="0.2">
      <c r="A358" s="24"/>
      <c r="B358" s="24"/>
      <c r="C358" s="24"/>
      <c r="D358" s="24"/>
      <c r="E358" s="24"/>
      <c r="F358" s="24"/>
      <c r="G358" s="24"/>
      <c r="H358" s="24"/>
      <c r="I358" s="24"/>
      <c r="J358" s="24"/>
      <c r="K358" s="24"/>
      <c r="L358" s="26"/>
    </row>
    <row r="359" spans="1:12" ht="16.5" x14ac:dyDescent="0.2">
      <c r="A359" s="24"/>
      <c r="B359" s="24"/>
      <c r="C359" s="24"/>
      <c r="D359" s="24"/>
      <c r="E359" s="24"/>
      <c r="F359" s="24"/>
      <c r="G359" s="24"/>
      <c r="H359" s="24"/>
      <c r="I359" s="24"/>
      <c r="J359" s="24"/>
      <c r="K359" s="24"/>
      <c r="L359" s="26"/>
    </row>
    <row r="360" spans="1:12" ht="16.5" x14ac:dyDescent="0.2">
      <c r="A360" s="24"/>
      <c r="B360" s="24"/>
      <c r="C360" s="24"/>
      <c r="D360" s="24"/>
      <c r="E360" s="24"/>
      <c r="F360" s="24"/>
      <c r="G360" s="24"/>
      <c r="H360" s="24"/>
      <c r="I360" s="24"/>
      <c r="J360" s="24"/>
      <c r="K360" s="24"/>
      <c r="L360" s="26"/>
    </row>
    <row r="361" spans="1:12" ht="16.5" x14ac:dyDescent="0.2">
      <c r="A361" s="24"/>
      <c r="B361" s="24"/>
      <c r="C361" s="24"/>
      <c r="D361" s="24"/>
      <c r="E361" s="24"/>
      <c r="F361" s="24"/>
      <c r="G361" s="24"/>
      <c r="H361" s="24"/>
      <c r="I361" s="24"/>
      <c r="J361" s="24"/>
      <c r="K361" s="24"/>
      <c r="L361" s="26"/>
    </row>
    <row r="362" spans="1:12" ht="16.5" x14ac:dyDescent="0.2">
      <c r="A362" s="24"/>
      <c r="B362" s="24"/>
      <c r="C362" s="24"/>
      <c r="D362" s="24"/>
      <c r="E362" s="24"/>
      <c r="F362" s="24"/>
      <c r="G362" s="24"/>
      <c r="H362" s="24"/>
      <c r="I362" s="24"/>
      <c r="J362" s="24"/>
      <c r="K362" s="24"/>
      <c r="L362" s="26"/>
    </row>
    <row r="363" spans="1:12" ht="16.5" x14ac:dyDescent="0.2">
      <c r="A363" s="24"/>
      <c r="B363" s="24"/>
      <c r="C363" s="24"/>
      <c r="D363" s="24"/>
      <c r="E363" s="24"/>
      <c r="F363" s="24"/>
      <c r="G363" s="24"/>
      <c r="H363" s="24"/>
      <c r="I363" s="24"/>
      <c r="J363" s="24"/>
      <c r="K363" s="24"/>
      <c r="L363" s="26"/>
    </row>
    <row r="364" spans="1:12" ht="16.5" x14ac:dyDescent="0.2">
      <c r="A364" s="24"/>
      <c r="B364" s="24"/>
      <c r="C364" s="24"/>
      <c r="D364" s="24"/>
      <c r="E364" s="24"/>
      <c r="F364" s="24"/>
      <c r="G364" s="24"/>
      <c r="H364" s="24"/>
      <c r="I364" s="24"/>
      <c r="J364" s="24"/>
      <c r="K364" s="24"/>
      <c r="L364" s="26"/>
    </row>
    <row r="365" spans="1:12" ht="16.5" x14ac:dyDescent="0.2">
      <c r="A365" s="24"/>
      <c r="B365" s="24"/>
      <c r="C365" s="24"/>
      <c r="D365" s="24"/>
      <c r="E365" s="24"/>
      <c r="F365" s="24"/>
      <c r="G365" s="24"/>
      <c r="H365" s="24"/>
      <c r="I365" s="24"/>
      <c r="J365" s="24"/>
      <c r="K365" s="24"/>
      <c r="L365" s="26"/>
    </row>
    <row r="366" spans="1:12" ht="16.5" x14ac:dyDescent="0.2">
      <c r="A366" s="24"/>
      <c r="B366" s="24"/>
      <c r="C366" s="24"/>
      <c r="D366" s="24"/>
      <c r="E366" s="24"/>
      <c r="F366" s="24"/>
      <c r="G366" s="24"/>
      <c r="H366" s="24"/>
      <c r="I366" s="24"/>
      <c r="J366" s="24"/>
      <c r="K366" s="24"/>
      <c r="L366" s="26"/>
    </row>
    <row r="367" spans="1:12" ht="16.5" x14ac:dyDescent="0.2">
      <c r="A367" s="24"/>
      <c r="B367" s="24"/>
      <c r="C367" s="24"/>
      <c r="D367" s="24"/>
      <c r="E367" s="24"/>
      <c r="F367" s="24"/>
      <c r="G367" s="24"/>
      <c r="H367" s="24"/>
      <c r="I367" s="24"/>
      <c r="J367" s="24"/>
      <c r="K367" s="24"/>
      <c r="L367" s="26"/>
    </row>
    <row r="368" spans="1:12" ht="16.5" x14ac:dyDescent="0.2">
      <c r="A368" s="24"/>
      <c r="B368" s="24"/>
      <c r="C368" s="24"/>
      <c r="D368" s="24"/>
      <c r="E368" s="24"/>
      <c r="F368" s="24"/>
      <c r="G368" s="24"/>
      <c r="H368" s="24"/>
      <c r="I368" s="24"/>
      <c r="J368" s="24"/>
      <c r="K368" s="24"/>
      <c r="L368" s="26"/>
    </row>
    <row r="369" spans="1:12" ht="16.5" x14ac:dyDescent="0.2">
      <c r="A369" s="24"/>
      <c r="B369" s="24"/>
      <c r="C369" s="24"/>
      <c r="D369" s="24"/>
      <c r="E369" s="24"/>
      <c r="F369" s="24"/>
      <c r="G369" s="24"/>
      <c r="H369" s="24"/>
      <c r="I369" s="24"/>
      <c r="J369" s="24"/>
      <c r="K369" s="24"/>
      <c r="L369" s="26"/>
    </row>
    <row r="370" spans="1:12" ht="16.5" x14ac:dyDescent="0.2">
      <c r="A370" s="24"/>
      <c r="B370" s="24"/>
      <c r="C370" s="24"/>
      <c r="D370" s="24"/>
      <c r="E370" s="24"/>
      <c r="F370" s="24"/>
      <c r="G370" s="24"/>
      <c r="H370" s="24"/>
      <c r="I370" s="24"/>
      <c r="J370" s="24"/>
      <c r="K370" s="24"/>
      <c r="L370" s="26"/>
    </row>
    <row r="371" spans="1:12" ht="16.5" x14ac:dyDescent="0.2">
      <c r="A371" s="24"/>
      <c r="B371" s="24"/>
      <c r="C371" s="24"/>
      <c r="D371" s="24"/>
      <c r="E371" s="24"/>
      <c r="F371" s="24"/>
      <c r="G371" s="24"/>
      <c r="H371" s="24"/>
      <c r="I371" s="24"/>
      <c r="J371" s="24"/>
      <c r="K371" s="24"/>
      <c r="L371" s="26"/>
    </row>
    <row r="372" spans="1:12" ht="16.5" x14ac:dyDescent="0.2">
      <c r="A372" s="24"/>
      <c r="B372" s="24"/>
      <c r="C372" s="24"/>
      <c r="D372" s="24"/>
      <c r="E372" s="24"/>
      <c r="F372" s="24"/>
      <c r="G372" s="24"/>
      <c r="H372" s="24"/>
      <c r="I372" s="24"/>
      <c r="J372" s="24"/>
      <c r="K372" s="24"/>
      <c r="L372" s="26"/>
    </row>
    <row r="373" spans="1:12" ht="16.5" x14ac:dyDescent="0.2">
      <c r="A373" s="24"/>
      <c r="B373" s="24"/>
      <c r="C373" s="24"/>
      <c r="D373" s="24"/>
      <c r="E373" s="24"/>
      <c r="F373" s="24"/>
      <c r="G373" s="24"/>
      <c r="H373" s="24"/>
      <c r="I373" s="24"/>
      <c r="J373" s="24"/>
      <c r="K373" s="24"/>
      <c r="L373" s="26"/>
    </row>
    <row r="374" spans="1:12" ht="16.5" x14ac:dyDescent="0.2">
      <c r="A374" s="24"/>
      <c r="B374" s="24"/>
      <c r="C374" s="24"/>
      <c r="D374" s="24"/>
      <c r="E374" s="24"/>
      <c r="F374" s="24"/>
      <c r="G374" s="24"/>
      <c r="H374" s="24"/>
      <c r="I374" s="24"/>
      <c r="J374" s="24"/>
      <c r="K374" s="24"/>
      <c r="L374" s="26"/>
    </row>
    <row r="375" spans="1:12" ht="16.5" x14ac:dyDescent="0.2">
      <c r="A375" s="24"/>
      <c r="B375" s="24"/>
      <c r="C375" s="24"/>
      <c r="D375" s="24"/>
      <c r="E375" s="24"/>
      <c r="F375" s="24"/>
      <c r="G375" s="24"/>
      <c r="H375" s="24"/>
      <c r="I375" s="24"/>
      <c r="J375" s="24"/>
      <c r="K375" s="24"/>
      <c r="L375" s="26"/>
    </row>
    <row r="376" spans="1:12" ht="16.5" x14ac:dyDescent="0.2">
      <c r="A376" s="24"/>
      <c r="B376" s="24"/>
      <c r="C376" s="24"/>
      <c r="D376" s="24"/>
      <c r="E376" s="24"/>
      <c r="F376" s="24"/>
      <c r="G376" s="24"/>
      <c r="H376" s="24"/>
      <c r="I376" s="24"/>
      <c r="J376" s="24"/>
      <c r="K376" s="24"/>
      <c r="L376" s="26"/>
    </row>
    <row r="377" spans="1:12" ht="16.5" x14ac:dyDescent="0.2">
      <c r="A377" s="24"/>
      <c r="B377" s="24"/>
      <c r="C377" s="24"/>
      <c r="D377" s="24"/>
      <c r="E377" s="24"/>
      <c r="F377" s="24"/>
      <c r="G377" s="24"/>
      <c r="H377" s="24"/>
      <c r="I377" s="24"/>
      <c r="J377" s="24"/>
      <c r="K377" s="24"/>
      <c r="L377" s="26"/>
    </row>
    <row r="378" spans="1:12" ht="16.5" x14ac:dyDescent="0.2">
      <c r="A378" s="24"/>
      <c r="B378" s="24"/>
      <c r="C378" s="24"/>
      <c r="D378" s="24"/>
      <c r="E378" s="24"/>
      <c r="F378" s="24"/>
      <c r="G378" s="24"/>
      <c r="H378" s="24"/>
      <c r="I378" s="24"/>
      <c r="J378" s="24"/>
      <c r="K378" s="24"/>
      <c r="L378" s="26"/>
    </row>
    <row r="379" spans="1:12" ht="16.5" x14ac:dyDescent="0.2">
      <c r="A379" s="24"/>
      <c r="B379" s="24"/>
      <c r="C379" s="24"/>
      <c r="D379" s="24"/>
      <c r="E379" s="24"/>
      <c r="F379" s="24"/>
      <c r="G379" s="24"/>
      <c r="H379" s="24"/>
      <c r="I379" s="24"/>
      <c r="J379" s="24"/>
      <c r="K379" s="24"/>
      <c r="L379" s="26"/>
    </row>
    <row r="380" spans="1:12" ht="16.5" x14ac:dyDescent="0.2">
      <c r="A380" s="24"/>
      <c r="B380" s="24"/>
      <c r="C380" s="24"/>
      <c r="D380" s="24"/>
      <c r="E380" s="24"/>
      <c r="F380" s="24"/>
      <c r="G380" s="24"/>
      <c r="H380" s="24"/>
      <c r="I380" s="24"/>
      <c r="J380" s="24"/>
      <c r="K380" s="24"/>
      <c r="L380" s="26"/>
    </row>
    <row r="381" spans="1:12" ht="16.5" x14ac:dyDescent="0.2">
      <c r="A381" s="24"/>
      <c r="B381" s="24"/>
      <c r="C381" s="24"/>
      <c r="D381" s="24"/>
      <c r="E381" s="24"/>
      <c r="F381" s="24"/>
      <c r="G381" s="24"/>
      <c r="H381" s="24"/>
      <c r="I381" s="24"/>
      <c r="J381" s="24"/>
      <c r="K381" s="24"/>
      <c r="L381" s="26"/>
    </row>
    <row r="382" spans="1:12" ht="16.5" x14ac:dyDescent="0.2">
      <c r="A382" s="24"/>
      <c r="B382" s="24"/>
      <c r="C382" s="24"/>
      <c r="D382" s="24"/>
      <c r="E382" s="24"/>
      <c r="F382" s="24"/>
      <c r="G382" s="24"/>
      <c r="H382" s="24"/>
      <c r="I382" s="24"/>
      <c r="J382" s="24"/>
      <c r="K382" s="24"/>
      <c r="L382" s="26"/>
    </row>
    <row r="383" spans="1:12" ht="16.5" x14ac:dyDescent="0.2">
      <c r="A383" s="24"/>
      <c r="B383" s="24"/>
      <c r="C383" s="24"/>
      <c r="D383" s="24"/>
      <c r="E383" s="24"/>
      <c r="F383" s="24"/>
      <c r="G383" s="24"/>
      <c r="H383" s="24"/>
      <c r="I383" s="24"/>
      <c r="J383" s="24"/>
      <c r="K383" s="24"/>
      <c r="L383" s="26"/>
    </row>
    <row r="384" spans="1:12" ht="16.5" x14ac:dyDescent="0.2">
      <c r="A384" s="24"/>
      <c r="B384" s="24"/>
      <c r="C384" s="24"/>
      <c r="D384" s="24"/>
      <c r="E384" s="24"/>
      <c r="F384" s="24"/>
      <c r="G384" s="24"/>
      <c r="H384" s="24"/>
      <c r="I384" s="24"/>
      <c r="J384" s="24"/>
      <c r="K384" s="24"/>
      <c r="L384" s="26"/>
    </row>
    <row r="385" spans="1:12" ht="16.5" x14ac:dyDescent="0.2">
      <c r="A385" s="24"/>
      <c r="B385" s="24"/>
      <c r="C385" s="24"/>
      <c r="D385" s="24"/>
      <c r="E385" s="24"/>
      <c r="F385" s="24"/>
      <c r="G385" s="24"/>
      <c r="H385" s="24"/>
      <c r="I385" s="24"/>
      <c r="J385" s="24"/>
      <c r="K385" s="24"/>
      <c r="L385" s="26"/>
    </row>
    <row r="386" spans="1:12" ht="16.5" x14ac:dyDescent="0.2">
      <c r="A386" s="24"/>
      <c r="B386" s="24"/>
      <c r="C386" s="24"/>
      <c r="D386" s="24"/>
      <c r="E386" s="24"/>
      <c r="F386" s="24"/>
      <c r="G386" s="24"/>
      <c r="H386" s="24"/>
      <c r="I386" s="24"/>
      <c r="J386" s="24"/>
      <c r="K386" s="24"/>
      <c r="L386" s="26"/>
    </row>
    <row r="387" spans="1:12" ht="16.5" x14ac:dyDescent="0.2">
      <c r="A387" s="24"/>
      <c r="B387" s="24"/>
      <c r="C387" s="24"/>
      <c r="D387" s="24"/>
      <c r="E387" s="24"/>
      <c r="F387" s="24"/>
      <c r="G387" s="24"/>
      <c r="H387" s="24"/>
      <c r="I387" s="24"/>
      <c r="J387" s="24"/>
      <c r="K387" s="24"/>
      <c r="L387" s="26"/>
    </row>
    <row r="388" spans="1:12" ht="16.5" x14ac:dyDescent="0.2">
      <c r="A388" s="24"/>
      <c r="B388" s="24"/>
      <c r="C388" s="24"/>
      <c r="D388" s="24"/>
      <c r="E388" s="24"/>
      <c r="F388" s="24"/>
      <c r="G388" s="24"/>
      <c r="H388" s="24"/>
      <c r="I388" s="24"/>
      <c r="J388" s="24"/>
      <c r="K388" s="24"/>
      <c r="L388" s="26"/>
    </row>
    <row r="389" spans="1:12" ht="16.5" x14ac:dyDescent="0.2">
      <c r="A389" s="24"/>
      <c r="B389" s="24"/>
      <c r="C389" s="24"/>
      <c r="D389" s="24"/>
      <c r="E389" s="24"/>
      <c r="F389" s="24"/>
      <c r="G389" s="24"/>
      <c r="H389" s="24"/>
      <c r="I389" s="24"/>
      <c r="J389" s="24"/>
      <c r="K389" s="24"/>
      <c r="L389" s="26"/>
    </row>
    <row r="390" spans="1:12" ht="16.5" x14ac:dyDescent="0.2">
      <c r="A390" s="24"/>
      <c r="B390" s="24"/>
      <c r="C390" s="24"/>
      <c r="D390" s="24"/>
      <c r="E390" s="24"/>
      <c r="F390" s="24"/>
      <c r="G390" s="24"/>
      <c r="H390" s="24"/>
      <c r="I390" s="24"/>
      <c r="J390" s="24"/>
      <c r="K390" s="24"/>
      <c r="L390" s="26"/>
    </row>
    <row r="391" spans="1:12" ht="16.5" x14ac:dyDescent="0.2">
      <c r="A391" s="24"/>
      <c r="B391" s="24"/>
      <c r="C391" s="24"/>
      <c r="D391" s="24"/>
      <c r="E391" s="24"/>
      <c r="F391" s="24"/>
      <c r="G391" s="24"/>
      <c r="H391" s="24"/>
      <c r="I391" s="24"/>
      <c r="J391" s="24"/>
      <c r="K391" s="24"/>
      <c r="L391" s="26"/>
    </row>
    <row r="392" spans="1:12" ht="16.5" x14ac:dyDescent="0.2">
      <c r="A392" s="24"/>
      <c r="B392" s="24"/>
      <c r="C392" s="24"/>
      <c r="D392" s="24"/>
      <c r="E392" s="24"/>
      <c r="F392" s="24"/>
      <c r="G392" s="24"/>
      <c r="H392" s="24"/>
      <c r="I392" s="24"/>
      <c r="J392" s="24"/>
      <c r="K392" s="24"/>
      <c r="L392" s="26"/>
    </row>
    <row r="393" spans="1:12" ht="16.5" x14ac:dyDescent="0.2">
      <c r="A393" s="24"/>
      <c r="B393" s="24"/>
      <c r="C393" s="24"/>
      <c r="D393" s="24"/>
      <c r="E393" s="24"/>
      <c r="F393" s="24"/>
      <c r="G393" s="24"/>
      <c r="H393" s="24"/>
      <c r="I393" s="24"/>
      <c r="J393" s="24"/>
      <c r="K393" s="24"/>
      <c r="L393" s="26"/>
    </row>
    <row r="394" spans="1:12" ht="16.5" x14ac:dyDescent="0.2">
      <c r="A394" s="24"/>
      <c r="B394" s="24"/>
      <c r="C394" s="24"/>
      <c r="D394" s="24"/>
      <c r="E394" s="24"/>
      <c r="F394" s="24"/>
      <c r="G394" s="24"/>
      <c r="H394" s="24"/>
      <c r="I394" s="24"/>
      <c r="J394" s="24"/>
      <c r="K394" s="24"/>
      <c r="L394" s="26"/>
    </row>
    <row r="395" spans="1:12" ht="16.5" x14ac:dyDescent="0.2">
      <c r="A395" s="24"/>
      <c r="B395" s="24"/>
      <c r="C395" s="24"/>
      <c r="D395" s="24"/>
      <c r="E395" s="24"/>
      <c r="F395" s="24"/>
      <c r="G395" s="24"/>
      <c r="H395" s="24"/>
      <c r="I395" s="24"/>
      <c r="J395" s="24"/>
      <c r="K395" s="24"/>
      <c r="L395" s="26"/>
    </row>
    <row r="396" spans="1:12" ht="16.5" x14ac:dyDescent="0.2">
      <c r="A396" s="24"/>
      <c r="B396" s="24"/>
      <c r="C396" s="24"/>
      <c r="D396" s="24"/>
      <c r="E396" s="24"/>
      <c r="F396" s="24"/>
      <c r="G396" s="24"/>
      <c r="H396" s="24"/>
      <c r="I396" s="24"/>
      <c r="J396" s="24"/>
      <c r="K396" s="24"/>
      <c r="L396" s="26"/>
    </row>
    <row r="397" spans="1:12" ht="16.5" x14ac:dyDescent="0.2">
      <c r="A397" s="24"/>
      <c r="B397" s="24"/>
      <c r="C397" s="24"/>
      <c r="D397" s="24"/>
      <c r="E397" s="24"/>
      <c r="F397" s="24"/>
      <c r="G397" s="24"/>
      <c r="H397" s="24"/>
      <c r="I397" s="24"/>
      <c r="J397" s="24"/>
      <c r="K397" s="24"/>
      <c r="L397" s="26"/>
    </row>
    <row r="398" spans="1:12" ht="16.5" x14ac:dyDescent="0.2">
      <c r="A398" s="24"/>
      <c r="B398" s="24"/>
      <c r="C398" s="24"/>
      <c r="D398" s="24"/>
      <c r="E398" s="24"/>
      <c r="F398" s="24"/>
      <c r="G398" s="24"/>
      <c r="H398" s="24"/>
      <c r="I398" s="24"/>
      <c r="J398" s="24"/>
      <c r="K398" s="24"/>
      <c r="L398" s="26"/>
    </row>
    <row r="399" spans="1:12" ht="16.5" x14ac:dyDescent="0.2">
      <c r="A399" s="24"/>
      <c r="B399" s="24"/>
      <c r="C399" s="24"/>
      <c r="D399" s="24"/>
      <c r="E399" s="24"/>
      <c r="F399" s="24"/>
      <c r="G399" s="24"/>
      <c r="H399" s="24"/>
      <c r="I399" s="24"/>
      <c r="J399" s="24"/>
      <c r="K399" s="24"/>
      <c r="L399" s="26"/>
    </row>
    <row r="400" spans="1:12" ht="16.5" x14ac:dyDescent="0.2">
      <c r="A400" s="24"/>
      <c r="B400" s="24"/>
      <c r="C400" s="24"/>
      <c r="D400" s="24"/>
      <c r="E400" s="24"/>
      <c r="F400" s="24"/>
      <c r="G400" s="24"/>
      <c r="H400" s="24"/>
      <c r="I400" s="24"/>
      <c r="J400" s="24"/>
      <c r="K400" s="24"/>
      <c r="L400" s="26"/>
    </row>
    <row r="401" spans="1:12" ht="16.5" x14ac:dyDescent="0.2">
      <c r="A401" s="24"/>
      <c r="B401" s="24"/>
      <c r="C401" s="24"/>
      <c r="D401" s="24"/>
      <c r="E401" s="24"/>
      <c r="F401" s="24"/>
      <c r="G401" s="24"/>
      <c r="H401" s="24"/>
      <c r="I401" s="24"/>
      <c r="J401" s="24"/>
      <c r="K401" s="24"/>
      <c r="L401" s="26"/>
    </row>
    <row r="402" spans="1:12" ht="16.5" x14ac:dyDescent="0.2">
      <c r="A402" s="24"/>
      <c r="B402" s="24"/>
      <c r="C402" s="24"/>
      <c r="D402" s="24"/>
      <c r="E402" s="24"/>
      <c r="F402" s="24"/>
      <c r="G402" s="24"/>
      <c r="H402" s="24"/>
      <c r="I402" s="24"/>
      <c r="J402" s="24"/>
      <c r="K402" s="24"/>
      <c r="L402" s="26"/>
    </row>
    <row r="403" spans="1:12" ht="16.5" x14ac:dyDescent="0.2">
      <c r="A403" s="24"/>
      <c r="B403" s="24"/>
      <c r="C403" s="24"/>
      <c r="D403" s="24"/>
      <c r="E403" s="24"/>
      <c r="F403" s="24"/>
      <c r="G403" s="24"/>
      <c r="H403" s="24"/>
      <c r="I403" s="24"/>
      <c r="J403" s="24"/>
      <c r="K403" s="24"/>
      <c r="L403" s="26"/>
    </row>
    <row r="404" spans="1:12" ht="16.5" x14ac:dyDescent="0.2">
      <c r="A404" s="24"/>
      <c r="B404" s="24"/>
      <c r="C404" s="24"/>
      <c r="D404" s="24"/>
      <c r="E404" s="24"/>
      <c r="F404" s="24"/>
      <c r="G404" s="24"/>
      <c r="H404" s="24"/>
      <c r="I404" s="24"/>
      <c r="J404" s="24"/>
      <c r="K404" s="24"/>
      <c r="L404" s="26"/>
    </row>
    <row r="405" spans="1:12" ht="16.5" x14ac:dyDescent="0.2">
      <c r="A405" s="24"/>
      <c r="B405" s="24"/>
      <c r="C405" s="24"/>
      <c r="D405" s="24"/>
      <c r="E405" s="24"/>
      <c r="F405" s="24"/>
      <c r="G405" s="24"/>
      <c r="H405" s="24"/>
      <c r="I405" s="24"/>
      <c r="J405" s="24"/>
      <c r="K405" s="24"/>
      <c r="L405" s="26"/>
    </row>
    <row r="406" spans="1:12" ht="16.5" x14ac:dyDescent="0.2">
      <c r="A406" s="24"/>
      <c r="B406" s="24"/>
      <c r="C406" s="24"/>
      <c r="D406" s="24"/>
      <c r="E406" s="24"/>
      <c r="F406" s="24"/>
      <c r="G406" s="24"/>
      <c r="H406" s="24"/>
      <c r="I406" s="24"/>
      <c r="J406" s="24"/>
      <c r="K406" s="24"/>
      <c r="L406" s="26"/>
    </row>
    <row r="407" spans="1:12" ht="16.5" x14ac:dyDescent="0.2">
      <c r="A407" s="24"/>
      <c r="B407" s="24"/>
      <c r="C407" s="24"/>
      <c r="D407" s="24"/>
      <c r="E407" s="24"/>
      <c r="F407" s="24"/>
      <c r="G407" s="24"/>
      <c r="H407" s="24"/>
      <c r="I407" s="24"/>
      <c r="J407" s="24"/>
      <c r="K407" s="24"/>
      <c r="L407" s="26"/>
    </row>
    <row r="408" spans="1:12" ht="16.5" x14ac:dyDescent="0.2">
      <c r="A408" s="24"/>
      <c r="B408" s="24"/>
      <c r="C408" s="24"/>
      <c r="D408" s="24"/>
      <c r="E408" s="24"/>
      <c r="F408" s="24"/>
      <c r="G408" s="24"/>
      <c r="H408" s="24"/>
      <c r="I408" s="24"/>
      <c r="J408" s="24"/>
      <c r="K408" s="24"/>
      <c r="L408" s="26"/>
    </row>
    <row r="409" spans="1:12" ht="16.5" x14ac:dyDescent="0.2">
      <c r="A409" s="24"/>
      <c r="B409" s="24"/>
      <c r="C409" s="24"/>
      <c r="D409" s="24"/>
      <c r="E409" s="24"/>
      <c r="F409" s="24"/>
      <c r="G409" s="24"/>
      <c r="H409" s="24"/>
      <c r="I409" s="24"/>
      <c r="J409" s="24"/>
      <c r="K409" s="24"/>
      <c r="L409" s="26"/>
    </row>
    <row r="410" spans="1:12" ht="16.5" x14ac:dyDescent="0.2">
      <c r="A410" s="24"/>
      <c r="B410" s="24"/>
      <c r="C410" s="24"/>
      <c r="D410" s="24"/>
      <c r="E410" s="24"/>
      <c r="F410" s="24"/>
      <c r="G410" s="24"/>
      <c r="H410" s="24"/>
      <c r="I410" s="24"/>
      <c r="J410" s="24"/>
      <c r="K410" s="24"/>
      <c r="L410" s="26"/>
    </row>
    <row r="411" spans="1:12" ht="16.5" x14ac:dyDescent="0.2">
      <c r="A411" s="24"/>
      <c r="B411" s="24"/>
      <c r="C411" s="24"/>
      <c r="D411" s="24"/>
      <c r="E411" s="24"/>
      <c r="F411" s="24"/>
      <c r="G411" s="24"/>
      <c r="H411" s="24"/>
      <c r="I411" s="24"/>
      <c r="J411" s="24"/>
      <c r="K411" s="24"/>
      <c r="L411" s="26"/>
    </row>
    <row r="412" spans="1:12" ht="16.5" x14ac:dyDescent="0.2">
      <c r="A412" s="24"/>
      <c r="B412" s="24"/>
      <c r="C412" s="24"/>
      <c r="D412" s="24"/>
      <c r="E412" s="24"/>
      <c r="F412" s="24"/>
      <c r="G412" s="24"/>
      <c r="H412" s="24"/>
      <c r="I412" s="24"/>
      <c r="J412" s="24"/>
      <c r="K412" s="24"/>
      <c r="L412" s="26"/>
    </row>
    <row r="413" spans="1:12" ht="16.5" x14ac:dyDescent="0.2">
      <c r="A413" s="24"/>
      <c r="B413" s="24"/>
      <c r="C413" s="24"/>
      <c r="D413" s="24"/>
      <c r="E413" s="24"/>
      <c r="F413" s="24"/>
      <c r="G413" s="24"/>
      <c r="H413" s="24"/>
      <c r="I413" s="24"/>
      <c r="J413" s="24"/>
      <c r="K413" s="24"/>
      <c r="L413" s="26"/>
    </row>
    <row r="414" spans="1:12" ht="16.5" x14ac:dyDescent="0.2">
      <c r="A414" s="24"/>
      <c r="B414" s="24"/>
      <c r="C414" s="24"/>
      <c r="D414" s="24"/>
      <c r="E414" s="24"/>
      <c r="F414" s="24"/>
      <c r="G414" s="24"/>
      <c r="H414" s="24"/>
      <c r="I414" s="24"/>
      <c r="J414" s="24"/>
      <c r="K414" s="24"/>
      <c r="L414" s="26"/>
    </row>
    <row r="415" spans="1:12" ht="16.5" x14ac:dyDescent="0.2">
      <c r="A415" s="24"/>
      <c r="B415" s="24"/>
      <c r="C415" s="24"/>
      <c r="D415" s="24"/>
      <c r="E415" s="24"/>
      <c r="F415" s="24"/>
      <c r="G415" s="24"/>
      <c r="H415" s="24"/>
      <c r="I415" s="24"/>
      <c r="J415" s="24"/>
      <c r="K415" s="24"/>
      <c r="L415" s="26"/>
    </row>
    <row r="416" spans="1:12" ht="16.5" x14ac:dyDescent="0.2">
      <c r="A416" s="24"/>
      <c r="B416" s="24"/>
      <c r="C416" s="24"/>
      <c r="D416" s="24"/>
      <c r="E416" s="24"/>
      <c r="F416" s="24"/>
      <c r="G416" s="24"/>
      <c r="H416" s="24"/>
      <c r="I416" s="24"/>
      <c r="J416" s="24"/>
      <c r="K416" s="24"/>
      <c r="L416" s="26"/>
    </row>
    <row r="417" spans="1:12" ht="16.5" x14ac:dyDescent="0.2">
      <c r="A417" s="24"/>
      <c r="B417" s="24"/>
      <c r="C417" s="24"/>
      <c r="D417" s="24"/>
      <c r="E417" s="24"/>
      <c r="F417" s="24"/>
      <c r="G417" s="24"/>
      <c r="H417" s="24"/>
      <c r="I417" s="24"/>
      <c r="J417" s="24"/>
      <c r="K417" s="24"/>
      <c r="L417" s="26"/>
    </row>
    <row r="418" spans="1:12" ht="16.5" x14ac:dyDescent="0.2">
      <c r="A418" s="24"/>
      <c r="B418" s="24"/>
      <c r="C418" s="24"/>
      <c r="D418" s="24"/>
      <c r="E418" s="24"/>
      <c r="F418" s="24"/>
      <c r="G418" s="24"/>
      <c r="H418" s="24"/>
      <c r="I418" s="24"/>
      <c r="J418" s="24"/>
      <c r="K418" s="24"/>
      <c r="L418" s="26"/>
    </row>
    <row r="419" spans="1:12" ht="16.5" x14ac:dyDescent="0.2">
      <c r="A419" s="24"/>
      <c r="B419" s="24"/>
      <c r="C419" s="24"/>
      <c r="D419" s="24"/>
      <c r="E419" s="24"/>
      <c r="F419" s="24"/>
      <c r="G419" s="24"/>
      <c r="H419" s="24"/>
      <c r="I419" s="24"/>
      <c r="J419" s="24"/>
      <c r="K419" s="24"/>
      <c r="L419" s="26"/>
    </row>
    <row r="420" spans="1:12" ht="16.5" x14ac:dyDescent="0.2">
      <c r="A420" s="24"/>
      <c r="B420" s="24"/>
      <c r="C420" s="24"/>
      <c r="D420" s="24"/>
      <c r="E420" s="24"/>
      <c r="F420" s="24"/>
      <c r="G420" s="24"/>
      <c r="H420" s="24"/>
      <c r="I420" s="24"/>
      <c r="J420" s="24"/>
      <c r="K420" s="24"/>
      <c r="L420" s="26"/>
    </row>
    <row r="421" spans="1:12" ht="16.5" x14ac:dyDescent="0.2">
      <c r="A421" s="24"/>
      <c r="B421" s="24"/>
      <c r="C421" s="24"/>
      <c r="D421" s="24"/>
      <c r="E421" s="24"/>
      <c r="F421" s="24"/>
      <c r="G421" s="24"/>
      <c r="H421" s="24"/>
      <c r="I421" s="24"/>
      <c r="J421" s="24"/>
      <c r="K421" s="24"/>
      <c r="L421" s="26"/>
    </row>
    <row r="422" spans="1:12" ht="16.5" x14ac:dyDescent="0.2">
      <c r="A422" s="24"/>
      <c r="B422" s="24"/>
      <c r="C422" s="24"/>
      <c r="D422" s="24"/>
      <c r="E422" s="24"/>
      <c r="F422" s="24"/>
      <c r="G422" s="24"/>
      <c r="H422" s="24"/>
      <c r="I422" s="24"/>
      <c r="J422" s="24"/>
      <c r="K422" s="24"/>
      <c r="L422" s="26"/>
    </row>
    <row r="423" spans="1:12" ht="16.5" x14ac:dyDescent="0.2">
      <c r="A423" s="24"/>
      <c r="B423" s="24"/>
      <c r="C423" s="24"/>
      <c r="D423" s="24"/>
      <c r="E423" s="24"/>
      <c r="F423" s="24"/>
      <c r="G423" s="24"/>
      <c r="H423" s="24"/>
      <c r="I423" s="24"/>
      <c r="J423" s="24"/>
      <c r="K423" s="24"/>
      <c r="L423" s="26"/>
    </row>
    <row r="424" spans="1:12" ht="16.5" x14ac:dyDescent="0.2">
      <c r="A424" s="24"/>
      <c r="B424" s="24"/>
      <c r="C424" s="24"/>
      <c r="D424" s="24"/>
      <c r="E424" s="24"/>
      <c r="F424" s="24"/>
      <c r="G424" s="24"/>
      <c r="H424" s="24"/>
      <c r="I424" s="24"/>
      <c r="J424" s="24"/>
      <c r="K424" s="24"/>
      <c r="L424" s="26"/>
    </row>
    <row r="425" spans="1:12" ht="16.5" x14ac:dyDescent="0.2">
      <c r="A425" s="24"/>
      <c r="B425" s="24"/>
      <c r="C425" s="24"/>
      <c r="D425" s="24"/>
      <c r="E425" s="24"/>
      <c r="F425" s="24"/>
      <c r="G425" s="24"/>
      <c r="H425" s="24"/>
      <c r="I425" s="24"/>
      <c r="J425" s="24"/>
      <c r="K425" s="24"/>
      <c r="L425" s="26"/>
    </row>
    <row r="426" spans="1:12" ht="16.5" x14ac:dyDescent="0.2">
      <c r="A426" s="24"/>
      <c r="B426" s="24"/>
      <c r="C426" s="24"/>
      <c r="D426" s="24"/>
      <c r="E426" s="24"/>
      <c r="F426" s="24"/>
      <c r="G426" s="24"/>
      <c r="H426" s="24"/>
      <c r="I426" s="24"/>
      <c r="J426" s="24"/>
      <c r="K426" s="24"/>
      <c r="L426" s="26"/>
    </row>
    <row r="427" spans="1:12" ht="16.5" x14ac:dyDescent="0.2">
      <c r="A427" s="24"/>
      <c r="B427" s="24"/>
      <c r="C427" s="24"/>
      <c r="D427" s="24"/>
      <c r="E427" s="24"/>
      <c r="F427" s="24"/>
      <c r="G427" s="24"/>
      <c r="H427" s="24"/>
      <c r="I427" s="24"/>
      <c r="J427" s="24"/>
      <c r="K427" s="24"/>
      <c r="L427" s="26"/>
    </row>
    <row r="428" spans="1:12" ht="16.5" x14ac:dyDescent="0.2">
      <c r="A428" s="24"/>
      <c r="B428" s="24"/>
      <c r="C428" s="24"/>
      <c r="D428" s="24"/>
      <c r="E428" s="24"/>
      <c r="F428" s="24"/>
      <c r="G428" s="24"/>
      <c r="H428" s="24"/>
      <c r="I428" s="24"/>
      <c r="J428" s="24"/>
      <c r="K428" s="24"/>
      <c r="L428" s="26"/>
    </row>
    <row r="429" spans="1:12" ht="16.5" x14ac:dyDescent="0.2">
      <c r="A429" s="24"/>
      <c r="B429" s="24"/>
      <c r="C429" s="24"/>
      <c r="D429" s="24"/>
      <c r="E429" s="24"/>
      <c r="F429" s="24"/>
      <c r="G429" s="24"/>
      <c r="H429" s="24"/>
      <c r="I429" s="24"/>
      <c r="J429" s="24"/>
      <c r="K429" s="24"/>
      <c r="L429" s="26"/>
    </row>
    <row r="430" spans="1:12" ht="16.5" x14ac:dyDescent="0.2">
      <c r="A430" s="24"/>
      <c r="B430" s="24"/>
      <c r="C430" s="24"/>
      <c r="D430" s="24"/>
      <c r="E430" s="24"/>
      <c r="F430" s="24"/>
      <c r="G430" s="24"/>
      <c r="H430" s="24"/>
      <c r="I430" s="24"/>
      <c r="J430" s="24"/>
      <c r="K430" s="24"/>
      <c r="L430" s="26"/>
    </row>
    <row r="431" spans="1:12" ht="16.5" x14ac:dyDescent="0.2">
      <c r="A431" s="24"/>
      <c r="B431" s="24"/>
      <c r="C431" s="24"/>
      <c r="D431" s="24"/>
      <c r="E431" s="24"/>
      <c r="F431" s="24"/>
      <c r="G431" s="24"/>
      <c r="H431" s="24"/>
      <c r="I431" s="24"/>
      <c r="J431" s="24"/>
      <c r="K431" s="24"/>
      <c r="L431" s="26"/>
    </row>
    <row r="432" spans="1:12" ht="16.5" x14ac:dyDescent="0.2">
      <c r="A432" s="24"/>
      <c r="B432" s="24"/>
      <c r="C432" s="24"/>
      <c r="D432" s="24"/>
      <c r="E432" s="24"/>
      <c r="F432" s="24"/>
      <c r="G432" s="24"/>
      <c r="H432" s="24"/>
      <c r="I432" s="24"/>
      <c r="J432" s="24"/>
      <c r="K432" s="24"/>
      <c r="L432" s="26"/>
    </row>
    <row r="433" spans="1:12" ht="16.5" x14ac:dyDescent="0.2">
      <c r="A433" s="24"/>
      <c r="B433" s="24"/>
      <c r="C433" s="24"/>
      <c r="D433" s="24"/>
      <c r="E433" s="24"/>
      <c r="F433" s="24"/>
      <c r="G433" s="24"/>
      <c r="H433" s="24"/>
      <c r="I433" s="24"/>
      <c r="J433" s="24"/>
      <c r="K433" s="24"/>
      <c r="L433" s="26"/>
    </row>
    <row r="434" spans="1:12" ht="16.5" x14ac:dyDescent="0.2">
      <c r="A434" s="24"/>
      <c r="B434" s="24"/>
      <c r="C434" s="24"/>
      <c r="D434" s="24"/>
      <c r="E434" s="24"/>
      <c r="F434" s="24"/>
      <c r="G434" s="24"/>
      <c r="H434" s="24"/>
      <c r="I434" s="24"/>
      <c r="J434" s="24"/>
      <c r="K434" s="24"/>
      <c r="L434" s="26"/>
    </row>
    <row r="435" spans="1:12" ht="16.5" x14ac:dyDescent="0.2">
      <c r="A435" s="24"/>
      <c r="B435" s="24"/>
      <c r="C435" s="24"/>
      <c r="D435" s="24"/>
      <c r="E435" s="24"/>
      <c r="F435" s="24"/>
      <c r="G435" s="24"/>
      <c r="H435" s="24"/>
      <c r="I435" s="24"/>
      <c r="J435" s="24"/>
      <c r="K435" s="24"/>
      <c r="L435" s="26"/>
    </row>
    <row r="436" spans="1:12" ht="16.5" x14ac:dyDescent="0.2">
      <c r="A436" s="24"/>
      <c r="B436" s="24"/>
      <c r="C436" s="24"/>
      <c r="D436" s="24"/>
      <c r="E436" s="24"/>
      <c r="F436" s="24"/>
      <c r="G436" s="24"/>
      <c r="H436" s="24"/>
      <c r="I436" s="24"/>
      <c r="J436" s="24"/>
      <c r="K436" s="24"/>
      <c r="L436" s="26"/>
    </row>
    <row r="437" spans="1:12" ht="16.5" x14ac:dyDescent="0.2">
      <c r="A437" s="24"/>
      <c r="B437" s="24"/>
      <c r="C437" s="24"/>
      <c r="D437" s="24"/>
      <c r="E437" s="24"/>
      <c r="F437" s="24"/>
      <c r="G437" s="24"/>
      <c r="H437" s="24"/>
      <c r="I437" s="24"/>
      <c r="J437" s="24"/>
      <c r="K437" s="24"/>
      <c r="L437" s="26"/>
    </row>
    <row r="438" spans="1:12" ht="16.5" x14ac:dyDescent="0.2">
      <c r="A438" s="24"/>
      <c r="B438" s="24"/>
      <c r="C438" s="24"/>
      <c r="D438" s="24"/>
      <c r="E438" s="24"/>
      <c r="F438" s="24"/>
      <c r="G438" s="24"/>
      <c r="H438" s="24"/>
      <c r="I438" s="24"/>
      <c r="J438" s="24"/>
      <c r="K438" s="24"/>
      <c r="L438" s="26"/>
    </row>
    <row r="439" spans="1:12" ht="16.5" x14ac:dyDescent="0.2">
      <c r="A439" s="24"/>
      <c r="B439" s="24"/>
      <c r="C439" s="24"/>
      <c r="D439" s="24"/>
      <c r="E439" s="24"/>
      <c r="F439" s="24"/>
      <c r="G439" s="24"/>
      <c r="H439" s="24"/>
      <c r="I439" s="24"/>
      <c r="J439" s="24"/>
      <c r="K439" s="24"/>
      <c r="L439" s="26"/>
    </row>
    <row r="440" spans="1:12" ht="16.5" x14ac:dyDescent="0.2">
      <c r="A440" s="24"/>
      <c r="B440" s="24"/>
      <c r="C440" s="24"/>
      <c r="D440" s="24"/>
      <c r="E440" s="24"/>
      <c r="F440" s="24"/>
      <c r="G440" s="24"/>
      <c r="H440" s="24"/>
      <c r="I440" s="24"/>
      <c r="J440" s="24"/>
      <c r="K440" s="24"/>
      <c r="L440" s="26"/>
    </row>
    <row r="441" spans="1:12" ht="16.5" x14ac:dyDescent="0.2">
      <c r="A441" s="24"/>
      <c r="B441" s="24"/>
      <c r="C441" s="24"/>
      <c r="D441" s="24"/>
      <c r="E441" s="24"/>
      <c r="F441" s="24"/>
      <c r="G441" s="24"/>
      <c r="H441" s="24"/>
      <c r="I441" s="24"/>
      <c r="J441" s="24"/>
      <c r="K441" s="24"/>
      <c r="L441" s="26"/>
    </row>
    <row r="442" spans="1:12" ht="16.5" x14ac:dyDescent="0.2">
      <c r="A442" s="24"/>
      <c r="B442" s="24"/>
      <c r="C442" s="24"/>
      <c r="D442" s="24"/>
      <c r="E442" s="24"/>
      <c r="F442" s="24"/>
      <c r="G442" s="24"/>
      <c r="H442" s="24"/>
      <c r="I442" s="24"/>
      <c r="J442" s="24"/>
      <c r="K442" s="24"/>
      <c r="L442" s="26"/>
    </row>
    <row r="443" spans="1:12" ht="16.5" x14ac:dyDescent="0.2">
      <c r="A443" s="24"/>
      <c r="B443" s="24"/>
      <c r="C443" s="24"/>
      <c r="D443" s="24"/>
      <c r="E443" s="24"/>
      <c r="F443" s="24"/>
      <c r="G443" s="24"/>
      <c r="H443" s="24"/>
      <c r="I443" s="24"/>
      <c r="J443" s="24"/>
      <c r="K443" s="24"/>
      <c r="L443" s="26"/>
    </row>
    <row r="444" spans="1:12" ht="16.5" x14ac:dyDescent="0.2">
      <c r="A444" s="24"/>
      <c r="B444" s="24"/>
      <c r="C444" s="24"/>
      <c r="D444" s="24"/>
      <c r="E444" s="24"/>
      <c r="F444" s="24"/>
      <c r="G444" s="24"/>
      <c r="H444" s="24"/>
      <c r="I444" s="24"/>
      <c r="J444" s="24"/>
      <c r="K444" s="24"/>
      <c r="L444" s="26"/>
    </row>
    <row r="445" spans="1:12" ht="16.5" x14ac:dyDescent="0.2">
      <c r="A445" s="24"/>
      <c r="B445" s="24"/>
      <c r="C445" s="24"/>
      <c r="D445" s="24"/>
      <c r="E445" s="24"/>
      <c r="F445" s="24"/>
      <c r="G445" s="24"/>
      <c r="H445" s="24"/>
      <c r="I445" s="24"/>
      <c r="J445" s="24"/>
      <c r="K445" s="24"/>
      <c r="L445" s="26"/>
    </row>
    <row r="446" spans="1:12" ht="16.5" x14ac:dyDescent="0.2">
      <c r="A446" s="24"/>
      <c r="B446" s="24"/>
      <c r="C446" s="24"/>
      <c r="D446" s="24"/>
      <c r="E446" s="24"/>
      <c r="F446" s="24"/>
      <c r="G446" s="24"/>
      <c r="H446" s="24"/>
      <c r="I446" s="24"/>
      <c r="J446" s="24"/>
      <c r="K446" s="24"/>
      <c r="L446" s="26"/>
    </row>
    <row r="447" spans="1:12" ht="16.5" x14ac:dyDescent="0.2">
      <c r="A447" s="24"/>
      <c r="B447" s="24"/>
      <c r="C447" s="24"/>
      <c r="D447" s="24"/>
      <c r="E447" s="24"/>
      <c r="F447" s="24"/>
      <c r="G447" s="24"/>
      <c r="H447" s="24"/>
      <c r="I447" s="24"/>
      <c r="J447" s="24"/>
      <c r="K447" s="24"/>
      <c r="L447" s="26"/>
    </row>
    <row r="448" spans="1:12" ht="16.5" x14ac:dyDescent="0.2">
      <c r="A448" s="24"/>
      <c r="B448" s="24"/>
      <c r="C448" s="24"/>
      <c r="D448" s="24"/>
      <c r="E448" s="24"/>
      <c r="F448" s="24"/>
      <c r="G448" s="24"/>
      <c r="H448" s="24"/>
      <c r="I448" s="24"/>
      <c r="J448" s="24"/>
      <c r="K448" s="24"/>
      <c r="L448" s="26"/>
    </row>
    <row r="449" spans="1:12" ht="16.5" x14ac:dyDescent="0.2">
      <c r="A449" s="24"/>
      <c r="B449" s="24"/>
      <c r="C449" s="24"/>
      <c r="D449" s="24"/>
      <c r="E449" s="24"/>
      <c r="F449" s="24"/>
      <c r="G449" s="24"/>
      <c r="H449" s="24"/>
      <c r="I449" s="24"/>
      <c r="J449" s="24"/>
      <c r="K449" s="24"/>
      <c r="L449" s="26"/>
    </row>
    <row r="450" spans="1:12" ht="16.5" x14ac:dyDescent="0.2">
      <c r="A450" s="24"/>
      <c r="B450" s="24"/>
      <c r="C450" s="24"/>
      <c r="D450" s="24"/>
      <c r="E450" s="24"/>
      <c r="F450" s="24"/>
      <c r="G450" s="24"/>
      <c r="H450" s="24"/>
      <c r="I450" s="24"/>
      <c r="J450" s="24"/>
      <c r="K450" s="24"/>
      <c r="L450" s="26"/>
    </row>
    <row r="451" spans="1:12" ht="16.5" x14ac:dyDescent="0.2">
      <c r="A451" s="24"/>
      <c r="B451" s="24"/>
      <c r="C451" s="24"/>
      <c r="D451" s="24"/>
      <c r="E451" s="24"/>
      <c r="F451" s="24"/>
      <c r="G451" s="24"/>
      <c r="H451" s="24"/>
      <c r="I451" s="24"/>
      <c r="J451" s="24"/>
      <c r="K451" s="24"/>
      <c r="L451" s="26"/>
    </row>
    <row r="452" spans="1:12" ht="16.5" x14ac:dyDescent="0.2">
      <c r="A452" s="24"/>
      <c r="B452" s="24"/>
      <c r="C452" s="24"/>
      <c r="D452" s="24"/>
      <c r="E452" s="24"/>
      <c r="F452" s="24"/>
      <c r="G452" s="24"/>
      <c r="H452" s="24"/>
      <c r="I452" s="24"/>
      <c r="J452" s="24"/>
      <c r="K452" s="24"/>
      <c r="L452" s="26"/>
    </row>
    <row r="453" spans="1:12" ht="16.5" x14ac:dyDescent="0.2">
      <c r="A453" s="24"/>
      <c r="B453" s="24"/>
      <c r="C453" s="24"/>
      <c r="D453" s="24"/>
      <c r="E453" s="24"/>
      <c r="F453" s="24"/>
      <c r="G453" s="24"/>
      <c r="H453" s="24"/>
      <c r="I453" s="24"/>
      <c r="J453" s="24"/>
      <c r="K453" s="24"/>
      <c r="L453" s="26"/>
    </row>
    <row r="454" spans="1:12" ht="16.5" x14ac:dyDescent="0.2">
      <c r="A454" s="24"/>
      <c r="B454" s="24"/>
      <c r="C454" s="24"/>
      <c r="D454" s="24"/>
      <c r="E454" s="24"/>
      <c r="F454" s="24"/>
      <c r="G454" s="24"/>
      <c r="H454" s="24"/>
      <c r="I454" s="24"/>
      <c r="J454" s="24"/>
      <c r="K454" s="24"/>
      <c r="L454" s="26"/>
    </row>
  </sheetData>
  <conditionalFormatting sqref="J1:J1048576">
    <cfRule type="cellIs" dxfId="1425" priority="11" operator="equal">
      <formula>"&gt;PENDIENTE&lt;"</formula>
    </cfRule>
  </conditionalFormatting>
  <conditionalFormatting pivot="1" sqref="L2 L4 L6:L12 L14:L26 L28 L30 L32 L34 L36 L38 L40 L42 L44 L46 L48 L50:L51 L53 L55:L99">
    <cfRule type="cellIs" dxfId="1424" priority="20" operator="equal">
      <formula>1</formula>
    </cfRule>
  </conditionalFormatting>
  <conditionalFormatting sqref="H1:H1048576">
    <cfRule type="cellIs" dxfId="1423" priority="9" operator="equal">
      <formula>"Color"</formula>
    </cfRule>
  </conditionalFormatting>
  <conditionalFormatting sqref="F1:F1048576">
    <cfRule type="cellIs" dxfId="1422" priority="4" operator="equal">
      <formula>"&gt;DIFIERE&lt;"</formula>
    </cfRule>
  </conditionalFormatting>
  <conditionalFormatting sqref="E1:E1048576">
    <cfRule type="cellIs" dxfId="1421" priority="1" operator="equal">
      <formula>"Faltante"</formula>
    </cfRule>
  </conditionalFormatting>
  <printOptions horizontalCentered="1"/>
  <pageMargins left="0.19685039370078741" right="0.19685039370078741" top="0.39370078740157483" bottom="0.39370078740157483" header="0.19685039370078741" footer="0.19685039370078741"/>
  <pageSetup paperSize="9" scale="92" fitToHeight="0" orientation="portrait" cellComments="atEnd" r:id="rId2"/>
  <headerFooter alignWithMargins="0">
    <oddHeader>&amp;L40 PAGES&amp;C81 ADS&amp;RSÁBADO 10 OCTUBRE 2020</oddHeader>
    <oddFooter>&amp;L&amp;8&amp;KFF0000
© 2011 GERARDO TORDOYA&amp;C&amp;8&amp;KFF0000
FECHA: &amp;D || HORA: &amp;T&amp;R&amp;8&amp;KFF0000
PAGINA &amp;P DE &amp;N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OutputSheet!Print_Area</vt:lpstr>
      <vt:lpstr>OutputSheet!Print_Titles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2020-10-10T13:53:52Z</cp:lastPrinted>
  <dcterms:created xsi:type="dcterms:W3CDTF">2015-10-29T20:42:16Z</dcterms:created>
  <dcterms:modified xsi:type="dcterms:W3CDTF">2020-10-10T13:55:26Z</dcterms:modified>
</cp:coreProperties>
</file>