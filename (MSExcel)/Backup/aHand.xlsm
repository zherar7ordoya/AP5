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microsoft.com/office/2007/relationships/ui/extensibility" Target="/customUI/customUI14.xml" Id="Rea257132c55143b6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backupFile="1" codeName="AdCon" defaultThemeVersion="153222"/>
  <mc:AlternateContent xmlns:mc="http://schemas.openxmlformats.org/markup-compatibility/2006">
    <mc:Choice Requires="x15">
      <x15ac:absPath xmlns:x15ac="http://schemas.microsoft.com/office/spreadsheetml/2010/11/ac" url="C:\Documents\"/>
    </mc:Choice>
  </mc:AlternateContent>
  <bookViews>
    <workbookView xWindow="0" yWindow="0" windowWidth="20400" windowHeight="7800" firstSheet="1" activeTab="1"/>
  </bookViews>
  <sheets>
    <sheet name="InputSheet" sheetId="975" r:id="rId1"/>
    <sheet name="OutputSheet" sheetId="101" r:id="rId2"/>
  </sheets>
  <definedNames>
    <definedName name="_xlnm.Print_Area" localSheetId="1">OutputSheet!$A:$L</definedName>
    <definedName name="_xlnm.Print_Titles" localSheetId="1">OutputSheet!$1:$1</definedName>
  </definedNames>
  <calcPr calcId="162913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4" i="975" l="1"/>
  <c r="S4" i="975"/>
  <c r="R5" i="975"/>
  <c r="S5" i="975"/>
  <c r="R8" i="975"/>
  <c r="S8" i="975"/>
  <c r="R9" i="975"/>
  <c r="S9" i="975"/>
  <c r="R12" i="975"/>
  <c r="S12" i="975"/>
  <c r="R13" i="975"/>
  <c r="S13" i="975"/>
  <c r="R16" i="975"/>
  <c r="S16" i="975"/>
  <c r="R17" i="975"/>
  <c r="S17" i="975"/>
  <c r="R20" i="975"/>
  <c r="S20" i="975"/>
  <c r="R21" i="975"/>
  <c r="S21" i="975"/>
  <c r="R24" i="975"/>
  <c r="S24" i="975"/>
  <c r="R25" i="975"/>
  <c r="S25" i="975"/>
  <c r="R28" i="975"/>
  <c r="S28" i="975"/>
  <c r="R29" i="975"/>
  <c r="S29" i="975"/>
  <c r="R32" i="975"/>
  <c r="S32" i="975"/>
  <c r="R33" i="975"/>
  <c r="S33" i="975"/>
  <c r="R36" i="975"/>
  <c r="S36" i="975"/>
  <c r="R37" i="975"/>
  <c r="S37" i="975"/>
  <c r="R40" i="975"/>
  <c r="S40" i="975"/>
  <c r="R41" i="975"/>
  <c r="S41" i="975"/>
  <c r="R44" i="975"/>
  <c r="S44" i="975"/>
  <c r="R45" i="975"/>
  <c r="S45" i="975"/>
  <c r="R48" i="975"/>
  <c r="S48" i="975"/>
  <c r="R49" i="975"/>
  <c r="S49" i="975"/>
  <c r="R52" i="975"/>
  <c r="S52" i="975"/>
  <c r="R53" i="975"/>
  <c r="S53" i="975"/>
  <c r="R56" i="975"/>
  <c r="S56" i="975"/>
  <c r="R57" i="975"/>
  <c r="S57" i="975"/>
  <c r="R60" i="975"/>
  <c r="S60" i="975"/>
  <c r="R61" i="975"/>
  <c r="S61" i="975"/>
  <c r="R64" i="975"/>
  <c r="S64" i="975"/>
  <c r="R65" i="975"/>
  <c r="S65" i="975"/>
  <c r="R68" i="975"/>
  <c r="S68" i="975"/>
  <c r="R69" i="975"/>
  <c r="S69" i="975"/>
  <c r="R72" i="975"/>
  <c r="S72" i="975"/>
  <c r="R73" i="975"/>
  <c r="S73" i="975"/>
  <c r="R76" i="975"/>
  <c r="S76" i="975"/>
  <c r="R77" i="975"/>
  <c r="S77" i="975"/>
  <c r="R80" i="975"/>
  <c r="S80" i="975"/>
  <c r="R81" i="975"/>
  <c r="S81" i="975"/>
  <c r="R84" i="975"/>
  <c r="S84" i="975"/>
  <c r="R85" i="975"/>
  <c r="S85" i="975"/>
  <c r="R88" i="975"/>
  <c r="S88" i="975"/>
  <c r="R89" i="975"/>
  <c r="S89" i="975"/>
  <c r="R92" i="975"/>
  <c r="S92" i="975"/>
  <c r="R93" i="975"/>
  <c r="S93" i="975"/>
  <c r="R96" i="975"/>
  <c r="S96" i="975"/>
  <c r="R97" i="975"/>
  <c r="S97" i="975"/>
  <c r="R100" i="975"/>
  <c r="S100" i="975"/>
  <c r="R101" i="975"/>
  <c r="S101" i="975"/>
  <c r="R104" i="975"/>
  <c r="S104" i="975"/>
  <c r="R105" i="975"/>
  <c r="S105" i="975"/>
  <c r="R108" i="975"/>
  <c r="S108" i="975"/>
  <c r="R109" i="975"/>
  <c r="S109" i="975"/>
  <c r="R112" i="975"/>
  <c r="S112" i="975"/>
  <c r="R113" i="975"/>
  <c r="S113" i="975"/>
  <c r="R116" i="975"/>
  <c r="S116" i="975"/>
  <c r="R117" i="975"/>
  <c r="S117" i="975"/>
  <c r="R120" i="975"/>
  <c r="S120" i="975"/>
  <c r="R121" i="975"/>
  <c r="S121" i="975"/>
  <c r="R2" i="975"/>
  <c r="S2" i="975"/>
  <c r="R3" i="975"/>
  <c r="S3" i="975"/>
  <c r="R6" i="975"/>
  <c r="S6" i="975"/>
  <c r="R7" i="975"/>
  <c r="S7" i="975"/>
  <c r="R10" i="975"/>
  <c r="S10" i="975"/>
  <c r="R11" i="975"/>
  <c r="S11" i="975"/>
  <c r="R14" i="975"/>
  <c r="S14" i="975"/>
  <c r="R15" i="975"/>
  <c r="S15" i="975"/>
  <c r="R18" i="975"/>
  <c r="S18" i="975"/>
  <c r="R19" i="975"/>
  <c r="S19" i="975"/>
  <c r="R22" i="975"/>
  <c r="S22" i="975"/>
  <c r="R23" i="975"/>
  <c r="S23" i="975"/>
  <c r="R26" i="975"/>
  <c r="S26" i="975"/>
  <c r="R27" i="975"/>
  <c r="S27" i="975"/>
  <c r="R30" i="975"/>
  <c r="S30" i="975"/>
  <c r="R31" i="975"/>
  <c r="S31" i="975"/>
  <c r="R34" i="975"/>
  <c r="S34" i="975"/>
  <c r="R35" i="975"/>
  <c r="S35" i="975"/>
  <c r="R38" i="975"/>
  <c r="S38" i="975"/>
  <c r="R39" i="975"/>
  <c r="S39" i="975"/>
  <c r="R42" i="975"/>
  <c r="S42" i="975"/>
  <c r="R43" i="975"/>
  <c r="S43" i="975"/>
  <c r="R46" i="975"/>
  <c r="S46" i="975"/>
  <c r="R47" i="975"/>
  <c r="S47" i="975"/>
  <c r="R50" i="975"/>
  <c r="S50" i="975"/>
  <c r="R51" i="975"/>
  <c r="S51" i="975"/>
  <c r="R54" i="975"/>
  <c r="S54" i="975"/>
  <c r="R55" i="975"/>
  <c r="S55" i="975"/>
  <c r="R58" i="975"/>
  <c r="S58" i="975"/>
  <c r="R59" i="975"/>
  <c r="S59" i="975"/>
  <c r="R62" i="975"/>
  <c r="S62" i="975"/>
  <c r="R63" i="975"/>
  <c r="S63" i="975"/>
  <c r="R66" i="975"/>
  <c r="S66" i="975"/>
  <c r="R67" i="975"/>
  <c r="S67" i="975"/>
  <c r="R70" i="975"/>
  <c r="S70" i="975"/>
  <c r="R71" i="975"/>
  <c r="S71" i="975"/>
  <c r="R74" i="975"/>
  <c r="S74" i="975"/>
  <c r="R75" i="975"/>
  <c r="S75" i="975"/>
  <c r="R78" i="975"/>
  <c r="S78" i="975"/>
  <c r="R79" i="975"/>
  <c r="S79" i="975"/>
  <c r="R82" i="975"/>
  <c r="S82" i="975"/>
  <c r="R83" i="975"/>
  <c r="S83" i="975"/>
  <c r="R86" i="975"/>
  <c r="S86" i="975"/>
  <c r="R87" i="975"/>
  <c r="S87" i="975"/>
  <c r="R90" i="975"/>
  <c r="S90" i="975"/>
  <c r="R91" i="975"/>
  <c r="S91" i="975"/>
  <c r="R94" i="975"/>
  <c r="S94" i="975"/>
  <c r="R95" i="975"/>
  <c r="S95" i="975"/>
  <c r="R98" i="975"/>
  <c r="S98" i="975"/>
  <c r="R99" i="975"/>
  <c r="S99" i="975"/>
  <c r="R102" i="975"/>
  <c r="S102" i="975"/>
  <c r="R103" i="975"/>
  <c r="S103" i="975"/>
  <c r="R106" i="975"/>
  <c r="S106" i="975"/>
  <c r="R107" i="975"/>
  <c r="S107" i="975"/>
  <c r="R110" i="975"/>
  <c r="S110" i="975"/>
  <c r="R111" i="975"/>
  <c r="S111" i="975"/>
  <c r="R114" i="975"/>
  <c r="S114" i="975"/>
  <c r="R115" i="975"/>
  <c r="S115" i="975"/>
  <c r="R118" i="975"/>
  <c r="S118" i="975"/>
  <c r="R119" i="975"/>
  <c r="S119" i="975"/>
  <c r="R122" i="975"/>
  <c r="S122" i="975"/>
  <c r="R123" i="975"/>
  <c r="S123" i="975"/>
  <c r="Q2" i="975"/>
  <c r="Q10" i="975"/>
  <c r="Q18" i="975"/>
  <c r="Q26" i="975"/>
  <c r="Q34" i="975"/>
  <c r="Q42" i="975"/>
  <c r="Q50" i="975"/>
  <c r="Q58" i="975"/>
  <c r="Q66" i="975"/>
  <c r="Q74" i="975"/>
  <c r="Q82" i="975"/>
  <c r="Q90" i="975"/>
  <c r="Q98" i="975"/>
  <c r="Q106" i="975"/>
  <c r="Q114" i="975"/>
  <c r="Q122" i="975"/>
  <c r="Q12" i="975"/>
  <c r="Q28" i="975"/>
  <c r="Q44" i="975"/>
  <c r="Q60" i="975"/>
  <c r="Q76" i="975"/>
  <c r="Q92" i="975"/>
  <c r="Q108" i="975"/>
  <c r="Q5" i="975"/>
  <c r="Q21" i="975"/>
  <c r="Q37" i="975"/>
  <c r="Q53" i="975"/>
  <c r="Q69" i="975"/>
  <c r="Q85" i="975"/>
  <c r="Q101" i="975"/>
  <c r="Q117" i="975"/>
  <c r="Q7" i="975"/>
  <c r="Q15" i="975"/>
  <c r="Q23" i="975"/>
  <c r="Q31" i="975"/>
  <c r="Q39" i="975"/>
  <c r="Q47" i="975"/>
  <c r="Q55" i="975"/>
  <c r="Q63" i="975"/>
  <c r="Q71" i="975"/>
  <c r="Q79" i="975"/>
  <c r="Q87" i="975"/>
  <c r="Q95" i="975"/>
  <c r="Q103" i="975"/>
  <c r="Q111" i="975"/>
  <c r="Q119" i="975"/>
  <c r="Q4" i="975"/>
  <c r="Q24" i="975"/>
  <c r="Q40" i="975"/>
  <c r="Q56" i="975"/>
  <c r="Q72" i="975"/>
  <c r="Q88" i="975"/>
  <c r="Q104" i="975"/>
  <c r="Q120" i="975"/>
  <c r="Q17" i="975"/>
  <c r="Q33" i="975"/>
  <c r="Q49" i="975"/>
  <c r="Q65" i="975"/>
  <c r="Q81" i="975"/>
  <c r="Q97" i="975"/>
  <c r="Q113" i="975"/>
  <c r="Q6" i="975"/>
  <c r="Q14" i="975"/>
  <c r="Q22" i="975"/>
  <c r="Q30" i="975"/>
  <c r="Q38" i="975"/>
  <c r="Q46" i="975"/>
  <c r="Q54" i="975"/>
  <c r="Q62" i="975"/>
  <c r="Q70" i="975"/>
  <c r="Q78" i="975"/>
  <c r="Q86" i="975"/>
  <c r="Q94" i="975"/>
  <c r="Q102" i="975"/>
  <c r="Q110" i="975"/>
  <c r="Q118" i="975"/>
  <c r="Q8" i="975"/>
  <c r="Q20" i="975"/>
  <c r="Q36" i="975"/>
  <c r="Q52" i="975"/>
  <c r="Q68" i="975"/>
  <c r="Q84" i="975"/>
  <c r="Q100" i="975"/>
  <c r="Q116" i="975"/>
  <c r="Q13" i="975"/>
  <c r="Q29" i="975"/>
  <c r="Q45" i="975"/>
  <c r="Q61" i="975"/>
  <c r="Q77" i="975"/>
  <c r="Q93" i="975"/>
  <c r="Q109" i="975"/>
  <c r="Q3" i="975"/>
  <c r="Q11" i="975"/>
  <c r="Q19" i="975"/>
  <c r="Q27" i="975"/>
  <c r="Q35" i="975"/>
  <c r="Q43" i="975"/>
  <c r="Q51" i="975"/>
  <c r="Q59" i="975"/>
  <c r="Q67" i="975"/>
  <c r="Q75" i="975"/>
  <c r="Q83" i="975"/>
  <c r="Q91" i="975"/>
  <c r="Q99" i="975"/>
  <c r="Q107" i="975"/>
  <c r="Q115" i="975"/>
  <c r="Q123" i="975"/>
  <c r="Q16" i="975"/>
  <c r="Q32" i="975"/>
  <c r="Q48" i="975"/>
  <c r="Q64" i="975"/>
  <c r="Q80" i="975"/>
  <c r="Q96" i="975"/>
  <c r="Q112" i="975"/>
  <c r="Q9" i="975"/>
  <c r="Q25" i="975"/>
  <c r="Q41" i="975"/>
  <c r="Q57" i="975"/>
  <c r="Q73" i="975"/>
  <c r="Q89" i="975"/>
  <c r="Q105" i="975"/>
  <c r="Q121" i="975"/>
</calcChain>
</file>

<file path=xl/sharedStrings.xml><?xml version="1.0" encoding="utf-8"?>
<sst xmlns="http://schemas.openxmlformats.org/spreadsheetml/2006/main" count="2405" uniqueCount="598">
  <si>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</si>
  <si>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</si>
  <si>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</si>
  <si>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</si>
  <si>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</si>
  <si>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</si>
  <si>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</si>
  <si>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</si>
  <si>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</si>
  <si>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</si>
  <si>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</si>
  <si>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</si>
  <si>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</si>
  <si>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</si>
  <si>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</si>
  <si>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</si>
  <si>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</si>
  <si>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</si>
  <si>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</si>
  <si>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</si>
  <si>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1-1423937-6</t>
  </si>
  <si>
    <t>Autojujuy Sociedad Anónima</t>
  </si>
  <si>
    <t>278211</t>
  </si>
  <si>
    <t>AutoJujuy 1</t>
  </si>
  <si>
    <t>Oreja Izquierda</t>
  </si>
  <si>
    <t>Cuenta Corriente</t>
  </si>
  <si>
    <t>B&amp;N</t>
  </si>
  <si>
    <t>OREIZQ</t>
  </si>
  <si>
    <t>Pag 1</t>
  </si>
  <si>
    <t>OK</t>
  </si>
  <si>
    <t>1-1423941-4</t>
  </si>
  <si>
    <t>278212</t>
  </si>
  <si>
    <t>AutoJujuy 2</t>
  </si>
  <si>
    <t>Oreja Derecha</t>
  </si>
  <si>
    <t>OreDer</t>
  </si>
  <si>
    <t>1-1421528-1</t>
  </si>
  <si>
    <t>Obachi Gabriela Cecilia</t>
  </si>
  <si>
    <t>276450</t>
  </si>
  <si>
    <t>Gabiota Sport</t>
  </si>
  <si>
    <t>Notables - Jujuy 1 Col</t>
  </si>
  <si>
    <t>JVEN08</t>
  </si>
  <si>
    <t>1-1424963-4</t>
  </si>
  <si>
    <t>Torrejon Ricardo Ramon.</t>
  </si>
  <si>
    <t>DON VITO PARRILLA...</t>
  </si>
  <si>
    <t>aviso armado por diego</t>
  </si>
  <si>
    <t>Contado</t>
  </si>
  <si>
    <t>1-1424868-2</t>
  </si>
  <si>
    <t>Mendoza  Mario</t>
  </si>
  <si>
    <t>VENDO AMAROK V6 2018, impecable, recibo camioneta menor valor. Cel. 388-4674278 / 388-68613128   62018</t>
  </si>
  <si>
    <t>JVEN07</t>
  </si>
  <si>
    <t>Pag 5</t>
  </si>
  <si>
    <t>1-1425016-2</t>
  </si>
  <si>
    <t>Ramos  Mauro Ivan</t>
  </si>
  <si>
    <t>VENDO ECOSPORT (NARANJA) sin detalles,2015 Free style, equipibre deuda. Escucho Ofertas. Cel 3886862907 (wpp)/ 154876376</t>
  </si>
  <si>
    <t>1-1420574-1</t>
  </si>
  <si>
    <t>VALDIVIEZO LILA FERNANDA</t>
  </si>
  <si>
    <t>276440</t>
  </si>
  <si>
    <t>NORTE GNC</t>
  </si>
  <si>
    <t>JVEN06</t>
  </si>
  <si>
    <t>1-1420582-2</t>
  </si>
  <si>
    <t>ARMELLA CESAR DANIEL</t>
  </si>
  <si>
    <t>276442</t>
  </si>
  <si>
    <t>MYN INYECCION</t>
  </si>
  <si>
    <t>1-1424940-2</t>
  </si>
  <si>
    <t>Arancibia  Gustavo</t>
  </si>
  <si>
    <t>COMPRA VENTA PERMUTA  Renault Megan mod 2008 GNC $195.000 Fi  Bº Malvinas (CERCA OF /AGUA DE LOS ANDES) CEL. 388  191995</t>
  </si>
  <si>
    <t>1-1425270-2</t>
  </si>
  <si>
    <t>Antonio Noguera</t>
  </si>
  <si>
    <t>SANDERO STEPWAY  MOD/2018 -15.000KM Tel. 0388-156855015</t>
  </si>
  <si>
    <t>1-1424727-3</t>
  </si>
  <si>
    <t>Roca Enrique Vicente</t>
  </si>
  <si>
    <t>290123</t>
  </si>
  <si>
    <t>ROCA VENDE LOCALES</t>
  </si>
  <si>
    <t>AVISO ARMADO EN CARPETA</t>
  </si>
  <si>
    <t>Promocionales</t>
  </si>
  <si>
    <t>JVEN04</t>
  </si>
  <si>
    <t>Pag 3</t>
  </si>
  <si>
    <t>1-1425073-2</t>
  </si>
  <si>
    <t>Horizontes S A</t>
  </si>
  <si>
    <t>122772</t>
  </si>
  <si>
    <t>CHACRAS DE GALLINATO</t>
  </si>
  <si>
    <t>aviso en carpeta</t>
  </si>
  <si>
    <t>JVEN03</t>
  </si>
  <si>
    <t>1-1420912-6</t>
  </si>
  <si>
    <t>RODRIGUEZ QUIROGA MARTIN</t>
  </si>
  <si>
    <t>278371</t>
  </si>
  <si>
    <t>RQ VENTA DE TERRENOS</t>
  </si>
  <si>
    <t>JVEN02</t>
  </si>
  <si>
    <t>1-1422365-2</t>
  </si>
  <si>
    <t>ECO WAPSI S.R.L.</t>
  </si>
  <si>
    <t>278177</t>
  </si>
  <si>
    <t>INMOBILIARIA BARCENA VENDE (LOGO)  ULTIMOS  9 LOTES 10 X 25 SANTO DOMINGO - PERICO FINANCIACION PROPIA</t>
  </si>
  <si>
    <t>aviso con logo inmob barcena</t>
  </si>
  <si>
    <t>1-1422371-2</t>
  </si>
  <si>
    <t>278179</t>
  </si>
  <si>
    <t>INMOBILIARIA BARCENA VENDE (LOGO)  LOTEO PILAR - ALTO COMEDEA.CLOACAS-CORDON CUNETA ENTREGA MINIMA Y AMPLIA FINANCIACION</t>
  </si>
  <si>
    <t>1-1423799-2</t>
  </si>
  <si>
    <t>Urbina  Norma</t>
  </si>
  <si>
    <t>HUMAHUACA LOTEO SAN JORGE  10x25 $ 250.000 agua y luz. 10X30, agua y luz. Financiación.388-41692678 4169267</t>
  </si>
  <si>
    <t>modifico numero de telefono</t>
  </si>
  <si>
    <t>1-1424452-2</t>
  </si>
  <si>
    <t>Agostini Desarrollos Inmobiliarios Sociedad De Responsabilidad Limitada</t>
  </si>
  <si>
    <t>278240</t>
  </si>
  <si>
    <t>RIO BLANCO - STO. DOMINGO ...</t>
  </si>
  <si>
    <t>1-1424949-2</t>
  </si>
  <si>
    <t>Flores Alejandro Hugo</t>
  </si>
  <si>
    <t>VENDO TERRENO EN PALPALA B° Antártida 15x40, a 1 cuadra de C.  Recibo vehículo parte de pago.Escucho ofertas de contado.</t>
  </si>
  <si>
    <t>1-1425007-2</t>
  </si>
  <si>
    <t>Yamabe  Yoshiro</t>
  </si>
  <si>
    <t>DUEÑO VENDE TERRENO de 250 mtrs2, t/ser y papeles al día. Caeso. Altura Rotonda Chango Mas. Cel. 3884049899  38884070073</t>
  </si>
  <si>
    <t>12-1425058-2</t>
  </si>
  <si>
    <t>LOPEZ DELGADO CLAUDIA TATIANA</t>
  </si>
  <si>
    <t>PERICO  VENDO 2 TERRENOS juntos 10x25 c/u. Bº Municipal. Recibo camioneta C/D. 4x4  Cel. 388 154084933154084933</t>
  </si>
  <si>
    <t>con color (repetir)</t>
  </si>
  <si>
    <t>1-1425119-2</t>
  </si>
  <si>
    <t>Crediplata S.A.</t>
  </si>
  <si>
    <t>EDINOR DESARROLLOS INMOBILIARIOS, Loteo El Camino Real, Rio pendencia 573. Cel 388-4233964 / 155135994 www.edin8 4233964</t>
  </si>
  <si>
    <t>1-1425259-2</t>
  </si>
  <si>
    <t>BIENES S.R.L.</t>
  </si>
  <si>
    <t>VENDO IMPORTANTE TERRENO  En excelente ubicación  B° Alto Padilla  10x40 Cel. 388-43319818 4331981</t>
  </si>
  <si>
    <t>1-1425261-2</t>
  </si>
  <si>
    <t>VENDO TERRENOS En B° Los Perales  10x30 y 10x40 Excelente ubción. Cel. 388-4331981        388-5850554        388 4331981</t>
  </si>
  <si>
    <t>1-1422143-2</t>
  </si>
  <si>
    <t>278166</t>
  </si>
  <si>
    <t>BIENES SRL</t>
  </si>
  <si>
    <t>JVEN01</t>
  </si>
  <si>
    <t>1-1422372-2</t>
  </si>
  <si>
    <t>278180</t>
  </si>
  <si>
    <t>BARCENA PROP VENTAS...</t>
  </si>
  <si>
    <t>Pag 2</t>
  </si>
  <si>
    <t>12-1422979-2</t>
  </si>
  <si>
    <t>Zalazar Betty</t>
  </si>
  <si>
    <t>PERICO DUEÑO VENDE CASA Bº 20 de Junio Comedor amplio, Liv. 3 Dorm. Ubicación exclusiva. Tel. fijo 388 4911634 8 4915494</t>
  </si>
  <si>
    <t>1-1423988-4</t>
  </si>
  <si>
    <t>LAMARA S.R.L.</t>
  </si>
  <si>
    <t>289901</t>
  </si>
  <si>
    <t>LEONA VENDE</t>
  </si>
  <si>
    <t>repite ultimo aviso</t>
  </si>
  <si>
    <t>1-1424284-5</t>
  </si>
  <si>
    <t>278121</t>
  </si>
  <si>
    <t>RQ VENTA DE CASAS</t>
  </si>
  <si>
    <t>1-1424724-3</t>
  </si>
  <si>
    <t>290122</t>
  </si>
  <si>
    <t>ROCA VENDE CASAS</t>
  </si>
  <si>
    <t>1-1424739-2</t>
  </si>
  <si>
    <t>Cañas  Carlos Alberto</t>
  </si>
  <si>
    <t>CAÑAS VENDE  URGENTE   -Exclusivo Chalet Cdad. de Nieva, salsq. Balcarce. Lavalle 261- Of. 5. Tel. 0388-42271328 4227132</t>
  </si>
  <si>
    <t>1-1424916-1</t>
  </si>
  <si>
    <t>De La Zerda  Luis Hector</t>
  </si>
  <si>
    <t>DUEÑO VENDE DPTO  2 Hab - 2 Baños. 73 m2 Propios  Las Vicuñas a 50 Mts. de Policia y Rotonda.  Cel. 3886853325</t>
  </si>
  <si>
    <t>1-1424923-2</t>
  </si>
  <si>
    <t>Basbus Ernesto</t>
  </si>
  <si>
    <t>DUEÑO VENDE  sin comisión  casa planta baja  2 dorm. c/cochera  Barrio Los Perales.  Cel. 388-50173178 5017317</t>
  </si>
  <si>
    <t>1-1424993-4</t>
  </si>
  <si>
    <t>Pasquini Fernanda</t>
  </si>
  <si>
    <t>DUEÑO VENDE  Dpto. de 98 m2, 3 dorm. 1 en suite,  con parrilrres del Cabildo  Sarmiento y Alvear.  388-4789274 8 4789274</t>
  </si>
  <si>
    <t>1-1425155-2</t>
  </si>
  <si>
    <t>Paco  Valeria</t>
  </si>
  <si>
    <t>VENDO EDIFICIO 3 PLANTAS 3 dptos. 100 m2 c/u, incluye un gal dptos. a estrenar escritura en el acto. 154467312 8 4255261</t>
  </si>
  <si>
    <t>1-1420564-2</t>
  </si>
  <si>
    <t>Carvajal Juan Carlos</t>
  </si>
  <si>
    <t>276438</t>
  </si>
  <si>
    <t>FERRETERIA CARBAJAL</t>
  </si>
  <si>
    <t>RENUEVA IMAGEN A PARTIR DEL 5/01</t>
  </si>
  <si>
    <t>JPINTF</t>
  </si>
  <si>
    <t>Pag 4</t>
  </si>
  <si>
    <t>1-1421005-7</t>
  </si>
  <si>
    <t>Dergam Srl</t>
  </si>
  <si>
    <t>278383</t>
  </si>
  <si>
    <t>DERGAM</t>
  </si>
  <si>
    <t>1-1423905-2</t>
  </si>
  <si>
    <t>El Mundo De Las Herramientas S.R.L.</t>
  </si>
  <si>
    <t>278218</t>
  </si>
  <si>
    <t>CARMOTO FERRETERIA INDUSTRIAL</t>
  </si>
  <si>
    <t>1-1424945-2</t>
  </si>
  <si>
    <t>FLORES JOSE LUIS</t>
  </si>
  <si>
    <t>IMPORTANTE CONSULTORA DEL MEDIO SOLICITAN PROMOTORAS/ES  Mayte mail: ap1047cnv@gmail.com con asuntos:“REF.PROMOTORES/AS”</t>
  </si>
  <si>
    <t>JPEDID</t>
  </si>
  <si>
    <t>1-1424959-2</t>
  </si>
  <si>
    <t>Cultivar S.r.l.</t>
  </si>
  <si>
    <t>278131</t>
  </si>
  <si>
    <t>EMPR. CONSTRUCT. NEC. PERSONAL</t>
  </si>
  <si>
    <t>1-1425056-2</t>
  </si>
  <si>
    <t>Sola Jose Leandro</t>
  </si>
  <si>
    <t>278263</t>
  </si>
  <si>
    <t>NECESITO SOLDADOR PARA REPARACION DE MAQUINAS, ZONA PERICO CEL: 3884041580</t>
  </si>
  <si>
    <t>1-1425116-2</t>
  </si>
  <si>
    <t xml:space="preserve"> SOLKLINOR S.R.L. SOCIEDAD EN FORMACION</t>
  </si>
  <si>
    <t>289009</t>
  </si>
  <si>
    <t>"Imp. empresa busca Analista de Riesgo Crediticio. Req. n/exlidad horaria full time. Enviar CV a:cvbusquedacv@gmail.com"</t>
  </si>
  <si>
    <t>1-1425244-2</t>
  </si>
  <si>
    <t>Agropecuario SRL.</t>
  </si>
  <si>
    <t>SOLICITAMOS  Ing. Agrónomo, Ing. Zootecnista  o Técnico en P Jujuy, Capital.  Enviar CV. A agropecuariosrl2011@gmail.com</t>
  </si>
  <si>
    <t>1-1425264-3</t>
  </si>
  <si>
    <t>Coop. De Trabajo Textil Lda.</t>
  </si>
  <si>
    <t>IMPORTANTE EMPRESA TEXTIL Necesita costureros/as. Con experiosto 183 PERICO. (lun a vier. de 18 a 21 hs)Cel.3888 5004283</t>
  </si>
  <si>
    <t>1-1424984-2</t>
  </si>
  <si>
    <t>223232</t>
  </si>
  <si>
    <t>DUEÑO VENDE VENDO FONDO DE COMERCIO BUENA RENTABILIDAD 0388-154963270</t>
  </si>
  <si>
    <t>JOPORT</t>
  </si>
  <si>
    <t>1-1423924-3</t>
  </si>
  <si>
    <t>Vera Inés Del Carmen</t>
  </si>
  <si>
    <t>289907</t>
  </si>
  <si>
    <t>CARMEN UNA VIDENTE</t>
  </si>
  <si>
    <t>repite del ultimo aviso</t>
  </si>
  <si>
    <t>JOFREC</t>
  </si>
  <si>
    <t>1-1424468-2</t>
  </si>
  <si>
    <t>Peñarrieta Julio</t>
  </si>
  <si>
    <t>(LOGO)HASSA CONSTRUCCIONES ALBAÑILERÍA EN GENERAL  Losas de ciones. Presupuesto sin cargo.  Cel.3884542207/ Fij8 4235962</t>
  </si>
  <si>
    <t>CON LOGO DE AVISO Nº 1395935</t>
  </si>
  <si>
    <t>1-1392690-2</t>
  </si>
  <si>
    <t>ECOMET S.R.L.</t>
  </si>
  <si>
    <t>275169</t>
  </si>
  <si>
    <t>METALNOR-METALES-CHATARRA</t>
  </si>
  <si>
    <t>JMATCO</t>
  </si>
  <si>
    <t>1-1425267-2</t>
  </si>
  <si>
    <t>Noguera  Antonio</t>
  </si>
  <si>
    <t>“EL HORNERO” ALQUILO CAMIONES VOLQUETES 18m3 y 6m6 “EL HORNEÑOS QUÍMICOS “EL HORNERO” CONTENEDORES Tel.156855018 4250352</t>
  </si>
  <si>
    <t>“EL HORNERO” fondo negro todos los el hornero _x000D_
ALQUILO _x000D_
CAMIONES VOLQUETES negrita ALQUILER DE _x000D_
MAQUINAS-DESAGOTES BAÑOS QUÍMICOS negritasCONTENEDORES  negrita _x000D_
Tel.156855015/4250352  fondo negro</t>
  </si>
  <si>
    <t>JMAQCO</t>
  </si>
  <si>
    <t>1-1425269-2</t>
  </si>
  <si>
    <t>AGUATERO “EL HORNERO” VENDO AGUA CAMION REGADOR Tel 156855015 - 42503528 4250352</t>
  </si>
  <si>
    <t>fondo negro  aguatero “EL HORNERO” VENDO AGUA CAMION REGADOR</t>
  </si>
  <si>
    <t>1-1425005-3</t>
  </si>
  <si>
    <t>Madariaga  Olga</t>
  </si>
  <si>
    <t>CURSOS COCINA VEGETARIANA- PANIFICACIÓN INTEGRAL con salida ga Madariaga Nutricionista, Dietista, MP 081 Cel 388 5877043</t>
  </si>
  <si>
    <t>CURSOS DE VERANO_x000D_
COCINA VEGETARIANA Y PANIFICACION _x000D_
INTEGRAL ------ FONDO NEGRO_x000D_
Informes. Cel 388-5877043 ---- TAMBIEN FONDO NEGRO</t>
  </si>
  <si>
    <t>JINSPR</t>
  </si>
  <si>
    <t>1-1423925-2</t>
  </si>
  <si>
    <t>HORMIGONERA JUJUY S.R.L.</t>
  </si>
  <si>
    <t>289906</t>
  </si>
  <si>
    <t>HORMIGONERA  JUJUY S.R.L. VENTA DE ARIDOS: PIEDRA, ARENA, RIIO.  RELLENO DE TERRENO 4259148 - 4259548 ALTE BROW8 4259148</t>
  </si>
  <si>
    <t>JEMPCO</t>
  </si>
  <si>
    <t>1-1423928-2</t>
  </si>
  <si>
    <t>289905</t>
  </si>
  <si>
    <t>HORMIGONERA -VENTA DE HORMIGON EN MIXER</t>
  </si>
  <si>
    <t>1-1423929-2</t>
  </si>
  <si>
    <t>Urbania S.R.L.</t>
  </si>
  <si>
    <t>289904</t>
  </si>
  <si>
    <t>HORMIGONERA + DE 20 AÑOS</t>
  </si>
  <si>
    <t>repite de ultimo aviso</t>
  </si>
  <si>
    <t>10-1423328-4</t>
  </si>
  <si>
    <t>Colque Mansilla Mauricio</t>
  </si>
  <si>
    <t>PRESTAMOS EN EFECTIVO  CON TODAS LAS TARJETAS DE CREDITO  3 AN MARTIN 647 - LOCAL 1. S.S. DE JUJUY.  Cel. 388- 155965454</t>
  </si>
  <si>
    <t>JDINER</t>
  </si>
  <si>
    <t>1-1423921-3</t>
  </si>
  <si>
    <t>FEIJOO ANDREA VANESA</t>
  </si>
  <si>
    <t>289909</t>
  </si>
  <si>
    <t>PRESTAMOS DE DINERO CON ASESORAMIENTO (IMAGEN BILLETES DE 50IA IMPULSO  PLANTA BAJA - (LOCAL Nº 14) 4232228 - 38 4232228</t>
  </si>
  <si>
    <t>corregir aviso cambia texto telefonos y agrega planta baja</t>
  </si>
  <si>
    <t>1-1423923-3</t>
  </si>
  <si>
    <t>FEIJOO CARLOS MARTIN</t>
  </si>
  <si>
    <t>289908</t>
  </si>
  <si>
    <t>PRESTAMOS DE DINERO en el acto CON EL MEJOR PLAN Y ASESORAMIS) CON TARJETAS DE CREDITO INDEPENDENCIA 718 4241238 4241230</t>
  </si>
  <si>
    <t>1-1424258-2</t>
  </si>
  <si>
    <t>ALEJANDRO FERNANDEZ GAUNA</t>
  </si>
  <si>
    <t>PRESTAMOS  Con tarjeta, empeños, prendas, cambio, cheques terceros cel. 3886867250.</t>
  </si>
  <si>
    <t>1-1424278-2</t>
  </si>
  <si>
    <t>CAZON FLORENCIA</t>
  </si>
  <si>
    <t>DINERO  PRESTAMOS - EMPEÑOS AUTOS Y MOTOS  Cel. 388-5844130 ijo 388- 4232023 ALVEAR 720 De 9 a 13.30 y 17.30 a 8 5844130</t>
  </si>
  <si>
    <t>REMARCAR LETRA EN NEGRITA _x000D_
_x000D_
 COLOR AMARILLO</t>
  </si>
  <si>
    <t>1-1425086-2</t>
  </si>
  <si>
    <t>Lopez  Martin Emiliano</t>
  </si>
  <si>
    <t>PRESTAMOS EN EL ACTO -personales y comercio  -(tarjeta de crédito y efectivo)  Cel. 3884842181.</t>
  </si>
  <si>
    <t>PRESTAMOS EN EL ACTO  C/FONDO NEGRO_x000D_
 Cel. 3884842181. C/NEGRO</t>
  </si>
  <si>
    <t>1-1425098-1</t>
  </si>
  <si>
    <t>Gasparovic  Veronica Adelaida</t>
  </si>
  <si>
    <t>EFECTIVO EN EL ACTO CON TODAS LAS TARJETAS (aviso nuevo color amarillo)</t>
  </si>
  <si>
    <t>IMAGEN DE COLOR AMARILLA PARA LAS VECES QUE SALGA A COLOR</t>
  </si>
  <si>
    <t>1-1423776-2</t>
  </si>
  <si>
    <t>Vilar Cristian Leandro</t>
  </si>
  <si>
    <t>///// TASADOR ////  AVISO ARMADO  tasador</t>
  </si>
  <si>
    <t>JCOM01</t>
  </si>
  <si>
    <t>1-1423932-2</t>
  </si>
  <si>
    <t>PANERO JULIO CESAR</t>
  </si>
  <si>
    <t>289902</t>
  </si>
  <si>
    <t>JULIO PANERO</t>
  </si>
  <si>
    <t>1-1425187-2</t>
  </si>
  <si>
    <t>Flores  Adriana De Las Mercedes</t>
  </si>
  <si>
    <t>CONVOCATORIA ASMBLEA GENERAL ORDINARIA La Comisión Reorganizn la Comisión Reorganizadora. 4- Renovación de Auto8   21139</t>
  </si>
  <si>
    <t>Asamblea Cm- Jujuy</t>
  </si>
  <si>
    <t>JASAMB</t>
  </si>
  <si>
    <t>Pag 8</t>
  </si>
  <si>
    <t>1-1425214-2</t>
  </si>
  <si>
    <t>Liga De Veteranos De Futbol</t>
  </si>
  <si>
    <t>LIGA DE VETERANO DE FUTBOL DE JUJUY CONVOCATORIA La Comisiónia  Sin otro particular saludamos a ud, muy atentamente.----</t>
  </si>
  <si>
    <t>1-1425280-2</t>
  </si>
  <si>
    <t>Tofino Carola</t>
  </si>
  <si>
    <t>ASOCIACIÓN CIVIL -Centro Integral de Acondicionamiento Físicrero de 2020 a hs. 10.00.- Presidente: Marcelo Serg8   10206</t>
  </si>
  <si>
    <t>1-1422757-2</t>
  </si>
  <si>
    <t>Perez Silvia Liliana</t>
  </si>
  <si>
    <t>ALQUILO  2 LOCALES COMERCIALES en J.M. Gorriti al 800 (Gorriy Campero 209). Cel 388-5272799 / 388-4101366 de 168 5272799</t>
  </si>
  <si>
    <t>JALO04</t>
  </si>
  <si>
    <t>1-1424737-2</t>
  </si>
  <si>
    <t>CAÑAS ALQUILA  - PROPIEDAD 2 plantas calle Alvear - Dos ofic Cnel. Arias. Lavalle 261- Of. 5. Tel. 0388-42271328 4227132</t>
  </si>
  <si>
    <t>1-1425145-2</t>
  </si>
  <si>
    <t>Balmaceda Guillermo Javier</t>
  </si>
  <si>
    <t>278133</t>
  </si>
  <si>
    <t>SE ALQUILA LOCAL PLENO CENTRO</t>
  </si>
  <si>
    <t>1-1425175-2</t>
  </si>
  <si>
    <t>Solis  Sergio Ezequiel</t>
  </si>
  <si>
    <t>ALQUILO LOCAL 14 mtr2 Frente shopping Belgrano 566 ideal Oficina  Cel. 3885138133  3884879937.884879937</t>
  </si>
  <si>
    <t>1-1421004-1</t>
  </si>
  <si>
    <t>Zamar  Juan Jose</t>
  </si>
  <si>
    <t>278385</t>
  </si>
  <si>
    <t>ALQUILO DEPTO CATEGORIA</t>
  </si>
  <si>
    <t>JALO01</t>
  </si>
  <si>
    <t>1-1423987-4</t>
  </si>
  <si>
    <t>289900</t>
  </si>
  <si>
    <t>LEONA ALQUILA</t>
  </si>
  <si>
    <t>repite ultimo aviso publicado</t>
  </si>
  <si>
    <t>1-1424524-3</t>
  </si>
  <si>
    <t>Quispe  Noelia</t>
  </si>
  <si>
    <t>ALQUILO CASA PARA 10 personas en carnaval en Humahuaca.cel 388154105290 388154885607.154105290</t>
  </si>
  <si>
    <t>1-1424902-2</t>
  </si>
  <si>
    <t>Rosenbluth  Fernando</t>
  </si>
  <si>
    <t>ALQUILO DEPARTAMENTO DE CATEGORIA de 2 dorm,   en calle Ituzaingo 428 B°. Cdad de Nieva.  Cel 0388-155181765</t>
  </si>
  <si>
    <t>1-1424908-2</t>
  </si>
  <si>
    <t>Luciani Susana</t>
  </si>
  <si>
    <t>ALQUILO CASA EN LOS NOGALES (Yala) por dias por mes, por temnte equipada.Tratar 0388-155870519- 0388-154676512 (no mjes)</t>
  </si>
  <si>
    <t>1-1424941-2</t>
  </si>
  <si>
    <t>Rivas  Diego Rodrigo</t>
  </si>
  <si>
    <t>MAIMARA DUEÑO VENDE Y/O ALQUILA CASA Bº El Cristo a una cuadincena, mes o bianual.Tratar 388-154707788.Horario Comercial</t>
  </si>
  <si>
    <t>1-1425122-2</t>
  </si>
  <si>
    <t>EDINOR DESARROLLOS INMOBILIARIOS -Alquila Loft en Necochea 2endencia 573. Cel 388-4233964 / 155135994  www.edin8 4233964</t>
  </si>
  <si>
    <t>EDINOR DESARROLLOS _x000D_
INMOBILIARIOS negrita _x000D_
Independencia 573. Cel _x000D_
388-4233964 / 155135994 _x000D_
www.edinor.com.ar fondo negro</t>
  </si>
  <si>
    <t>1-1424222-2</t>
  </si>
  <si>
    <t>Luis  Cabrera</t>
  </si>
  <si>
    <t>/////////////////JESUS TAROT////////</t>
  </si>
  <si>
    <t>a color los días correspondientes ( aviso para renovación )</t>
  </si>
  <si>
    <t>Notables - Jujuy +1 Col</t>
  </si>
  <si>
    <t>JAGRUP</t>
  </si>
  <si>
    <t>Pag 7</t>
  </si>
  <si>
    <t>1-1424952-3</t>
  </si>
  <si>
    <t>Martinez  Geronimo</t>
  </si>
  <si>
    <t>Nadie supera mis trabajos porque yo nací donde se hacen los  jamas igualarme!! Cel.: 3884626046 Atencion en S.S de Jujuy</t>
  </si>
  <si>
    <t>DON ANTES DE ALEXANDER</t>
  </si>
  <si>
    <t>12-1425268-2</t>
  </si>
  <si>
    <t>Abanto  Freddy</t>
  </si>
  <si>
    <t>EL TERROR DE LOS INFIELES CHAMAN FRANCISCO Y  VANESA</t>
  </si>
  <si>
    <t>sin color corregir (milagrosa)  aviso para renovar</t>
  </si>
  <si>
    <t>1-1425274-3</t>
  </si>
  <si>
    <t>20898</t>
  </si>
  <si>
    <t>MOTORTRAC</t>
  </si>
  <si>
    <t>AVISO EN CARPETA DE NOTABLES</t>
  </si>
  <si>
    <t>1-1425279-2</t>
  </si>
  <si>
    <t>Ramirez Roberto Ruben</t>
  </si>
  <si>
    <t>202950</t>
  </si>
  <si>
    <t>VENDO LOCAL COMERCIAL</t>
  </si>
  <si>
    <t>aviso llega por mail</t>
  </si>
  <si>
    <t>Cuerpo Central</t>
  </si>
  <si>
    <t>1-1417311-2</t>
  </si>
  <si>
    <t>201412</t>
  </si>
  <si>
    <t>INSTITUTO LA MERCED</t>
  </si>
  <si>
    <t>AVISO LLEGA POR MAIL</t>
  </si>
  <si>
    <t>Editorial Comercial - Jujuy</t>
  </si>
  <si>
    <t>SUDC</t>
  </si>
  <si>
    <t>1-1423204-6</t>
  </si>
  <si>
    <t>CANO HECTOR RAUL</t>
  </si>
  <si>
    <t>278197</t>
  </si>
  <si>
    <t>UEL TROFEOS-SUDC DEPORTES CANJE TROFEOS MARATON</t>
  </si>
  <si>
    <t>1-1424508-11</t>
  </si>
  <si>
    <t>Editora Sociedad Anonima</t>
  </si>
  <si>
    <t>15842012</t>
  </si>
  <si>
    <t>FM SOL - PROGRAMACION RIVADAVIA</t>
  </si>
  <si>
    <t>1-1425299-2</t>
  </si>
  <si>
    <t>Rodriguez  Javier</t>
  </si>
  <si>
    <t>SEXSHOP - PAGINA ESPECIAL - ENAMORADOS</t>
  </si>
  <si>
    <t>1-1425338-2</t>
  </si>
  <si>
    <t>Mensaje Sociedad Anonima</t>
  </si>
  <si>
    <t>9228</t>
  </si>
  <si>
    <t>nissan posventa</t>
  </si>
  <si>
    <t>1-1423997-4</t>
  </si>
  <si>
    <t>La Cocheria S.r.l.</t>
  </si>
  <si>
    <t>278216</t>
  </si>
  <si>
    <t>LA COCHERIA SRL</t>
  </si>
  <si>
    <t>SU</t>
  </si>
  <si>
    <t>1-1420945-3</t>
  </si>
  <si>
    <t>Servicios Sociales Futuro S R L</t>
  </si>
  <si>
    <t>279830</t>
  </si>
  <si>
    <t>SERIVICIO SOCIALES FUTURO...</t>
  </si>
  <si>
    <t>SER</t>
  </si>
  <si>
    <t>1-1423927-2</t>
  </si>
  <si>
    <t>Farmacia Yrigoyen S C S</t>
  </si>
  <si>
    <t>278215</t>
  </si>
  <si>
    <t>FARMACIA YRIGOYEN</t>
  </si>
  <si>
    <t>1-1423930-2</t>
  </si>
  <si>
    <t>Martesa Tours</t>
  </si>
  <si>
    <t>278214</t>
  </si>
  <si>
    <t>Martesa Tours SRL</t>
  </si>
  <si>
    <t>1-1425076-4</t>
  </si>
  <si>
    <t>PLATANO S.R.L.</t>
  </si>
  <si>
    <t>278132</t>
  </si>
  <si>
    <t>COMPLEJO RETRO</t>
  </si>
  <si>
    <t>PES</t>
  </si>
  <si>
    <t>1-1421290-8</t>
  </si>
  <si>
    <t>Colegio De Escribanos De La Provincia De Jujuy</t>
  </si>
  <si>
    <t>26598</t>
  </si>
  <si>
    <t>GUARDIAS COLEGIO ESCRIBANOS....</t>
  </si>
  <si>
    <t>PAC</t>
  </si>
  <si>
    <t>1-1423985-14</t>
  </si>
  <si>
    <t>278210</t>
  </si>
  <si>
    <t>AUTOJUJUY....</t>
  </si>
  <si>
    <t>1-1424567-2</t>
  </si>
  <si>
    <t>278241</t>
  </si>
  <si>
    <t>EL MOLLAR - LA ALMONA...</t>
  </si>
  <si>
    <t>1-1425161-2</t>
  </si>
  <si>
    <t>Pussetto Salta S A</t>
  </si>
  <si>
    <t>278266</t>
  </si>
  <si>
    <t>PUSSETTO...</t>
  </si>
  <si>
    <t>1-1423914-3</t>
  </si>
  <si>
    <t>Segura Ana</t>
  </si>
  <si>
    <t>278217</t>
  </si>
  <si>
    <t>Norte Servicios Sociales</t>
  </si>
  <si>
    <t>OBI</t>
  </si>
  <si>
    <t>1-1424964-5</t>
  </si>
  <si>
    <t>Tx Producciones S.r.l.</t>
  </si>
  <si>
    <t>02202011</t>
  </si>
  <si>
    <t>CARNAVAL DE LOS TEKIS</t>
  </si>
  <si>
    <t>IDC</t>
  </si>
  <si>
    <t>1-1425121-2</t>
  </si>
  <si>
    <t>Arena Argentina Sa</t>
  </si>
  <si>
    <t>253645</t>
  </si>
  <si>
    <t>SUPER VEA</t>
  </si>
  <si>
    <t>1-1423983-1</t>
  </si>
  <si>
    <t>BANCO DE DESARROLLO DE JUJUY SOCIEDAD DEL ESTADO</t>
  </si>
  <si>
    <t>&gt;PENDIENTE&lt;</t>
  </si>
  <si>
    <t>TOMBOSUERTE...</t>
  </si>
  <si>
    <t>Editorial Comercial - Jujuy cm OFICIAL</t>
  </si>
  <si>
    <t>IAC</t>
  </si>
  <si>
    <t>Faltante</t>
  </si>
  <si>
    <t>1-1424184-10</t>
  </si>
  <si>
    <t>Neo Ad - Mcb Soc. Simple De Mariana Borigen Y M. Celeste Borigen</t>
  </si>
  <si>
    <t>2814617</t>
  </si>
  <si>
    <t>DYCAR FEBRERO O KM...</t>
  </si>
  <si>
    <t>1-1424425-4</t>
  </si>
  <si>
    <t>Banco Macro Sociedad Anónima</t>
  </si>
  <si>
    <t>2020</t>
  </si>
  <si>
    <t>BANCO MACRO PEDIDO: 4500078548 HES: 1000155691</t>
  </si>
  <si>
    <t>1-1425188-2</t>
  </si>
  <si>
    <t>Direccion De Prensa Y Medios De Comunicacion</t>
  </si>
  <si>
    <t>gobierno</t>
  </si>
  <si>
    <t>1-1425227-2</t>
  </si>
  <si>
    <t>Be3 Srl</t>
  </si>
  <si>
    <t>94682</t>
  </si>
  <si>
    <t>Cetrogar.</t>
  </si>
  <si>
    <t>1-1425293-2</t>
  </si>
  <si>
    <t xml:space="preserve"> E J E S A (EJESA)</t>
  </si>
  <si>
    <t>290023 2</t>
  </si>
  <si>
    <t>EJESA CORTE...</t>
  </si>
  <si>
    <t>Guia Profesionaes</t>
  </si>
  <si>
    <t>1-1420081-5</t>
  </si>
  <si>
    <t>Juarez Meneses Dolores</t>
  </si>
  <si>
    <t>PSICOPEDAGOGIA  Lic. DOLORES JUAREZ MENESES * PROBLEMAS DE A FASCIO-Av. Fascio 748 Solicitud de Turnos:(0388) 18    0388</t>
  </si>
  <si>
    <t>REPOSICION DE AVISO POR CAMBIO TOTAL DE FECHA DE PUBLICACION SEGUN ANUNCIO 1261733._x000D_
_x000D_
ATENCION!!!!_x000D_
DISEÑO DE AVISO IGUAL SOLO SE AGREGA LAS PALABRA _x000D_
LIC. Y PSICOPEDAGOGIA COMO ESTE TIPEADO EN EL SISTEMA_x000D_
SE SUPRIME "ASISTENCIA PSICOPEDAGOGICA"</t>
  </si>
  <si>
    <t>Guia Prof 2 Col - Jujuy</t>
  </si>
  <si>
    <t>JGPSICPE</t>
  </si>
  <si>
    <t>1-1422779-3</t>
  </si>
  <si>
    <t>Romero  Gabriel</t>
  </si>
  <si>
    <t>PODOLOGO UNIVERSITARIO GABRIEL ROMERO Uñas encarnadas- MicosALVEAR 730 PLATA ALTA RECIBIMOS TARJETAS DE CRÉDITO8 4228088</t>
  </si>
  <si>
    <t>LA FRASE : Nuevo Tratamiento con LASER  para uñas manos y pies. _x000D_
RESALTADA</t>
  </si>
  <si>
    <t>JGPODOL</t>
  </si>
  <si>
    <t>1-1425081-3</t>
  </si>
  <si>
    <t>Cruz  Walter</t>
  </si>
  <si>
    <t>MEC DENTAL - WALTER CRUZ M.N.284172 -Protesis en Acrilico y ible. -Agregado de diente y reparaciones.  Cel 388-8  284172</t>
  </si>
  <si>
    <t>JGODONT</t>
  </si>
  <si>
    <t>1-1425154-2</t>
  </si>
  <si>
    <t>Martinez  Cristina Del Valle</t>
  </si>
  <si>
    <t>NUTRICION  LIC. CRISTINA DEL VALLE MARTINEZ  M.P. 029 Martes 12.00 hs  Tarde de17.30 a 21 hs.  OTERO 464 - Consultorio 1</t>
  </si>
  <si>
    <t>Mañana de 9.30 a 12.00 hs _x000D_
Tarde de17.30 a 21 hs. OTERO 464 _x000D_
Consultorio 1 (FONDO NEGRO)_x000D_
_x000D_
Mañana de 9.30 a 12.00 hs _x000D_
Tarde de17.30 a 21 hs. _x000D_
OTERO 464 - Consultorio 1  (RESPETAR EL DISEÑO UNO ABAJO DEL OTRO)</t>
  </si>
  <si>
    <t>JGNUTRI</t>
  </si>
  <si>
    <t>1-1421237-2</t>
  </si>
  <si>
    <t>Palavecino Rodriguez Jose Miguel</t>
  </si>
  <si>
    <t>PROBLEMAS DE COLUMNA Y EXTREMIDADES                 QUIROPRAM. Palavecino  M.P. 1899 Independencia 518 - Cel. 155090998.</t>
  </si>
  <si>
    <t>REPITE ANUNCIO</t>
  </si>
  <si>
    <t>JGKINES</t>
  </si>
  <si>
    <t>1-1421002-2</t>
  </si>
  <si>
    <t>Empresa La Piedad S.A.</t>
  </si>
  <si>
    <t>278386</t>
  </si>
  <si>
    <t>Consultorios AV</t>
  </si>
  <si>
    <t>JGESTET</t>
  </si>
  <si>
    <t>1-1423800-3</t>
  </si>
  <si>
    <t>Garcia  Claudia</t>
  </si>
  <si>
    <t>C.P.N CLAUDIA GARCIA M.P. 1433  MONOTRIBUTO - ING. BRUTOS - GOS - CERTIFICACIONES - JUBILACIONES.  CEL. 0388 - 155887979</t>
  </si>
  <si>
    <t xml:space="preserve"> resaltar el nombre mas grande</t>
  </si>
  <si>
    <t>JGCONT</t>
  </si>
  <si>
    <t>1-1423931-2</t>
  </si>
  <si>
    <t>BARAC MARTA GRACIELA</t>
  </si>
  <si>
    <t>289903</t>
  </si>
  <si>
    <t>GRACIELA BARAC C.P.N.º</t>
  </si>
  <si>
    <t>1-1423919-3</t>
  </si>
  <si>
    <t>Ruiz  Rene</t>
  </si>
  <si>
    <t>289910</t>
  </si>
  <si>
    <t>DR. RENÉ RUIZ</t>
  </si>
  <si>
    <t>JGCLIM</t>
  </si>
  <si>
    <t>1-1422949-2</t>
  </si>
  <si>
    <t>Roa Lorena Yesica</t>
  </si>
  <si>
    <t>LORENA ROA  DISEÑADORA</t>
  </si>
  <si>
    <t>AVISO ARMADO EN CARPEDIA 15 DE NOVIEMBRE ATENCION AL PUBLICO ESTA EN COREL</t>
  </si>
  <si>
    <t>JGARQUI</t>
  </si>
  <si>
    <t>1-1420229-3</t>
  </si>
  <si>
    <t>Copa Alejandro Daniel</t>
  </si>
  <si>
    <t>Dr. Alejandro Daniel Copa  Dra. Vanesa Alejandra Bravo Aboga 1er Piso Of 4 Cel. 3886853895  (Consultas online- whatsapp)</t>
  </si>
  <si>
    <t>repite mismo formato del ANUNCIO 1306426, SOLO SE MODIFICA EL TELEFONO</t>
  </si>
  <si>
    <t>JGABOGA</t>
  </si>
  <si>
    <t>1-1422937-2</t>
  </si>
  <si>
    <t>Rodriguez  Monica</t>
  </si>
  <si>
    <t>DRA. MONICA RODRIGUEZ ABOGADA Divorcios  Alimentos  Reg. Comjuicios Pje. Ernesto Claro esq. Martiarena  Cel. 388 4782830</t>
  </si>
  <si>
    <t>1-1424507-2</t>
  </si>
  <si>
    <t>Lopez Salgado Guillermo</t>
  </si>
  <si>
    <t>ESTUDIO JURIDICO LOPEZ SALGADO &amp; ASOCIADOS  Dr.Ing. GuillermPenal... Coronel Puch 432- Tel. Fijo 4236414 Cel.388 4236414</t>
  </si>
  <si>
    <t>Obituarios</t>
  </si>
  <si>
    <t>1-1420907-1</t>
  </si>
  <si>
    <t>Werchow Servicios Sociales S.R.L.</t>
  </si>
  <si>
    <t>278374</t>
  </si>
  <si>
    <t>WERCHOW</t>
  </si>
  <si>
    <t>Obituario Modulo - Jujuy</t>
  </si>
  <si>
    <t>OBIMOD</t>
  </si>
  <si>
    <t>Pag 39</t>
  </si>
  <si>
    <t>Sup Especial</t>
  </si>
  <si>
    <t>1-1420999-30</t>
  </si>
  <si>
    <t>Cine Teatro Alfa S.R.L.</t>
  </si>
  <si>
    <t>1233</t>
  </si>
  <si>
    <t>CINE ALFA...</t>
  </si>
  <si>
    <t>Sup Salud</t>
  </si>
  <si>
    <t>1-1420911-6</t>
  </si>
  <si>
    <t>278373</t>
  </si>
  <si>
    <t>1-1421013-2</t>
  </si>
  <si>
    <t>278382</t>
  </si>
  <si>
    <t>CENTRO OCULAR LASER-SUP. SALUD</t>
  </si>
  <si>
    <t>1-1421182-2</t>
  </si>
  <si>
    <t>Caceres Carlos Roberto</t>
  </si>
  <si>
    <t>27865</t>
  </si>
  <si>
    <t>DYMEC....</t>
  </si>
  <si>
    <t>Page</t>
  </si>
  <si>
    <t>Ubic</t>
  </si>
  <si>
    <t>Imagen</t>
  </si>
  <si>
    <t>EvaLoc</t>
  </si>
  <si>
    <t>Med</t>
  </si>
  <si>
    <t>¿Color?</t>
  </si>
  <si>
    <t>Modalidad</t>
  </si>
  <si>
    <t>OP</t>
  </si>
  <si>
    <t>Ads</t>
  </si>
  <si>
    <t xml:space="preserve"> </t>
  </si>
  <si>
    <t>2x10</t>
  </si>
  <si>
    <t>Total 2</t>
  </si>
  <si>
    <t>2x06</t>
  </si>
  <si>
    <t>Total 3</t>
  </si>
  <si>
    <t>5x17</t>
  </si>
  <si>
    <t>Total 4</t>
  </si>
  <si>
    <t>5x03</t>
  </si>
  <si>
    <t>Total 39</t>
  </si>
  <si>
    <t>2x04</t>
  </si>
  <si>
    <t>2x02</t>
  </si>
  <si>
    <t>2x03</t>
  </si>
  <si>
    <t>2x05</t>
  </si>
  <si>
    <t>Total 0</t>
  </si>
  <si>
    <t>Total 5</t>
  </si>
  <si>
    <t>Total 7</t>
  </si>
  <si>
    <t>4x10</t>
  </si>
  <si>
    <t>Total 8</t>
  </si>
  <si>
    <t>1x10</t>
  </si>
  <si>
    <t>Total 9</t>
  </si>
  <si>
    <t>5x35</t>
  </si>
  <si>
    <t>Total 10</t>
  </si>
  <si>
    <t>Total 11</t>
  </si>
  <si>
    <t>3x10</t>
  </si>
  <si>
    <t>Total 12</t>
  </si>
  <si>
    <t>&gt;DIFIERE&lt;</t>
  </si>
  <si>
    <t>5x13</t>
  </si>
  <si>
    <t>Total 13</t>
  </si>
  <si>
    <t>Total 15</t>
  </si>
  <si>
    <t>Total 16</t>
  </si>
  <si>
    <t>Total 25</t>
  </si>
  <si>
    <t>Total 31</t>
  </si>
  <si>
    <t>Total 32</t>
  </si>
  <si>
    <t>Total 33</t>
  </si>
  <si>
    <t>3x13</t>
  </si>
  <si>
    <t>Total 37</t>
  </si>
  <si>
    <t>Total 40</t>
  </si>
  <si>
    <t>3x03</t>
  </si>
  <si>
    <t>Total 43</t>
  </si>
  <si>
    <t>1x15</t>
  </si>
  <si>
    <t>1x08</t>
  </si>
  <si>
    <t>1x02</t>
  </si>
  <si>
    <t>1x03</t>
  </si>
  <si>
    <t>1x06</t>
  </si>
  <si>
    <t>1x07</t>
  </si>
  <si>
    <t>1x04</t>
  </si>
  <si>
    <t>1x05</t>
  </si>
  <si>
    <t>Total 1</t>
  </si>
  <si>
    <t>1x21</t>
  </si>
  <si>
    <t>1x14</t>
  </si>
  <si>
    <t>1x12</t>
  </si>
  <si>
    <t>1x09</t>
  </si>
  <si>
    <t>3x05</t>
  </si>
  <si>
    <t>3x06</t>
  </si>
  <si>
    <t>7x10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</si>
</sst>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$ -C0A]#,##0.00;[$$ -C0A]\-#,##0.00"/>
  </numFmts>
  <fonts count="8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Calibri"/>
      <family val="2"/>
      <scheme val="minor"/>
    </font>
    <font>
      <sz val="11"/>
      <color indexed="8"/>
      <name val="Calibri Light"/>
      <family val="2"/>
      <scheme val="major"/>
    </font>
    <font>
      <sz val="8"/>
      <color theme="0" tint="-0.249977111117893"/>
      <name val="Calibri Light"/>
      <family val="2"/>
      <scheme val="major"/>
    </font>
    <font>
      <sz val="8"/>
      <color theme="0" tint="-0.249977111117893"/>
      <name val="Calibri"/>
      <family val="2"/>
      <scheme val="minor"/>
    </font>
    <font>
      <sz val="8"/>
      <color rgb="FFFF0000"/>
      <name val="Arial"/>
      <family val="2"/>
    </font>
    <font>
      <sz val="10"/>
      <color indexed="8"/>
      <name val="ARIAL"/>
      <charset val="1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3">
    <xf numFmtId="0" fontId="0" fillId="0" borderId="0" xfId="0">
      <alignment vertical="top"/>
    </xf>
    <xf numFmtId="0" fontId="2" fillId="0" borderId="1" xfId="0" applyFont="1" applyBorder="1" applyAlignment="1">
      <alignment vertical="center"/>
    </xf>
    <xf numFmtId="0" fontId="3" fillId="0" borderId="0" xfId="0" applyFont="1">
      <alignment vertical="top"/>
    </xf>
    <xf numFmtId="0" fontId="4" fillId="0" borderId="0" xfId="0" applyFont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1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64" fontId="7" fillId="0" borderId="0" xfId="0" applyNumberFormat="1" applyFont="1">
      <alignment vertical="top"/>
    </xf>
    <xf numFmtId="0" fontId="0" fillId="0" borderId="2" xfId="0" pivotButton="1" applyBorder="1">
      <alignment vertical="top"/>
    </xf>
    <xf numFmtId="0" fontId="0" fillId="0" borderId="2" xfId="0" applyBorder="1">
      <alignment vertical="top"/>
    </xf>
    <xf numFmtId="0" fontId="0" fillId="0" borderId="4" xfId="0" applyBorder="1">
      <alignment vertical="top"/>
    </xf>
    <xf numFmtId="0" fontId="0" fillId="0" borderId="6" xfId="0" applyBorder="1">
      <alignment vertical="top"/>
    </xf>
    <xf numFmtId="0" fontId="0" fillId="0" borderId="2" xfId="0" pivotButton="1" applyBorder="1" applyAlignment="1">
      <alignment horizontal="center" textRotation="90"/>
    </xf>
    <xf numFmtId="0" fontId="0" fillId="0" borderId="3" xfId="0" applyBorder="1" applyAlignment="1">
      <alignment horizontal="center" vertical="top"/>
    </xf>
    <xf numFmtId="0" fontId="0" fillId="0" borderId="3" xfId="0" applyNumberFormat="1" applyBorder="1" applyAlignment="1">
      <alignment horizontal="center" vertical="top"/>
    </xf>
    <xf numFmtId="0" fontId="6" fillId="0" borderId="2" xfId="0" applyFont="1" applyBorder="1">
      <alignment vertical="top"/>
    </xf>
    <xf numFmtId="0" fontId="6" fillId="0" borderId="5" xfId="0" applyFont="1" applyBorder="1">
      <alignment vertical="top"/>
    </xf>
    <xf numFmtId="0" fontId="6" fillId="0" borderId="3" xfId="0" applyNumberFormat="1" applyFont="1" applyBorder="1" applyAlignment="1">
      <alignment horizontal="center" vertical="top"/>
    </xf>
    <xf numFmtId="0" fontId="6" fillId="0" borderId="7" xfId="0" applyFont="1" applyBorder="1">
      <alignment vertical="top"/>
    </xf>
    <xf numFmtId="0" fontId="6" fillId="0" borderId="8" xfId="0" applyFont="1" applyBorder="1">
      <alignment vertical="top"/>
    </xf>
    <xf numFmtId="0" fontId="6" fillId="0" borderId="9" xfId="0" applyNumberFormat="1" applyFont="1" applyBorder="1" applyAlignment="1">
      <alignment horizontal="center" vertical="top"/>
    </xf>
  </cellXfs>
  <cellStyles count="2">
    <cellStyle name="Normal" xfId="0" builtinId="0"/>
    <cellStyle name="Normal 2" xfId="1"/>
  </cellStyles>
  <dxfs count="13">
    <dxf>
      <font>
        <b/>
        <i val="0"/>
        <color auto="1"/>
      </font>
      <fill>
        <patternFill>
          <bgColor theme="0" tint="-0.14996795556505021"/>
        </patternFill>
      </fill>
    </dxf>
    <dxf>
      <font>
        <b/>
        <i val="0"/>
        <strike val="0"/>
        <color auto="1"/>
      </font>
      <fill>
        <patternFill patternType="solid">
          <fgColor auto="1"/>
          <bgColor theme="0" tint="-0.14996795556505021"/>
        </patternFill>
      </fill>
    </dxf>
    <dxf>
      <font>
        <b/>
        <i val="0"/>
        <strike val="0"/>
        <color auto="1"/>
      </font>
      <fill>
        <patternFill patternType="solid">
          <fgColor auto="1"/>
          <bgColor theme="0" tint="-0.14996795556505021"/>
        </patternFill>
      </fill>
    </dxf>
    <dxf>
      <font>
        <b/>
        <i val="0"/>
        <strike val="0"/>
        <color auto="1"/>
      </font>
      <fill>
        <patternFill>
          <bgColor theme="0" tint="-0.14996795556505021"/>
        </patternFill>
      </fill>
    </dxf>
    <dxf>
      <font>
        <b val="0"/>
        <i val="0"/>
        <strike val="0"/>
        <color theme="0"/>
      </font>
    </dxf>
    <dxf>
      <font>
        <b/>
        <i val="0"/>
        <strike val="0"/>
        <color auto="1"/>
      </font>
      <fill>
        <patternFill patternType="solid">
          <fgColor auto="1"/>
          <bgColor theme="0" tint="-0.149967955565050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C0A]#,##0.00;[$$ -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3876.425541319448" createdVersion="4" refreshedVersion="4" minRefreshableVersion="3" recordCount="122">
  <cacheSource type="worksheet">
    <worksheetSource name="InputData"/>
  </cacheSource>
  <cacheFields count="19">
    <cacheField name="Section" numFmtId="0">
      <sharedItems count="6">
        <s v="Clasificiados"/>
        <s v="Cuerpo Central"/>
        <s v="Guia Profesionaes"/>
        <s v="Obituarios"/>
        <s v="Sup Especial"/>
        <s v="Sup Salud"/>
      </sharedItems>
    </cacheField>
    <cacheField name="Aviso" numFmtId="0">
      <sharedItems count="122">
        <s v="1-1423937-6"/>
        <s v="1-1423941-4"/>
        <s v="1-1421528-1"/>
        <s v="1-1424963-4"/>
        <s v="1-1424868-2"/>
        <s v="1-1425016-2"/>
        <s v="1-1420574-1"/>
        <s v="1-1420582-2"/>
        <s v="1-1424940-2"/>
        <s v="1-1425270-2"/>
        <s v="1-1424727-3"/>
        <s v="1-1425073-2"/>
        <s v="1-1420912-6"/>
        <s v="1-1422365-2"/>
        <s v="1-1422371-2"/>
        <s v="1-1423799-2"/>
        <s v="1-1424452-2"/>
        <s v="1-1424949-2"/>
        <s v="1-1425007-2"/>
        <s v="12-1425058-2"/>
        <s v="1-1425119-2"/>
        <s v="1-1425259-2"/>
        <s v="1-1425261-2"/>
        <s v="1-1422143-2"/>
        <s v="1-1422372-2"/>
        <s v="12-1422979-2"/>
        <s v="1-1423988-4"/>
        <s v="1-1424284-5"/>
        <s v="1-1424724-3"/>
        <s v="1-1424739-2"/>
        <s v="1-1424916-1"/>
        <s v="1-1424923-2"/>
        <s v="1-1424993-4"/>
        <s v="1-1425155-2"/>
        <s v="1-1420564-2"/>
        <s v="1-1421005-7"/>
        <s v="1-1423905-2"/>
        <s v="1-1424945-2"/>
        <s v="1-1424959-2"/>
        <s v="1-1425056-2"/>
        <s v="1-1425116-2"/>
        <s v="1-1425244-2"/>
        <s v="1-1425264-3"/>
        <s v="1-1424984-2"/>
        <s v="1-1423924-3"/>
        <s v="1-1424468-2"/>
        <s v="1-1392690-2"/>
        <s v="1-1425267-2"/>
        <s v="1-1425269-2"/>
        <s v="1-1425005-3"/>
        <s v="1-1423925-2"/>
        <s v="1-1423928-2"/>
        <s v="1-1423929-2"/>
        <s v="10-1423328-4"/>
        <s v="1-1423921-3"/>
        <s v="1-1423923-3"/>
        <s v="1-1424258-2"/>
        <s v="1-1424278-2"/>
        <s v="1-1425086-2"/>
        <s v="1-1425098-1"/>
        <s v="1-1423776-2"/>
        <s v="1-1423932-2"/>
        <s v="1-1425187-2"/>
        <s v="1-1425214-2"/>
        <s v="1-1425280-2"/>
        <s v="1-1422757-2"/>
        <s v="1-1424737-2"/>
        <s v="1-1425145-2"/>
        <s v="1-1425175-2"/>
        <s v="1-1421004-1"/>
        <s v="1-1423987-4"/>
        <s v="1-1424524-3"/>
        <s v="1-1424902-2"/>
        <s v="1-1424908-2"/>
        <s v="1-1424941-2"/>
        <s v="1-1425122-2"/>
        <s v="1-1424222-2"/>
        <s v="1-1424952-3"/>
        <s v="12-1425268-2"/>
        <s v="1-1425274-3"/>
        <s v="1-1425279-2"/>
        <s v="1-1417311-2"/>
        <s v="1-1423204-6"/>
        <s v="1-1424508-11"/>
        <s v="1-1425299-2"/>
        <s v="1-1425338-2"/>
        <s v="1-1423997-4"/>
        <s v="1-1420945-3"/>
        <s v="1-1423927-2"/>
        <s v="1-1423930-2"/>
        <s v="1-1425076-4"/>
        <s v="1-1421290-8"/>
        <s v="1-1423985-14"/>
        <s v="1-1424567-2"/>
        <s v="1-1425161-2"/>
        <s v="1-1423914-3"/>
        <s v="1-1424964-5"/>
        <s v="1-1425121-2"/>
        <s v="1-1423983-1"/>
        <s v="1-1424184-10"/>
        <s v="1-1424425-4"/>
        <s v="1-1425188-2"/>
        <s v="1-1425227-2"/>
        <s v="1-1425293-2"/>
        <s v="1-1420081-5"/>
        <s v="1-1422779-3"/>
        <s v="1-1425081-3"/>
        <s v="1-1425154-2"/>
        <s v="1-1421237-2"/>
        <s v="1-1421002-2"/>
        <s v="1-1423800-3"/>
        <s v="1-1423931-2"/>
        <s v="1-1423919-3"/>
        <s v="1-1422949-2"/>
        <s v="1-1420229-3"/>
        <s v="1-1422937-2"/>
        <s v="1-1424507-2"/>
        <s v="1-1420907-1"/>
        <s v="1-1420999-30"/>
        <s v="1-1420911-6"/>
        <s v="1-1421013-2"/>
        <s v="1-1421182-2"/>
      </sharedItems>
    </cacheField>
    <cacheField name="Anunciante" numFmtId="0">
      <sharedItems/>
    </cacheField>
    <cacheField name="Cod. Neg." numFmtId="0">
      <sharedItems containsBlank="1" count="66">
        <s v="278211"/>
        <s v="278212"/>
        <s v="276450"/>
        <m/>
        <s v="276440"/>
        <s v="276442"/>
        <s v="290123"/>
        <s v="122772"/>
        <s v="278371"/>
        <s v="278177"/>
        <s v="278179"/>
        <s v="278240"/>
        <s v="278166"/>
        <s v="278180"/>
        <s v="289901"/>
        <s v="278121"/>
        <s v="290122"/>
        <s v="276438"/>
        <s v="278383"/>
        <s v="278218"/>
        <s v="278131"/>
        <s v="278263"/>
        <s v="289009"/>
        <s v="223232"/>
        <s v="289907"/>
        <s v="275169"/>
        <s v="289906"/>
        <s v="289905"/>
        <s v="289904"/>
        <s v="289909"/>
        <s v="289908"/>
        <s v="289902"/>
        <s v="278133"/>
        <s v="278385"/>
        <s v="289900"/>
        <s v="20898"/>
        <s v="202950"/>
        <s v="201412"/>
        <s v="278197"/>
        <s v="15842012"/>
        <s v="9228"/>
        <s v="278216"/>
        <s v="279830"/>
        <s v="278215"/>
        <s v="278214"/>
        <s v="278132"/>
        <s v="26598"/>
        <s v="278210"/>
        <s v="278241"/>
        <s v="278266"/>
        <s v="278217"/>
        <s v="02202011"/>
        <s v="253645"/>
        <s v="&gt;PENDIENTE&lt;"/>
        <s v="2814617"/>
        <s v="2020"/>
        <s v="94682"/>
        <s v="290023 2"/>
        <s v="278386"/>
        <s v="289903"/>
        <s v="289910"/>
        <s v="278374"/>
        <s v="1233"/>
        <s v="278373"/>
        <s v="278382"/>
        <s v="27865"/>
      </sharedItems>
    </cacheField>
    <cacheField name="Referencia" numFmtId="0">
      <sharedItems count="121">
        <s v="AutoJujuy 1"/>
        <s v="AutoJujuy 2"/>
        <s v="Gabiota Sport"/>
        <s v="DON VITO PARRILLA..."/>
        <s v="VENDO AMAROK V6 2018, impecable, recibo camioneta menor valor. Cel. 388-4674278 / 388-68613128   62018"/>
        <s v="VENDO ECOSPORT (NARANJA) sin detalles,2015 Free style, equipibre deuda. Escucho Ofertas. Cel 3886862907 (wpp)/ 154876376"/>
        <s v="NORTE GNC"/>
        <s v="MYN INYECCION"/>
        <s v="COMPRA VENTA PERMUTA  Renault Megan mod 2008 GNC $195.000 Fi  Bº Malvinas (CERCA OF /AGUA DE LOS ANDES) CEL. 388  191995"/>
        <s v="SANDERO STEPWAY  MOD/2018 -15.000KM Tel. 0388-156855015"/>
        <s v="ROCA VENDE LOCALES"/>
        <s v="CHACRAS DE GALLINATO"/>
        <s v="RQ VENTA DE TERRENOS"/>
        <s v="INMOBILIARIA BARCENA VENDE (LOGO)  ULTIMOS  9 LOTES 10 X 25 SANTO DOMINGO - PERICO FINANCIACION PROPIA"/>
        <s v="INMOBILIARIA BARCENA VENDE (LOGO)  LOTEO PILAR - ALTO COMEDEA.CLOACAS-CORDON CUNETA ENTREGA MINIMA Y AMPLIA FINANCIACION"/>
        <s v="HUMAHUACA LOTEO SAN JORGE  10x25 $ 250.000 agua y luz. 10X30, agua y luz. Financiación.388-41692678 4169267"/>
        <s v="RIO BLANCO - STO. DOMINGO ..."/>
        <s v="VENDO TERRENO EN PALPALA B° Antártida 15x40, a 1 cuadra de C.  Recibo vehículo parte de pago.Escucho ofertas de contado."/>
        <s v="DUEÑO VENDE TERRENO de 250 mtrs2, t/ser y papeles al día. Caeso. Altura Rotonda Chango Mas. Cel. 3884049899  38884070073"/>
        <s v="PERICO  VENDO 2 TERRENOS juntos 10x25 c/u. Bº Municipal. Recibo camioneta C/D. 4x4  Cel. 388 154084933154084933"/>
        <s v="EDINOR DESARROLLOS INMOBILIARIOS, Loteo El Camino Real, Rio pendencia 573. Cel 388-4233964 / 155135994 www.edin8 4233964"/>
        <s v="VENDO IMPORTANTE TERRENO  En excelente ubicación  B° Alto Padilla  10x40 Cel. 388-43319818 4331981"/>
        <s v="VENDO TERRENOS En B° Los Perales  10x30 y 10x40 Excelente ubción. Cel. 388-4331981        388-5850554        388 4331981"/>
        <s v="BIENES SRL"/>
        <s v="BARCENA PROP VENTAS..."/>
        <s v="PERICO DUEÑO VENDE CASA Bº 20 de Junio Comedor amplio, Liv. 3 Dorm. Ubicación exclusiva. Tel. fijo 388 4911634 8 4915494"/>
        <s v="LEONA VENDE"/>
        <s v="RQ VENTA DE CASAS"/>
        <s v="ROCA VENDE CASAS"/>
        <s v="CAÑAS VENDE  URGENTE   -Exclusivo Chalet Cdad. de Nieva, salsq. Balcarce. Lavalle 261- Of. 5. Tel. 0388-42271328 4227132"/>
        <s v="DUEÑO VENDE DPTO  2 Hab - 2 Baños. 73 m2 Propios  Las Vicuñas a 50 Mts. de Policia y Rotonda.  Cel. 3886853325"/>
        <s v="DUEÑO VENDE  sin comisión  casa planta baja  2 dorm. c/cochera  Barrio Los Perales.  Cel. 388-50173178 5017317"/>
        <s v="DUEÑO VENDE  Dpto. de 98 m2, 3 dorm. 1 en suite,  con parrilrres del Cabildo  Sarmiento y Alvear.  388-4789274 8 4789274"/>
        <s v="VENDO EDIFICIO 3 PLANTAS 3 dptos. 100 m2 c/u, incluye un gal dptos. a estrenar escritura en el acto. 154467312 8 4255261"/>
        <s v="FERRETERIA CARBAJAL"/>
        <s v="DERGAM"/>
        <s v="CARMOTO FERRETERIA INDUSTRIAL"/>
        <s v="IMPORTANTE CONSULTORA DEL MEDIO SOLICITAN PROMOTORAS/ES  Mayte mail: ap1047cnv@gmail.com con asuntos:“REF.PROMOTORES/AS”"/>
        <s v="EMPR. CONSTRUCT. NEC. PERSONAL"/>
        <s v="NECESITO SOLDADOR PARA REPARACION DE MAQUINAS, ZONA PERICO CEL: 3884041580"/>
        <s v="&quot;Imp. empresa busca Analista de Riesgo Crediticio. Req. n/exlidad horaria full time. Enviar CV a:cvbusquedacv@gmail.com&quot;"/>
        <s v="SOLICITAMOS  Ing. Agrónomo, Ing. Zootecnista  o Técnico en P Jujuy, Capital.  Enviar CV. A agropecuariosrl2011@gmail.com"/>
        <s v="IMPORTANTE EMPRESA TEXTIL Necesita costureros/as. Con experiosto 183 PERICO. (lun a vier. de 18 a 21 hs)Cel.3888 5004283"/>
        <s v="DUEÑO VENDE VENDO FONDO DE COMERCIO BUENA RENTABILIDAD 0388-154963270"/>
        <s v="CARMEN UNA VIDENTE"/>
        <s v="(LOGO)HASSA CONSTRUCCIONES ALBAÑILERÍA EN GENERAL  Losas de ciones. Presupuesto sin cargo.  Cel.3884542207/ Fij8 4235962"/>
        <s v="METALNOR-METALES-CHATARRA"/>
        <s v="“EL HORNERO” ALQUILO CAMIONES VOLQUETES 18m3 y 6m6 “EL HORNEÑOS QUÍMICOS “EL HORNERO” CONTENEDORES Tel.156855018 4250352"/>
        <s v="AGUATERO “EL HORNERO” VENDO AGUA CAMION REGADOR Tel 156855015 - 42503528 4250352"/>
        <s v="CURSOS COCINA VEGETARIANA- PANIFICACIÓN INTEGRAL con salida ga Madariaga Nutricionista, Dietista, MP 081 Cel 388 5877043"/>
        <s v="HORMIGONERA  JUJUY S.R.L. VENTA DE ARIDOS: PIEDRA, ARENA, RIIO.  RELLENO DE TERRENO 4259148 - 4259548 ALTE BROW8 4259148"/>
        <s v="HORMIGONERA -VENTA DE HORMIGON EN MIXER"/>
        <s v="HORMIGONERA + DE 20 AÑOS"/>
        <s v="PRESTAMOS EN EFECTIVO  CON TODAS LAS TARJETAS DE CREDITO  3 AN MARTIN 647 - LOCAL 1. S.S. DE JUJUY.  Cel. 388- 155965454"/>
        <s v="PRESTAMOS DE DINERO CON ASESORAMIENTO (IMAGEN BILLETES DE 50IA IMPULSO  PLANTA BAJA - (LOCAL Nº 14) 4232228 - 38 4232228"/>
        <s v="PRESTAMOS DE DINERO en el acto CON EL MEJOR PLAN Y ASESORAMIS) CON TARJETAS DE CREDITO INDEPENDENCIA 718 4241238 4241230"/>
        <s v="PRESTAMOS  Con tarjeta, empeños, prendas, cambio, cheques terceros cel. 3886867250."/>
        <s v="DINERO  PRESTAMOS - EMPEÑOS AUTOS Y MOTOS  Cel. 388-5844130 ijo 388- 4232023 ALVEAR 720 De 9 a 13.30 y 17.30 a 8 5844130"/>
        <s v="PRESTAMOS EN EL ACTO -personales y comercio  -(tarjeta de crédito y efectivo)  Cel. 3884842181."/>
        <s v="EFECTIVO EN EL ACTO CON TODAS LAS TARJETAS (aviso nuevo color amarillo)"/>
        <s v="///// TASADOR ////  AVISO ARMADO  tasador"/>
        <s v="JULIO PANERO"/>
        <s v="CONVOCATORIA ASMBLEA GENERAL ORDINARIA La Comisión Reorganizn la Comisión Reorganizadora. 4- Renovación de Auto8   21139"/>
        <s v="LIGA DE VETERANO DE FUTBOL DE JUJUY CONVOCATORIA La Comisiónia  Sin otro particular saludamos a ud, muy atentamente.----"/>
        <s v="ASOCIACIÓN CIVIL -Centro Integral de Acondicionamiento Físicrero de 2020 a hs. 10.00.- Presidente: Marcelo Serg8   10206"/>
        <s v="ALQUILO  2 LOCALES COMERCIALES en J.M. Gorriti al 800 (Gorriy Campero 209). Cel 388-5272799 / 388-4101366 de 168 5272799"/>
        <s v="CAÑAS ALQUILA  - PROPIEDAD 2 plantas calle Alvear - Dos ofic Cnel. Arias. Lavalle 261- Of. 5. Tel. 0388-42271328 4227132"/>
        <s v="SE ALQUILA LOCAL PLENO CENTRO"/>
        <s v="ALQUILO LOCAL 14 mtr2 Frente shopping Belgrano 566 ideal Oficina  Cel. 3885138133  3884879937.884879937"/>
        <s v="ALQUILO DEPTO CATEGORIA"/>
        <s v="LEONA ALQUILA"/>
        <s v="ALQUILO CASA PARA 10 personas en carnaval en Humahuaca.cel 388154105290 388154885607.154105290"/>
        <s v="ALQUILO DEPARTAMENTO DE CATEGORIA de 2 dorm,   en calle Ituzaingo 428 B°. Cdad de Nieva.  Cel 0388-155181765"/>
        <s v="ALQUILO CASA EN LOS NOGALES (Yala) por dias por mes, por temnte equipada.Tratar 0388-155870519- 0388-154676512 (no mjes)"/>
        <s v="MAIMARA DUEÑO VENDE Y/O ALQUILA CASA Bº El Cristo a una cuadincena, mes o bianual.Tratar 388-154707788.Horario Comercial"/>
        <s v="EDINOR DESARROLLOS INMOBILIARIOS -Alquila Loft en Necochea 2endencia 573. Cel 388-4233964 / 155135994  www.edin8 4233964"/>
        <s v="/////////////////JESUS TAROT////////"/>
        <s v="Nadie supera mis trabajos porque yo nací donde se hacen los  jamas igualarme!! Cel.: 3884626046 Atencion en S.S de Jujuy"/>
        <s v="EL TERROR DE LOS INFIELES CHAMAN FRANCISCO Y  VANESA"/>
        <s v="MOTORTRAC"/>
        <s v="VENDO LOCAL COMERCIAL"/>
        <s v="INSTITUTO LA MERCED"/>
        <s v="UEL TROFEOS-SUDC DEPORTES CANJE TROFEOS MARATON"/>
        <s v="FM SOL - PROGRAMACION RIVADAVIA"/>
        <s v="SEXSHOP - PAGINA ESPECIAL - ENAMORADOS"/>
        <s v="nissan posventa"/>
        <s v="LA COCHERIA SRL"/>
        <s v="SERIVICIO SOCIALES FUTURO..."/>
        <s v="FARMACIA YRIGOYEN"/>
        <s v="Martesa Tours SRL"/>
        <s v="COMPLEJO RETRO"/>
        <s v="GUARDIAS COLEGIO ESCRIBANOS...."/>
        <s v="AUTOJUJUY...."/>
        <s v="EL MOLLAR - LA ALMONA..."/>
        <s v="PUSSETTO..."/>
        <s v="Norte Servicios Sociales"/>
        <s v="CARNAVAL DE LOS TEKIS"/>
        <s v="SUPER VEA"/>
        <s v="TOMBOSUERTE..."/>
        <s v="DYCAR FEBRERO O KM..."/>
        <s v="BANCO MACRO PEDIDO: 4500078548 HES: 1000155691"/>
        <s v="gobierno"/>
        <s v="Cetrogar."/>
        <s v="EJESA CORTE..."/>
        <s v="PSICOPEDAGOGIA  Lic. DOLORES JUAREZ MENESES * PROBLEMAS DE A FASCIO-Av. Fascio 748 Solicitud de Turnos:(0388) 18    0388"/>
        <s v="PODOLOGO UNIVERSITARIO GABRIEL ROMERO Uñas encarnadas- MicosALVEAR 730 PLATA ALTA RECIBIMOS TARJETAS DE CRÉDITO8 4228088"/>
        <s v="MEC DENTAL - WALTER CRUZ M.N.284172 -Protesis en Acrilico y ible. -Agregado de diente y reparaciones.  Cel 388-8  284172"/>
        <s v="NUTRICION  LIC. CRISTINA DEL VALLE MARTINEZ  M.P. 029 Martes 12.00 hs  Tarde de17.30 a 21 hs.  OTERO 464 - Consultorio 1"/>
        <s v="PROBLEMAS DE COLUMNA Y EXTREMIDADES                 QUIROPRAM. Palavecino  M.P. 1899 Independencia 518 - Cel. 155090998."/>
        <s v="Consultorios AV"/>
        <s v="C.P.N CLAUDIA GARCIA M.P. 1433  MONOTRIBUTO - ING. BRUTOS - GOS - CERTIFICACIONES - JUBILACIONES.  CEL. 0388 - 155887979"/>
        <s v="GRACIELA BARAC C.P.N.º"/>
        <s v="DR. RENÉ RUIZ"/>
        <s v="LORENA ROA  DISEÑADORA"/>
        <s v="Dr. Alejandro Daniel Copa  Dra. Vanesa Alejandra Bravo Aboga 1er Piso Of 4 Cel. 3886853895  (Consultas online- whatsapp)"/>
        <s v="DRA. MONICA RODRIGUEZ ABOGADA Divorcios  Alimentos  Reg. Comjuicios Pje. Ernesto Claro esq. Martiarena  Cel. 388 4782830"/>
        <s v="ESTUDIO JURIDICO LOPEZ SALGADO &amp; ASOCIADOS  Dr.Ing. GuillermPenal... Coronel Puch 432- Tel. Fijo 4236414 Cel.388 4236414"/>
        <s v="WERCHOW"/>
        <s v="CINE ALFA..."/>
        <s v="CENTRO OCULAR LASER-SUP. SALUD"/>
        <s v="DYMEC...."/>
      </sharedItems>
    </cacheField>
    <cacheField name="Comentario" numFmtId="0">
      <sharedItems containsBlank="1"/>
    </cacheField>
    <cacheField name="Tipo de aviso" numFmtId="0">
      <sharedItems/>
    </cacheField>
    <cacheField name="Forma de Pago" numFmtId="0">
      <sharedItems count="3">
        <s v="Cuenta Corriente"/>
        <s v="Contado"/>
        <s v="Promocionales"/>
      </sharedItems>
    </cacheField>
    <cacheField name="Precio" numFmtId="164">
      <sharedItems containsSemiMixedTypes="0" containsString="0" containsNumber="1" minValue="0" maxValue="80384.5"/>
    </cacheField>
    <cacheField name="Color" numFmtId="0">
      <sharedItems count="2">
        <s v="B&amp;N"/>
        <s v="Color"/>
      </sharedItems>
    </cacheField>
    <cacheField name="Ubic.Pretendida" numFmtId="0">
      <sharedItems count="42">
        <s v="OREIZQ"/>
        <s v="OreDer"/>
        <s v="JVEN08"/>
        <s v="JVEN07"/>
        <s v="JVEN06"/>
        <s v="JVEN04"/>
        <s v="JVEN03"/>
        <s v="JVEN02"/>
        <s v="JVEN01"/>
        <s v="JPINTF"/>
        <s v="JPEDID"/>
        <s v="JOPORT"/>
        <s v="JOFREC"/>
        <s v="JMATCO"/>
        <s v="JMAQCO"/>
        <s v="JINSPR"/>
        <s v="JEMPCO"/>
        <s v="JDINER"/>
        <s v="JCOM01"/>
        <s v="JASAMB"/>
        <s v="JALO04"/>
        <s v="JALO01"/>
        <s v="JAGRUP"/>
        <s v="SUDC"/>
        <s v="SU"/>
        <s v="SER"/>
        <s v="PES"/>
        <s v="PAC"/>
        <s v="OBI"/>
        <s v="IDC"/>
        <s v="IAC"/>
        <s v="JGPSICPE"/>
        <s v="JGPODOL"/>
        <s v="JGODONT"/>
        <s v="JGNUTRI"/>
        <s v="JGKINES"/>
        <s v="JGESTET"/>
        <s v="JGCONT"/>
        <s v="JGCLIM"/>
        <s v="JGARQUI"/>
        <s v="JGABOGA"/>
        <s v="OBIMOD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43" count="23">
        <n v="1"/>
        <n v="0"/>
        <n v="5"/>
        <n v="3"/>
        <n v="2"/>
        <n v="4"/>
        <n v="8"/>
        <n v="7"/>
        <n v="32"/>
        <n v="37"/>
        <n v="13"/>
        <n v="43"/>
        <n v="33"/>
        <n v="16"/>
        <n v="12"/>
        <n v="10"/>
        <n v="31"/>
        <n v="25"/>
        <n v="40"/>
        <n v="15"/>
        <n v="11"/>
        <n v="9"/>
        <n v="39"/>
      </sharedItems>
    </cacheField>
    <cacheField name="Original" numFmtId="0">
      <sharedItems count="2">
        <s v="OK"/>
        <s v="Faltante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30">
        <s v="1x05"/>
        <s v="1x06"/>
        <s v="1x07"/>
        <s v="1x02"/>
        <s v="1x03"/>
        <s v="1x10"/>
        <s v="1x14"/>
        <s v="1x08"/>
        <s v="1x12"/>
        <s v="1x04"/>
        <s v="1x15"/>
        <s v="1x21"/>
        <s v="1x09"/>
        <s v="2x10"/>
        <s v="3x05"/>
        <s v="2x05"/>
        <s v="3x06"/>
        <s v="7x10"/>
        <s v="3x10"/>
        <s v="3x13"/>
        <s v="5x13"/>
        <s v="3x03"/>
        <s v="5x03"/>
        <s v="2x03"/>
        <s v="5x17"/>
        <s v="2x06"/>
        <s v="4x10"/>
        <s v="5x35"/>
        <s v="2x02"/>
        <s v="2x0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2">
  <r>
    <x v="0"/>
    <x v="0"/>
    <s v="Autojujuy Sociedad Anónima"/>
    <x v="0"/>
    <x v="0"/>
    <m/>
    <s v="Oreja Izquierda"/>
    <x v="0"/>
    <n v="144.99310344827586"/>
    <x v="0"/>
    <x v="0"/>
    <s v="Pag 1"/>
    <x v="0"/>
    <x v="0"/>
    <n v="1"/>
    <n v="5.0000000012500001"/>
    <x v="0"/>
    <n v="5"/>
    <x v="0"/>
  </r>
  <r>
    <x v="0"/>
    <x v="1"/>
    <s v="Autojujuy Sociedad Anónima"/>
    <x v="1"/>
    <x v="1"/>
    <m/>
    <s v="Oreja Derecha"/>
    <x v="0"/>
    <n v="144.99310344827586"/>
    <x v="0"/>
    <x v="1"/>
    <s v="Pag 1"/>
    <x v="0"/>
    <x v="0"/>
    <n v="1"/>
    <n v="5.0000000012500001"/>
    <x v="0"/>
    <n v="5"/>
    <x v="0"/>
  </r>
  <r>
    <x v="0"/>
    <x v="2"/>
    <s v="Obachi Gabriela Cecilia"/>
    <x v="2"/>
    <x v="2"/>
    <m/>
    <s v="Notables - Jujuy 1 Col"/>
    <x v="0"/>
    <n v="99.131666666666675"/>
    <x v="0"/>
    <x v="2"/>
    <m/>
    <x v="1"/>
    <x v="0"/>
    <n v="1"/>
    <n v="6.0000000015000001"/>
    <x v="0"/>
    <n v="6"/>
    <x v="1"/>
  </r>
  <r>
    <x v="0"/>
    <x v="3"/>
    <s v="Torrejon Ricardo Ramon."/>
    <x v="3"/>
    <x v="3"/>
    <s v="aviso armado por diego"/>
    <s v="Notables - Jujuy 1 Col"/>
    <x v="1"/>
    <n v="94.285714285714292"/>
    <x v="0"/>
    <x v="2"/>
    <m/>
    <x v="1"/>
    <x v="0"/>
    <n v="1"/>
    <n v="7.0000000017499984"/>
    <x v="0"/>
    <n v="7"/>
    <x v="2"/>
  </r>
  <r>
    <x v="0"/>
    <x v="4"/>
    <s v="Mendoza  Mario"/>
    <x v="3"/>
    <x v="4"/>
    <m/>
    <s v="Notables - Jujuy 1 Col"/>
    <x v="1"/>
    <n v="33.71857142857143"/>
    <x v="0"/>
    <x v="3"/>
    <s v="Pag 5"/>
    <x v="2"/>
    <x v="0"/>
    <n v="1"/>
    <n v="2.0000000005"/>
    <x v="0"/>
    <n v="2"/>
    <x v="3"/>
  </r>
  <r>
    <x v="0"/>
    <x v="5"/>
    <s v="Ramos  Mauro Ivan"/>
    <x v="3"/>
    <x v="5"/>
    <m/>
    <s v="Notables - Jujuy 1 Col"/>
    <x v="1"/>
    <n v="49.566000000000003"/>
    <x v="0"/>
    <x v="3"/>
    <s v="Pag 5"/>
    <x v="2"/>
    <x v="0"/>
    <n v="1"/>
    <n v="3.0000000007500001"/>
    <x v="0"/>
    <n v="3"/>
    <x v="4"/>
  </r>
  <r>
    <x v="0"/>
    <x v="6"/>
    <s v="VALDIVIEZO LILA FERNANDA"/>
    <x v="4"/>
    <x v="6"/>
    <m/>
    <s v="Notables - Jujuy 1 Col"/>
    <x v="0"/>
    <n v="113.79066666666668"/>
    <x v="1"/>
    <x v="4"/>
    <s v="Pag 5"/>
    <x v="2"/>
    <x v="0"/>
    <n v="1"/>
    <n v="6.0000000015000001"/>
    <x v="0"/>
    <n v="6"/>
    <x v="1"/>
  </r>
  <r>
    <x v="0"/>
    <x v="7"/>
    <s v="ARMELLA CESAR DANIEL"/>
    <x v="5"/>
    <x v="7"/>
    <m/>
    <s v="Notables - Jujuy 1 Col"/>
    <x v="0"/>
    <n v="88.504000000000005"/>
    <x v="0"/>
    <x v="4"/>
    <s v="Pag 5"/>
    <x v="2"/>
    <x v="0"/>
    <n v="1"/>
    <n v="6.0000000015000001"/>
    <x v="0"/>
    <n v="6"/>
    <x v="1"/>
  </r>
  <r>
    <x v="0"/>
    <x v="8"/>
    <s v="Arancibia  Gustavo"/>
    <x v="3"/>
    <x v="8"/>
    <m/>
    <s v="Notables - Jujuy 1 Col"/>
    <x v="1"/>
    <n v="177.44285714285715"/>
    <x v="0"/>
    <x v="4"/>
    <s v="Pag 5"/>
    <x v="2"/>
    <x v="0"/>
    <n v="1"/>
    <n v="9.999999998972223"/>
    <x v="0"/>
    <n v="10"/>
    <x v="5"/>
  </r>
  <r>
    <x v="0"/>
    <x v="9"/>
    <s v="Antonio Noguera"/>
    <x v="3"/>
    <x v="9"/>
    <m/>
    <s v="Notables - Jujuy 1 Col"/>
    <x v="1"/>
    <n v="33.71857142857143"/>
    <x v="0"/>
    <x v="4"/>
    <s v="Pag 5"/>
    <x v="2"/>
    <x v="0"/>
    <n v="1"/>
    <n v="2.0000000005"/>
    <x v="0"/>
    <n v="2"/>
    <x v="3"/>
  </r>
  <r>
    <x v="0"/>
    <x v="10"/>
    <s v="Roca Enrique Vicente"/>
    <x v="6"/>
    <x v="10"/>
    <s v="AVISO ARMADO EN CARPETA"/>
    <s v="Notables - Jujuy 1 Col"/>
    <x v="2"/>
    <n v="0"/>
    <x v="0"/>
    <x v="5"/>
    <s v="Pag 3"/>
    <x v="3"/>
    <x v="0"/>
    <n v="1"/>
    <n v="13.999999999972225"/>
    <x v="0"/>
    <n v="14"/>
    <x v="6"/>
  </r>
  <r>
    <x v="0"/>
    <x v="11"/>
    <s v="Horizontes S A"/>
    <x v="7"/>
    <x v="11"/>
    <s v="aviso en carpeta"/>
    <s v="Notables - Jujuy 1 Col"/>
    <x v="0"/>
    <n v="118.01428571428573"/>
    <x v="0"/>
    <x v="6"/>
    <s v="Pag 3"/>
    <x v="3"/>
    <x v="0"/>
    <n v="1"/>
    <n v="5.0000000012500001"/>
    <x v="0"/>
    <n v="5"/>
    <x v="0"/>
  </r>
  <r>
    <x v="0"/>
    <x v="12"/>
    <s v="RODRIGUEZ QUIROGA MARTIN"/>
    <x v="8"/>
    <x v="12"/>
    <m/>
    <s v="Notables - Jujuy 1 Col"/>
    <x v="0"/>
    <n v="89.42902439024391"/>
    <x v="0"/>
    <x v="7"/>
    <s v="Pag 3"/>
    <x v="3"/>
    <x v="0"/>
    <n v="1"/>
    <n v="6.0000000015000001"/>
    <x v="0"/>
    <n v="6"/>
    <x v="1"/>
  </r>
  <r>
    <x v="0"/>
    <x v="13"/>
    <s v="ECO WAPSI S.R.L."/>
    <x v="9"/>
    <x v="13"/>
    <s v="aviso con logo inmob barcena"/>
    <s v="Notables - Jujuy 1 Col"/>
    <x v="0"/>
    <n v="99.131666666666675"/>
    <x v="0"/>
    <x v="7"/>
    <s v="Pag 3"/>
    <x v="3"/>
    <x v="0"/>
    <n v="1"/>
    <n v="6.0000000015000001"/>
    <x v="0"/>
    <n v="6"/>
    <x v="1"/>
  </r>
  <r>
    <x v="0"/>
    <x v="14"/>
    <s v="ECO WAPSI S.R.L."/>
    <x v="10"/>
    <x v="14"/>
    <s v="aviso con logo inmob barcena"/>
    <s v="Notables - Jujuy 1 Col"/>
    <x v="0"/>
    <n v="132.17566666666667"/>
    <x v="0"/>
    <x v="7"/>
    <s v="Pag 3"/>
    <x v="3"/>
    <x v="0"/>
    <n v="1"/>
    <n v="7.9999999984722239"/>
    <x v="0"/>
    <n v="8"/>
    <x v="7"/>
  </r>
  <r>
    <x v="0"/>
    <x v="15"/>
    <s v="Urbina  Norma"/>
    <x v="3"/>
    <x v="15"/>
    <s v="modifico numero de telefono"/>
    <s v="Notables - Jujuy 1 Col"/>
    <x v="1"/>
    <n v="33.044000000000004"/>
    <x v="0"/>
    <x v="7"/>
    <s v="Pag 3"/>
    <x v="3"/>
    <x v="0"/>
    <n v="1"/>
    <n v="2.0000000005"/>
    <x v="0"/>
    <n v="2"/>
    <x v="3"/>
  </r>
  <r>
    <x v="0"/>
    <x v="16"/>
    <s v="Agostini Desarrollos Inmobiliarios Sociedad De Responsabilidad Limitada"/>
    <x v="11"/>
    <x v="16"/>
    <m/>
    <s v="Notables - Jujuy 1 Col"/>
    <x v="0"/>
    <n v="212.42500000000001"/>
    <x v="0"/>
    <x v="7"/>
    <s v="Pag 3"/>
    <x v="3"/>
    <x v="0"/>
    <n v="1"/>
    <n v="11.999999999472221"/>
    <x v="0"/>
    <n v="12"/>
    <x v="8"/>
  </r>
  <r>
    <x v="0"/>
    <x v="17"/>
    <s v="Flores Alejandro Hugo"/>
    <x v="3"/>
    <x v="17"/>
    <m/>
    <s v="Notables - Jujuy 1 Col"/>
    <x v="1"/>
    <n v="67.437142857142859"/>
    <x v="0"/>
    <x v="7"/>
    <s v="Pag 3"/>
    <x v="3"/>
    <x v="0"/>
    <n v="1"/>
    <n v="4.0000000010000001"/>
    <x v="0"/>
    <n v="4"/>
    <x v="9"/>
  </r>
  <r>
    <x v="0"/>
    <x v="18"/>
    <s v="Yamabe  Yoshiro"/>
    <x v="3"/>
    <x v="18"/>
    <m/>
    <s v="Notables - Jujuy 1 Col"/>
    <x v="1"/>
    <n v="84.295714285714297"/>
    <x v="0"/>
    <x v="7"/>
    <s v="Pag 3"/>
    <x v="3"/>
    <x v="0"/>
    <n v="1"/>
    <n v="5.0000000012500001"/>
    <x v="0"/>
    <n v="5"/>
    <x v="0"/>
  </r>
  <r>
    <x v="0"/>
    <x v="19"/>
    <s v="LOPEZ DELGADO CLAUDIA TATIANA"/>
    <x v="3"/>
    <x v="19"/>
    <s v="con color (repetir)"/>
    <s v="Notables - Jujuy 1 Col"/>
    <x v="1"/>
    <n v="53.107500000000002"/>
    <x v="0"/>
    <x v="7"/>
    <s v="Pag 3"/>
    <x v="3"/>
    <x v="0"/>
    <n v="1"/>
    <n v="3.0000000007500001"/>
    <x v="0"/>
    <n v="3"/>
    <x v="4"/>
  </r>
  <r>
    <x v="0"/>
    <x v="20"/>
    <s v="Crediplata S.A."/>
    <x v="3"/>
    <x v="20"/>
    <m/>
    <s v="Notables - Jujuy 1 Col"/>
    <x v="1"/>
    <n v="84.295714285714297"/>
    <x v="0"/>
    <x v="7"/>
    <s v="Pag 3"/>
    <x v="3"/>
    <x v="0"/>
    <n v="1"/>
    <n v="5.0000000012500001"/>
    <x v="0"/>
    <n v="5"/>
    <x v="0"/>
  </r>
  <r>
    <x v="0"/>
    <x v="21"/>
    <s v="BIENES S.R.L."/>
    <x v="3"/>
    <x v="21"/>
    <m/>
    <s v="Notables - Jujuy 1 Col"/>
    <x v="1"/>
    <n v="67.437142857142859"/>
    <x v="0"/>
    <x v="7"/>
    <s v="Pag 3"/>
    <x v="3"/>
    <x v="0"/>
    <n v="1"/>
    <n v="4.0000000010000001"/>
    <x v="0"/>
    <n v="4"/>
    <x v="9"/>
  </r>
  <r>
    <x v="0"/>
    <x v="22"/>
    <s v="BIENES S.R.L."/>
    <x v="3"/>
    <x v="22"/>
    <m/>
    <s v="Notables - Jujuy 1 Col"/>
    <x v="1"/>
    <n v="67.437142857142859"/>
    <x v="0"/>
    <x v="7"/>
    <s v="Pag 3"/>
    <x v="3"/>
    <x v="0"/>
    <n v="1"/>
    <n v="4.0000000010000001"/>
    <x v="0"/>
    <n v="4"/>
    <x v="9"/>
  </r>
  <r>
    <x v="0"/>
    <x v="23"/>
    <s v="BIENES S.R.L."/>
    <x v="12"/>
    <x v="23"/>
    <m/>
    <s v="Notables - Jujuy 1 Col"/>
    <x v="0"/>
    <n v="247.82933333333332"/>
    <x v="0"/>
    <x v="8"/>
    <s v="Pag 1"/>
    <x v="0"/>
    <x v="0"/>
    <n v="1"/>
    <n v="15.000000000222226"/>
    <x v="0"/>
    <n v="15"/>
    <x v="10"/>
  </r>
  <r>
    <x v="0"/>
    <x v="24"/>
    <s v="ECO WAPSI S.R.L."/>
    <x v="13"/>
    <x v="24"/>
    <s v="aviso con logo inmob barcena"/>
    <s v="Notables - Jujuy 1 Col"/>
    <x v="0"/>
    <n v="414.20933333333335"/>
    <x v="0"/>
    <x v="8"/>
    <s v="Pag 2"/>
    <x v="4"/>
    <x v="0"/>
    <n v="1"/>
    <n v="21.000000001722224"/>
    <x v="0"/>
    <n v="21"/>
    <x v="11"/>
  </r>
  <r>
    <x v="0"/>
    <x v="25"/>
    <s v="Zalazar Betty"/>
    <x v="3"/>
    <x v="25"/>
    <m/>
    <s v="Notables - Jujuy 1 Col"/>
    <x v="1"/>
    <n v="33.044000000000004"/>
    <x v="0"/>
    <x v="8"/>
    <s v="Pag 1"/>
    <x v="0"/>
    <x v="0"/>
    <n v="1"/>
    <n v="2.0000000005"/>
    <x v="0"/>
    <n v="2"/>
    <x v="3"/>
  </r>
  <r>
    <x v="0"/>
    <x v="26"/>
    <s v="LAMARA S.R.L."/>
    <x v="14"/>
    <x v="26"/>
    <s v="repite ultimo aviso"/>
    <s v="Notables - Jujuy 1 Col"/>
    <x v="0"/>
    <n v="256.37517241379305"/>
    <x v="0"/>
    <x v="8"/>
    <s v="Pag 2"/>
    <x v="4"/>
    <x v="0"/>
    <n v="1"/>
    <n v="15.000000000222226"/>
    <x v="0"/>
    <n v="15"/>
    <x v="10"/>
  </r>
  <r>
    <x v="0"/>
    <x v="27"/>
    <s v="RODRIGUEZ QUIROGA MARTIN"/>
    <x v="15"/>
    <x v="27"/>
    <m/>
    <s v="Notables - Jujuy 1 Col"/>
    <x v="0"/>
    <n v="118.95800000000001"/>
    <x v="0"/>
    <x v="8"/>
    <s v="Pag 2"/>
    <x v="4"/>
    <x v="0"/>
    <n v="1"/>
    <n v="7.0000000017499984"/>
    <x v="0"/>
    <n v="7"/>
    <x v="2"/>
  </r>
  <r>
    <x v="0"/>
    <x v="28"/>
    <s v="Roca Enrique Vicente"/>
    <x v="16"/>
    <x v="28"/>
    <s v="AVISO ARMADO EN CARPETA"/>
    <s v="Notables - Jujuy 1 Col"/>
    <x v="2"/>
    <n v="0"/>
    <x v="0"/>
    <x v="8"/>
    <s v="Pag 2"/>
    <x v="4"/>
    <x v="0"/>
    <n v="1"/>
    <n v="15.000000000222226"/>
    <x v="0"/>
    <n v="15"/>
    <x v="10"/>
  </r>
  <r>
    <x v="0"/>
    <x v="29"/>
    <s v="Cañas  Carlos Alberto"/>
    <x v="3"/>
    <x v="29"/>
    <m/>
    <s v="Notables - Jujuy 1 Col"/>
    <x v="1"/>
    <n v="236.02857142857147"/>
    <x v="0"/>
    <x v="8"/>
    <s v="Pag 2"/>
    <x v="4"/>
    <x v="0"/>
    <n v="1"/>
    <n v="13.999999999972225"/>
    <x v="0"/>
    <n v="14"/>
    <x v="6"/>
  </r>
  <r>
    <x v="0"/>
    <x v="30"/>
    <s v="De La Zerda  Luis Hector"/>
    <x v="3"/>
    <x v="30"/>
    <m/>
    <s v="Notables - Jujuy 1 Col"/>
    <x v="1"/>
    <n v="33.71857142857143"/>
    <x v="0"/>
    <x v="8"/>
    <s v="Pag 1"/>
    <x v="0"/>
    <x v="0"/>
    <n v="1"/>
    <n v="2.0000000005"/>
    <x v="0"/>
    <n v="2"/>
    <x v="3"/>
  </r>
  <r>
    <x v="0"/>
    <x v="31"/>
    <s v="Basbus Ernesto"/>
    <x v="3"/>
    <x v="31"/>
    <m/>
    <s v="Notables - Jujuy 1 Col"/>
    <x v="1"/>
    <n v="50.577142857142853"/>
    <x v="0"/>
    <x v="8"/>
    <s v="Pag 1"/>
    <x v="0"/>
    <x v="0"/>
    <n v="1"/>
    <n v="3.0000000007500001"/>
    <x v="0"/>
    <n v="3"/>
    <x v="4"/>
  </r>
  <r>
    <x v="0"/>
    <x v="32"/>
    <s v="Pasquini Fernanda"/>
    <x v="3"/>
    <x v="32"/>
    <m/>
    <s v="Notables - Jujuy 1 Col"/>
    <x v="1"/>
    <n v="50.577142857142853"/>
    <x v="0"/>
    <x v="8"/>
    <s v="Pag 1"/>
    <x v="0"/>
    <x v="0"/>
    <n v="1"/>
    <n v="3.0000000007500001"/>
    <x v="0"/>
    <n v="3"/>
    <x v="4"/>
  </r>
  <r>
    <x v="0"/>
    <x v="33"/>
    <s v="Paco  Valeria"/>
    <x v="3"/>
    <x v="33"/>
    <m/>
    <s v="Notables - Jujuy 1 Col"/>
    <x v="1"/>
    <n v="33.71857142857143"/>
    <x v="0"/>
    <x v="8"/>
    <s v="Pag 1"/>
    <x v="0"/>
    <x v="0"/>
    <n v="1"/>
    <n v="2.0000000005"/>
    <x v="0"/>
    <n v="2"/>
    <x v="3"/>
  </r>
  <r>
    <x v="0"/>
    <x v="34"/>
    <s v="Carvajal Juan Carlos"/>
    <x v="17"/>
    <x v="34"/>
    <s v="RENUEVA IMAGEN A PARTIR DEL 5/01"/>
    <s v="Notables - Jujuy 1 Col"/>
    <x v="0"/>
    <n v="147.50633333333332"/>
    <x v="0"/>
    <x v="9"/>
    <s v="Pag 4"/>
    <x v="5"/>
    <x v="0"/>
    <n v="1"/>
    <n v="9.999999998972223"/>
    <x v="0"/>
    <n v="10"/>
    <x v="5"/>
  </r>
  <r>
    <x v="0"/>
    <x v="35"/>
    <s v="Dergam Srl"/>
    <x v="18"/>
    <x v="35"/>
    <m/>
    <s v="Notables - Jujuy 1 Col"/>
    <x v="0"/>
    <n v="225.77523809523811"/>
    <x v="0"/>
    <x v="9"/>
    <s v="Pag 4"/>
    <x v="5"/>
    <x v="0"/>
    <n v="1"/>
    <n v="15.000000000222226"/>
    <x v="0"/>
    <n v="15"/>
    <x v="10"/>
  </r>
  <r>
    <x v="0"/>
    <x v="36"/>
    <s v="El Mundo De Las Herramientas S.R.L."/>
    <x v="19"/>
    <x v="36"/>
    <m/>
    <s v="Notables - Jujuy 1 Col"/>
    <x v="0"/>
    <n v="227.88896551724139"/>
    <x v="0"/>
    <x v="9"/>
    <s v="Pag 4"/>
    <x v="5"/>
    <x v="0"/>
    <n v="1"/>
    <n v="13.999999999972225"/>
    <x v="0"/>
    <n v="14"/>
    <x v="6"/>
  </r>
  <r>
    <x v="0"/>
    <x v="37"/>
    <s v="FLORES JOSE LUIS"/>
    <x v="3"/>
    <x v="37"/>
    <m/>
    <s v="Notables - Jujuy 1 Col"/>
    <x v="1"/>
    <n v="84.295714285714297"/>
    <x v="0"/>
    <x v="10"/>
    <s v="Pag 4"/>
    <x v="5"/>
    <x v="0"/>
    <n v="1"/>
    <n v="5.0000000012500001"/>
    <x v="0"/>
    <n v="5"/>
    <x v="0"/>
  </r>
  <r>
    <x v="0"/>
    <x v="38"/>
    <s v="Cultivar S.r.l."/>
    <x v="20"/>
    <x v="38"/>
    <m/>
    <s v="Notables - Jujuy 1 Col"/>
    <x v="0"/>
    <n v="51.926000000000002"/>
    <x v="0"/>
    <x v="10"/>
    <s v="Pag 4"/>
    <x v="5"/>
    <x v="0"/>
    <n v="1"/>
    <n v="3.0000000007500001"/>
    <x v="0"/>
    <n v="3"/>
    <x v="4"/>
  </r>
  <r>
    <x v="0"/>
    <x v="39"/>
    <s v="Sola Jose Leandro"/>
    <x v="21"/>
    <x v="39"/>
    <m/>
    <s v="Notables - Jujuy 1 Col"/>
    <x v="0"/>
    <n v="53.107500000000002"/>
    <x v="0"/>
    <x v="10"/>
    <s v="Pag 4"/>
    <x v="5"/>
    <x v="0"/>
    <n v="1"/>
    <n v="3.0000000007500001"/>
    <x v="0"/>
    <n v="3"/>
    <x v="4"/>
  </r>
  <r>
    <x v="0"/>
    <x v="40"/>
    <s v=" SOLKLINOR S.R.L. SOCIEDAD EN FORMACION"/>
    <x v="22"/>
    <x v="40"/>
    <m/>
    <s v="Notables - Jujuy 1 Col"/>
    <x v="0"/>
    <n v="84.295714285714297"/>
    <x v="0"/>
    <x v="10"/>
    <s v="Pag 4"/>
    <x v="5"/>
    <x v="0"/>
    <n v="1"/>
    <n v="5.0000000012500001"/>
    <x v="0"/>
    <n v="5"/>
    <x v="0"/>
  </r>
  <r>
    <x v="0"/>
    <x v="41"/>
    <s v="Agropecuario SRL."/>
    <x v="3"/>
    <x v="41"/>
    <m/>
    <s v="Notables - Jujuy 1 Col"/>
    <x v="1"/>
    <n v="66.087999999999994"/>
    <x v="0"/>
    <x v="10"/>
    <s v="Pag 4"/>
    <x v="5"/>
    <x v="0"/>
    <n v="1"/>
    <n v="4.0000000010000001"/>
    <x v="0"/>
    <n v="4"/>
    <x v="9"/>
  </r>
  <r>
    <x v="0"/>
    <x v="42"/>
    <s v="Coop. De Trabajo Textil Lda."/>
    <x v="3"/>
    <x v="42"/>
    <m/>
    <s v="Notables - Jujuy 1 Col"/>
    <x v="1"/>
    <n v="66.087999999999994"/>
    <x v="0"/>
    <x v="10"/>
    <s v="Pag 4"/>
    <x v="5"/>
    <x v="0"/>
    <n v="1"/>
    <n v="4.0000000010000001"/>
    <x v="0"/>
    <n v="4"/>
    <x v="9"/>
  </r>
  <r>
    <x v="0"/>
    <x v="43"/>
    <s v="ECO WAPSI S.R.L."/>
    <x v="23"/>
    <x v="43"/>
    <m/>
    <s v="Notables - Jujuy 1 Col"/>
    <x v="0"/>
    <n v="67.437142857142859"/>
    <x v="0"/>
    <x v="11"/>
    <m/>
    <x v="1"/>
    <x v="0"/>
    <n v="1"/>
    <n v="4.0000000010000001"/>
    <x v="0"/>
    <n v="4"/>
    <x v="9"/>
  </r>
  <r>
    <x v="0"/>
    <x v="44"/>
    <s v="Vera Inés Del Carmen"/>
    <x v="24"/>
    <x v="44"/>
    <s v="repite del ultimo aviso"/>
    <s v="Notables - Jujuy 1 Col"/>
    <x v="0"/>
    <n v="136.73344827586206"/>
    <x v="0"/>
    <x v="12"/>
    <s v="Pag 5"/>
    <x v="2"/>
    <x v="0"/>
    <n v="1"/>
    <n v="7.9999999984722239"/>
    <x v="0"/>
    <n v="8"/>
    <x v="7"/>
  </r>
  <r>
    <x v="0"/>
    <x v="45"/>
    <s v="Peñarrieta Julio"/>
    <x v="3"/>
    <x v="45"/>
    <s v="CON LOGO DE AVISO Nº 1395935"/>
    <s v="Notables - Jujuy 1 Col"/>
    <x v="1"/>
    <n v="84.295714285714297"/>
    <x v="0"/>
    <x v="12"/>
    <s v="Pag 5"/>
    <x v="2"/>
    <x v="0"/>
    <n v="1"/>
    <n v="5.0000000012500001"/>
    <x v="0"/>
    <n v="5"/>
    <x v="0"/>
  </r>
  <r>
    <x v="0"/>
    <x v="46"/>
    <s v="ECOMET S.R.L."/>
    <x v="25"/>
    <x v="46"/>
    <m/>
    <s v="Notables - Jujuy 1 Col"/>
    <x v="0"/>
    <n v="106.22688888888889"/>
    <x v="0"/>
    <x v="13"/>
    <s v="Pag 4"/>
    <x v="5"/>
    <x v="0"/>
    <n v="1"/>
    <n v="8.9999999987222221"/>
    <x v="0"/>
    <n v="9"/>
    <x v="12"/>
  </r>
  <r>
    <x v="0"/>
    <x v="47"/>
    <s v="Noguera  Antonio"/>
    <x v="3"/>
    <x v="47"/>
    <s v="“EL HORNERO” fondo negro todos los el hornero _x000d__x000a_ALQUILO _x000d__x000a_CAMIONES VOLQUETES negrita ALQUILER DE _x000d__x000a_MAQUINAS-DESAGOTES BAÑOS QUÍMICOS negritasCONTENEDORES  negrita _x000d__x000a_Tel.156855015/4250352  fondo negro"/>
    <s v="Notables - Jujuy 1 Col"/>
    <x v="1"/>
    <n v="168.59142857142859"/>
    <x v="0"/>
    <x v="14"/>
    <s v="Pag 4"/>
    <x v="5"/>
    <x v="0"/>
    <n v="1"/>
    <n v="9.999999998972223"/>
    <x v="0"/>
    <n v="10"/>
    <x v="5"/>
  </r>
  <r>
    <x v="0"/>
    <x v="48"/>
    <s v="Antonio Noguera"/>
    <x v="3"/>
    <x v="48"/>
    <s v="fondo negro  aguatero “EL HORNERO” VENDO AGUA CAMION REGADOR"/>
    <s v="Notables - Jujuy 1 Col"/>
    <x v="1"/>
    <n v="33.71857142857143"/>
    <x v="0"/>
    <x v="14"/>
    <s v="Pag 4"/>
    <x v="5"/>
    <x v="0"/>
    <n v="1"/>
    <n v="2.0000000005"/>
    <x v="0"/>
    <n v="2"/>
    <x v="3"/>
  </r>
  <r>
    <x v="0"/>
    <x v="49"/>
    <s v="Madariaga  Olga"/>
    <x v="3"/>
    <x v="49"/>
    <s v="CURSOS DE VERANO_x000d__x000a_COCINA VEGETARIANA Y PANIFICACION _x000d__x000a_INTEGRAL ------ FONDO NEGRO_x000d__x000a_Informes. Cel 388-5877043 ---- TAMBIEN FONDO NEGRO"/>
    <s v="Notables - Jujuy 1 Col"/>
    <x v="1"/>
    <n v="33.71857142857143"/>
    <x v="0"/>
    <x v="15"/>
    <s v="Pag 5"/>
    <x v="2"/>
    <x v="0"/>
    <n v="1"/>
    <n v="2.0000000005"/>
    <x v="0"/>
    <n v="2"/>
    <x v="3"/>
  </r>
  <r>
    <x v="0"/>
    <x v="50"/>
    <s v="HORMIGONERA JUJUY S.R.L."/>
    <x v="26"/>
    <x v="50"/>
    <m/>
    <s v="Notables - Jujuy 1 Col"/>
    <x v="0"/>
    <n v="85.458275862068973"/>
    <x v="0"/>
    <x v="16"/>
    <s v="Pag 3"/>
    <x v="3"/>
    <x v="0"/>
    <n v="1"/>
    <n v="5.0000000012500001"/>
    <x v="0"/>
    <n v="5"/>
    <x v="0"/>
  </r>
  <r>
    <x v="0"/>
    <x v="51"/>
    <s v="HORMIGONERA JUJUY S.R.L."/>
    <x v="27"/>
    <x v="51"/>
    <m/>
    <s v="Notables - Jujuy 1 Col"/>
    <x v="0"/>
    <n v="85.458275862068973"/>
    <x v="0"/>
    <x v="16"/>
    <s v="Pag 3"/>
    <x v="3"/>
    <x v="0"/>
    <n v="1"/>
    <n v="5.0000000012500001"/>
    <x v="0"/>
    <n v="5"/>
    <x v="0"/>
  </r>
  <r>
    <x v="0"/>
    <x v="52"/>
    <s v="Urbania S.R.L."/>
    <x v="28"/>
    <x v="52"/>
    <s v="repite de ultimo aviso"/>
    <s v="Notables - Jujuy 1 Col"/>
    <x v="0"/>
    <n v="85.458275862068973"/>
    <x v="0"/>
    <x v="16"/>
    <s v="Pag 3"/>
    <x v="3"/>
    <x v="0"/>
    <n v="1"/>
    <n v="5.0000000012500001"/>
    <x v="0"/>
    <n v="5"/>
    <x v="0"/>
  </r>
  <r>
    <x v="0"/>
    <x v="53"/>
    <s v="Colque Mansilla Mauricio"/>
    <x v="3"/>
    <x v="53"/>
    <m/>
    <s v="Notables - Jujuy 1 Col"/>
    <x v="1"/>
    <n v="132.17566666666667"/>
    <x v="0"/>
    <x v="17"/>
    <m/>
    <x v="1"/>
    <x v="0"/>
    <n v="1"/>
    <n v="7.9999999984722239"/>
    <x v="0"/>
    <n v="8"/>
    <x v="7"/>
  </r>
  <r>
    <x v="0"/>
    <x v="54"/>
    <s v="FEIJOO ANDREA VANESA"/>
    <x v="29"/>
    <x v="54"/>
    <s v="corregir aviso cambia texto telefonos y agrega planta baja"/>
    <s v="Notables - Jujuy 1 Col"/>
    <x v="0"/>
    <n v="170.91689655172414"/>
    <x v="0"/>
    <x v="17"/>
    <m/>
    <x v="1"/>
    <x v="0"/>
    <n v="1"/>
    <n v="9.999999998972223"/>
    <x v="0"/>
    <n v="10"/>
    <x v="5"/>
  </r>
  <r>
    <x v="0"/>
    <x v="55"/>
    <s v="FEIJOO CARLOS MARTIN"/>
    <x v="30"/>
    <x v="55"/>
    <m/>
    <s v="Notables - Jujuy 1 Col"/>
    <x v="0"/>
    <n v="256.37517241379305"/>
    <x v="0"/>
    <x v="17"/>
    <m/>
    <x v="1"/>
    <x v="0"/>
    <n v="1"/>
    <n v="15.000000000222226"/>
    <x v="0"/>
    <n v="15"/>
    <x v="10"/>
  </r>
  <r>
    <x v="0"/>
    <x v="56"/>
    <s v="ALEJANDRO FERNANDEZ GAUNA"/>
    <x v="3"/>
    <x v="56"/>
    <m/>
    <s v="Notables - Jujuy 1 Col"/>
    <x v="1"/>
    <n v="33.71857142857143"/>
    <x v="0"/>
    <x v="17"/>
    <m/>
    <x v="1"/>
    <x v="0"/>
    <n v="1"/>
    <n v="2.0000000005"/>
    <x v="0"/>
    <n v="2"/>
    <x v="3"/>
  </r>
  <r>
    <x v="0"/>
    <x v="57"/>
    <s v="CAZON FLORENCIA"/>
    <x v="3"/>
    <x v="57"/>
    <s v="REMARCAR LETRA EN NEGRITA _x000d__x000a__x000d__x000a_ COLOR AMARILLO"/>
    <s v="Notables - Jujuy 1 Col"/>
    <x v="1"/>
    <n v="99.131666666666675"/>
    <x v="0"/>
    <x v="17"/>
    <s v="Pag 5"/>
    <x v="2"/>
    <x v="0"/>
    <n v="1"/>
    <n v="6.0000000015000001"/>
    <x v="0"/>
    <n v="6"/>
    <x v="1"/>
  </r>
  <r>
    <x v="0"/>
    <x v="58"/>
    <s v="Lopez  Martin Emiliano"/>
    <x v="3"/>
    <x v="58"/>
    <s v="PRESTAMOS EN EL ACTO  C/FONDO NEGRO_x000d__x000a_ Cel. 3884842181. C/NEGRO"/>
    <s v="Notables - Jujuy 1 Col"/>
    <x v="1"/>
    <n v="50.577142857142853"/>
    <x v="0"/>
    <x v="17"/>
    <m/>
    <x v="1"/>
    <x v="0"/>
    <n v="1"/>
    <n v="3.0000000007500001"/>
    <x v="0"/>
    <n v="3"/>
    <x v="4"/>
  </r>
  <r>
    <x v="0"/>
    <x v="59"/>
    <s v="Gasparovic  Veronica Adelaida"/>
    <x v="3"/>
    <x v="59"/>
    <s v="IMAGEN DE COLOR AMARILLA PARA LAS VECES QUE SALGA A COLOR"/>
    <s v="Notables - Jujuy 1 Col"/>
    <x v="1"/>
    <n v="247.82933333333332"/>
    <x v="0"/>
    <x v="17"/>
    <s v="Pag 5"/>
    <x v="2"/>
    <x v="0"/>
    <n v="1"/>
    <n v="15.000000000222226"/>
    <x v="0"/>
    <n v="15"/>
    <x v="10"/>
  </r>
  <r>
    <x v="0"/>
    <x v="60"/>
    <s v="Vilar Cristian Leandro"/>
    <x v="3"/>
    <x v="60"/>
    <m/>
    <s v="Notables - Jujuy 1 Col"/>
    <x v="1"/>
    <n v="43.624482758620701"/>
    <x v="1"/>
    <x v="18"/>
    <s v="Pag 1"/>
    <x v="0"/>
    <x v="0"/>
    <n v="1"/>
    <n v="2.0000000005"/>
    <x v="0"/>
    <n v="2"/>
    <x v="3"/>
  </r>
  <r>
    <x v="0"/>
    <x v="61"/>
    <s v="PANERO JULIO CESAR"/>
    <x v="31"/>
    <x v="61"/>
    <m/>
    <s v="Notables - Jujuy 1 Col"/>
    <x v="0"/>
    <n v="34.617333333333335"/>
    <x v="0"/>
    <x v="18"/>
    <s v="Pag 1"/>
    <x v="0"/>
    <x v="0"/>
    <n v="1"/>
    <n v="2.0000000005"/>
    <x v="0"/>
    <n v="2"/>
    <x v="3"/>
  </r>
  <r>
    <x v="0"/>
    <x v="62"/>
    <s v="Flores  Adriana De Las Mercedes"/>
    <x v="3"/>
    <x v="62"/>
    <m/>
    <s v="Asamblea Cm- Jujuy"/>
    <x v="1"/>
    <n v="362.88"/>
    <x v="0"/>
    <x v="19"/>
    <s v="Pag 8"/>
    <x v="6"/>
    <x v="0"/>
    <n v="2"/>
    <n v="9.999999998972223"/>
    <x v="0"/>
    <n v="10"/>
    <x v="13"/>
  </r>
  <r>
    <x v="0"/>
    <x v="63"/>
    <s v="Liga De Veteranos De Futbol"/>
    <x v="3"/>
    <x v="63"/>
    <m/>
    <s v="Asamblea Cm- Jujuy"/>
    <x v="1"/>
    <n v="362.88333333333338"/>
    <x v="0"/>
    <x v="19"/>
    <s v="Pag 8"/>
    <x v="6"/>
    <x v="0"/>
    <n v="2"/>
    <n v="9.999999998972223"/>
    <x v="0"/>
    <n v="10"/>
    <x v="13"/>
  </r>
  <r>
    <x v="0"/>
    <x v="64"/>
    <s v="Tofino Carola"/>
    <x v="3"/>
    <x v="64"/>
    <m/>
    <s v="Asamblea Cm- Jujuy"/>
    <x v="1"/>
    <n v="362.88333333333338"/>
    <x v="0"/>
    <x v="19"/>
    <s v="Pag 8"/>
    <x v="6"/>
    <x v="0"/>
    <n v="2"/>
    <n v="9.999999998972223"/>
    <x v="0"/>
    <n v="10"/>
    <x v="13"/>
  </r>
  <r>
    <x v="0"/>
    <x v="65"/>
    <s v="Perez Silvia Liliana"/>
    <x v="3"/>
    <x v="65"/>
    <m/>
    <s v="Notables - Jujuy 1 Col"/>
    <x v="1"/>
    <n v="50.577142857142853"/>
    <x v="0"/>
    <x v="20"/>
    <s v="Pag 3"/>
    <x v="3"/>
    <x v="0"/>
    <n v="1"/>
    <n v="3.0000000007500001"/>
    <x v="0"/>
    <n v="3"/>
    <x v="4"/>
  </r>
  <r>
    <x v="0"/>
    <x v="66"/>
    <s v="Cañas  Carlos Alberto"/>
    <x v="3"/>
    <x v="66"/>
    <m/>
    <s v="Notables - Jujuy 1 Col"/>
    <x v="1"/>
    <n v="84.295714285714297"/>
    <x v="0"/>
    <x v="20"/>
    <s v="Pag 3"/>
    <x v="3"/>
    <x v="0"/>
    <n v="1"/>
    <n v="5.0000000012500001"/>
    <x v="0"/>
    <n v="5"/>
    <x v="0"/>
  </r>
  <r>
    <x v="0"/>
    <x v="67"/>
    <s v="Balmaceda Guillermo Javier"/>
    <x v="32"/>
    <x v="67"/>
    <m/>
    <s v="Notables - Jujuy 1 Col"/>
    <x v="0"/>
    <n v="53.107500000000002"/>
    <x v="0"/>
    <x v="20"/>
    <s v="Pag 3"/>
    <x v="3"/>
    <x v="0"/>
    <n v="1"/>
    <n v="3.0000000007500001"/>
    <x v="0"/>
    <n v="3"/>
    <x v="4"/>
  </r>
  <r>
    <x v="0"/>
    <x v="68"/>
    <s v="Solis  Sergio Ezequiel"/>
    <x v="3"/>
    <x v="68"/>
    <m/>
    <s v="Notables - Jujuy 1 Col"/>
    <x v="1"/>
    <n v="67.437142857142859"/>
    <x v="0"/>
    <x v="20"/>
    <s v="Pag 3"/>
    <x v="3"/>
    <x v="0"/>
    <n v="1"/>
    <n v="4.0000000010000001"/>
    <x v="0"/>
    <n v="4"/>
    <x v="9"/>
  </r>
  <r>
    <x v="0"/>
    <x v="69"/>
    <s v="Zamar  Juan Jose"/>
    <x v="33"/>
    <x v="69"/>
    <m/>
    <s v="Notables - Jujuy 1 Col"/>
    <x v="0"/>
    <n v="73.75333333333333"/>
    <x v="0"/>
    <x v="21"/>
    <s v="Pag 2"/>
    <x v="4"/>
    <x v="0"/>
    <n v="1"/>
    <n v="5.0000000012500001"/>
    <x v="0"/>
    <n v="5"/>
    <x v="0"/>
  </r>
  <r>
    <x v="0"/>
    <x v="70"/>
    <s v="LAMARA S.R.L."/>
    <x v="34"/>
    <x v="70"/>
    <s v="repite ultimo aviso publicado"/>
    <s v="Notables - Jujuy 1 Col"/>
    <x v="0"/>
    <n v="256.37517241379305"/>
    <x v="0"/>
    <x v="21"/>
    <s v="Pag 2"/>
    <x v="4"/>
    <x v="0"/>
    <n v="1"/>
    <n v="15.000000000222226"/>
    <x v="0"/>
    <n v="15"/>
    <x v="10"/>
  </r>
  <r>
    <x v="0"/>
    <x v="71"/>
    <s v="Quispe  Noelia"/>
    <x v="3"/>
    <x v="71"/>
    <m/>
    <s v="Notables - Jujuy 1 Col"/>
    <x v="1"/>
    <n v="50.577142857142853"/>
    <x v="0"/>
    <x v="21"/>
    <s v="Pag 2"/>
    <x v="4"/>
    <x v="0"/>
    <n v="1"/>
    <n v="3.0000000007500001"/>
    <x v="0"/>
    <n v="3"/>
    <x v="4"/>
  </r>
  <r>
    <x v="0"/>
    <x v="72"/>
    <s v="Rosenbluth  Fernando"/>
    <x v="3"/>
    <x v="72"/>
    <m/>
    <s v="Notables - Jujuy 1 Col"/>
    <x v="1"/>
    <n v="33.71857142857143"/>
    <x v="0"/>
    <x v="21"/>
    <s v="Pag 2"/>
    <x v="4"/>
    <x v="0"/>
    <n v="1"/>
    <n v="2.0000000005"/>
    <x v="0"/>
    <n v="2"/>
    <x v="3"/>
  </r>
  <r>
    <x v="0"/>
    <x v="73"/>
    <s v="Luciani Susana"/>
    <x v="3"/>
    <x v="73"/>
    <m/>
    <s v="Notables - Jujuy 1 Col"/>
    <x v="1"/>
    <n v="50.577142857142853"/>
    <x v="0"/>
    <x v="21"/>
    <s v="Pag 2"/>
    <x v="4"/>
    <x v="0"/>
    <n v="1"/>
    <n v="3.0000000007500001"/>
    <x v="0"/>
    <n v="3"/>
    <x v="4"/>
  </r>
  <r>
    <x v="0"/>
    <x v="74"/>
    <s v="Rivas  Diego Rodrigo"/>
    <x v="3"/>
    <x v="74"/>
    <m/>
    <s v="Notables - Jujuy 1 Col"/>
    <x v="1"/>
    <n v="84.295714285714297"/>
    <x v="0"/>
    <x v="21"/>
    <s v="Pag 2"/>
    <x v="4"/>
    <x v="0"/>
    <n v="1"/>
    <n v="5.0000000012500001"/>
    <x v="0"/>
    <n v="5"/>
    <x v="0"/>
  </r>
  <r>
    <x v="0"/>
    <x v="75"/>
    <s v="Crediplata S.A."/>
    <x v="3"/>
    <x v="75"/>
    <s v="EDINOR DESARROLLOS _x000d__x000a_INMOBILIARIOS negrita _x000d__x000a_Independencia 573. Cel _x000d__x000a_388-4233964 / 155135994 _x000d__x000a_www.edinor.com.ar fondo negro"/>
    <s v="Notables - Jujuy 1 Col"/>
    <x v="1"/>
    <n v="101.15428571428571"/>
    <x v="0"/>
    <x v="21"/>
    <s v="Pag 2"/>
    <x v="4"/>
    <x v="0"/>
    <n v="1"/>
    <n v="6.0000000015000001"/>
    <x v="0"/>
    <n v="6"/>
    <x v="1"/>
  </r>
  <r>
    <x v="0"/>
    <x v="76"/>
    <s v="Luis  Cabrera"/>
    <x v="3"/>
    <x v="76"/>
    <s v="a color los días correspondientes ( aviso para renovación )"/>
    <s v="Notables - Jujuy +1 Col"/>
    <x v="1"/>
    <n v="354.04200000000003"/>
    <x v="0"/>
    <x v="22"/>
    <s v="Pag 7"/>
    <x v="7"/>
    <x v="0"/>
    <n v="3"/>
    <n v="5.0000000012500001"/>
    <x v="0"/>
    <n v="5"/>
    <x v="14"/>
  </r>
  <r>
    <x v="0"/>
    <x v="77"/>
    <s v="Martinez  Geronimo"/>
    <x v="3"/>
    <x v="77"/>
    <s v="DON ANTES DE ALEXANDER"/>
    <s v="Notables - Jujuy +1 Col"/>
    <x v="1"/>
    <n v="236.02800000000002"/>
    <x v="0"/>
    <x v="22"/>
    <m/>
    <x v="1"/>
    <x v="0"/>
    <n v="2"/>
    <n v="5.0000000012500001"/>
    <x v="0"/>
    <n v="5"/>
    <x v="15"/>
  </r>
  <r>
    <x v="0"/>
    <x v="78"/>
    <s v="Abanto  Freddy"/>
    <x v="3"/>
    <x v="78"/>
    <s v="sin color corregir (milagrosa)  aviso para renovar"/>
    <s v="Notables - Jujuy +1 Col"/>
    <x v="1"/>
    <n v="362.28285714285715"/>
    <x v="0"/>
    <x v="22"/>
    <s v="Pag 7"/>
    <x v="7"/>
    <x v="0"/>
    <n v="3"/>
    <n v="6.0000000015000001"/>
    <x v="0"/>
    <n v="6"/>
    <x v="16"/>
  </r>
  <r>
    <x v="0"/>
    <x v="79"/>
    <s v="Horizontes S A"/>
    <x v="35"/>
    <x v="79"/>
    <s v="AVISO EN CARPETA DE NOTABLES"/>
    <s v="Notables - Jujuy +1 Col"/>
    <x v="0"/>
    <n v="2820.6849999999999"/>
    <x v="1"/>
    <x v="22"/>
    <s v="Pag 7"/>
    <x v="7"/>
    <x v="0"/>
    <n v="7"/>
    <n v="9.999999998972223"/>
    <x v="0"/>
    <n v="10"/>
    <x v="17"/>
  </r>
  <r>
    <x v="0"/>
    <x v="80"/>
    <s v="Ramirez Roberto Ruben"/>
    <x v="36"/>
    <x v="80"/>
    <s v="aviso llega por mail"/>
    <s v="Notables - Jujuy +1 Col"/>
    <x v="0"/>
    <n v="479.01666666666665"/>
    <x v="0"/>
    <x v="22"/>
    <m/>
    <x v="1"/>
    <x v="0"/>
    <n v="2"/>
    <n v="9.999999998972223"/>
    <x v="0"/>
    <n v="10"/>
    <x v="13"/>
  </r>
  <r>
    <x v="1"/>
    <x v="81"/>
    <s v="Ramirez Roberto Ruben"/>
    <x v="37"/>
    <x v="81"/>
    <s v="aviso llega por mail"/>
    <s v="Editorial Comercial - Jujuy"/>
    <x v="0"/>
    <n v="651.30999999999995"/>
    <x v="1"/>
    <x v="23"/>
    <s v="SUDC"/>
    <x v="8"/>
    <x v="0"/>
    <n v="2"/>
    <n v="9.8777777777777782"/>
    <x v="0"/>
    <n v="10"/>
    <x v="13"/>
  </r>
  <r>
    <x v="1"/>
    <x v="82"/>
    <s v="CANO HECTOR RAUL"/>
    <x v="38"/>
    <x v="82"/>
    <m/>
    <s v="Editorial Comercial - Jujuy"/>
    <x v="2"/>
    <n v="1287.23"/>
    <x v="1"/>
    <x v="23"/>
    <s v="SUDC"/>
    <x v="8"/>
    <x v="0"/>
    <n v="3"/>
    <n v="9.8777777777777782"/>
    <x v="0"/>
    <n v="10"/>
    <x v="18"/>
  </r>
  <r>
    <x v="1"/>
    <x v="83"/>
    <s v="Editora Sociedad Anonima"/>
    <x v="39"/>
    <x v="83"/>
    <m/>
    <s v="Editorial Comercial - Jujuy"/>
    <x v="2"/>
    <n v="1716.31"/>
    <x v="1"/>
    <x v="23"/>
    <s v="SUDC"/>
    <x v="9"/>
    <x v="0"/>
    <n v="3"/>
    <n v="13.433777777777777"/>
    <x v="0"/>
    <n v="13"/>
    <x v="19"/>
  </r>
  <r>
    <x v="1"/>
    <x v="84"/>
    <s v="Rodriguez  Javier"/>
    <x v="3"/>
    <x v="84"/>
    <m/>
    <s v="Editorial Comercial - Jujuy"/>
    <x v="1"/>
    <n v="1809.95"/>
    <x v="1"/>
    <x v="23"/>
    <s v="SUDC"/>
    <x v="8"/>
    <x v="0"/>
    <n v="5"/>
    <n v="13.433777777777777"/>
    <x v="0"/>
    <n v="13"/>
    <x v="20"/>
  </r>
  <r>
    <x v="1"/>
    <x v="85"/>
    <s v="Mensaje Sociedad Anonima"/>
    <x v="40"/>
    <x v="85"/>
    <m/>
    <s v="Editorial Comercial - Jujuy"/>
    <x v="0"/>
    <n v="3396.14"/>
    <x v="1"/>
    <x v="23"/>
    <s v="SUDC"/>
    <x v="10"/>
    <x v="0"/>
    <n v="5"/>
    <n v="13.433777777777777"/>
    <x v="1"/>
    <n v="13"/>
    <x v="20"/>
  </r>
  <r>
    <x v="1"/>
    <x v="86"/>
    <s v="La Cocheria S.r.l."/>
    <x v="41"/>
    <x v="86"/>
    <m/>
    <s v="Editorial Comercial - Jujuy"/>
    <x v="0"/>
    <n v="321.31"/>
    <x v="1"/>
    <x v="24"/>
    <s v="SU"/>
    <x v="11"/>
    <x v="0"/>
    <n v="3"/>
    <n v="2.7657777777777777"/>
    <x v="0"/>
    <n v="3"/>
    <x v="21"/>
  </r>
  <r>
    <x v="1"/>
    <x v="87"/>
    <s v="Servicios Sociales Futuro S R L"/>
    <x v="42"/>
    <x v="87"/>
    <m/>
    <s v="Editorial Comercial - Jujuy"/>
    <x v="0"/>
    <n v="396.47"/>
    <x v="1"/>
    <x v="25"/>
    <s v="SER"/>
    <x v="11"/>
    <x v="0"/>
    <n v="5"/>
    <n v="2.7657777777777777"/>
    <x v="0"/>
    <n v="3"/>
    <x v="22"/>
  </r>
  <r>
    <x v="1"/>
    <x v="88"/>
    <s v="Farmacia Yrigoyen S C S"/>
    <x v="43"/>
    <x v="88"/>
    <m/>
    <s v="Editorial Comercial - Jujuy"/>
    <x v="0"/>
    <n v="145.72"/>
    <x v="1"/>
    <x v="25"/>
    <m/>
    <x v="1"/>
    <x v="0"/>
    <n v="2"/>
    <n v="2.7657777777777777"/>
    <x v="0"/>
    <n v="3"/>
    <x v="23"/>
  </r>
  <r>
    <x v="1"/>
    <x v="89"/>
    <s v="Martesa Tours"/>
    <x v="44"/>
    <x v="89"/>
    <m/>
    <s v="Editorial Comercial - Jujuy"/>
    <x v="0"/>
    <n v="145.72"/>
    <x v="1"/>
    <x v="25"/>
    <m/>
    <x v="1"/>
    <x v="0"/>
    <n v="2"/>
    <n v="2.7657777777777777"/>
    <x v="0"/>
    <n v="3"/>
    <x v="23"/>
  </r>
  <r>
    <x v="1"/>
    <x v="90"/>
    <s v="PLATANO S.R.L."/>
    <x v="45"/>
    <x v="90"/>
    <m/>
    <s v="Editorial Comercial - Jujuy"/>
    <x v="0"/>
    <n v="2290.75"/>
    <x v="1"/>
    <x v="26"/>
    <s v="PES"/>
    <x v="12"/>
    <x v="0"/>
    <n v="5"/>
    <n v="16.989777777777778"/>
    <x v="0"/>
    <n v="17"/>
    <x v="24"/>
  </r>
  <r>
    <x v="1"/>
    <x v="91"/>
    <s v="Colegio De Escribanos De La Provincia De Jujuy"/>
    <x v="46"/>
    <x v="91"/>
    <m/>
    <s v="Editorial Comercial - Jujuy"/>
    <x v="0"/>
    <n v="577.28"/>
    <x v="0"/>
    <x v="27"/>
    <s v="PAC"/>
    <x v="13"/>
    <x v="0"/>
    <n v="2"/>
    <n v="6.3217777777777773"/>
    <x v="0"/>
    <n v="6"/>
    <x v="25"/>
  </r>
  <r>
    <x v="1"/>
    <x v="92"/>
    <s v="Autojujuy Sociedad Anónima"/>
    <x v="47"/>
    <x v="92"/>
    <m/>
    <s v="Editorial Comercial - Jujuy"/>
    <x v="0"/>
    <n v="1917.32"/>
    <x v="1"/>
    <x v="27"/>
    <s v="PAC"/>
    <x v="6"/>
    <x v="0"/>
    <n v="4"/>
    <n v="9.8777777777777782"/>
    <x v="0"/>
    <n v="10"/>
    <x v="26"/>
  </r>
  <r>
    <x v="1"/>
    <x v="93"/>
    <s v="Agostini Desarrollos Inmobiliarios Sociedad De Responsabilidad Limitada"/>
    <x v="48"/>
    <x v="93"/>
    <m/>
    <s v="Editorial Comercial - Jujuy"/>
    <x v="0"/>
    <n v="1493.71"/>
    <x v="1"/>
    <x v="27"/>
    <s v="PAC"/>
    <x v="14"/>
    <x v="0"/>
    <n v="3"/>
    <n v="9.8777777777777782"/>
    <x v="0"/>
    <n v="10"/>
    <x v="18"/>
  </r>
  <r>
    <x v="1"/>
    <x v="94"/>
    <s v="Pussetto Salta S A"/>
    <x v="49"/>
    <x v="94"/>
    <m/>
    <s v="Editorial Comercial - Jujuy"/>
    <x v="0"/>
    <n v="0"/>
    <x v="0"/>
    <x v="27"/>
    <s v="PAC"/>
    <x v="15"/>
    <x v="0"/>
    <n v="5"/>
    <n v="34.769777777777783"/>
    <x v="0"/>
    <n v="35"/>
    <x v="27"/>
  </r>
  <r>
    <x v="1"/>
    <x v="95"/>
    <s v="Segura Ana"/>
    <x v="50"/>
    <x v="95"/>
    <m/>
    <s v="Editorial Comercial - Jujuy"/>
    <x v="0"/>
    <n v="320.26"/>
    <x v="1"/>
    <x v="28"/>
    <s v="OBI"/>
    <x v="11"/>
    <x v="0"/>
    <n v="3"/>
    <n v="2.7657777777777777"/>
    <x v="0"/>
    <n v="3"/>
    <x v="21"/>
  </r>
  <r>
    <x v="1"/>
    <x v="96"/>
    <s v="Tx Producciones S.r.l."/>
    <x v="51"/>
    <x v="96"/>
    <m/>
    <s v="Editorial Comercial - Jujuy"/>
    <x v="2"/>
    <n v="15606.75"/>
    <x v="1"/>
    <x v="29"/>
    <s v="IDC"/>
    <x v="16"/>
    <x v="0"/>
    <n v="5"/>
    <n v="34.769777777777783"/>
    <x v="0"/>
    <n v="35"/>
    <x v="27"/>
  </r>
  <r>
    <x v="1"/>
    <x v="97"/>
    <s v="Arena Argentina Sa"/>
    <x v="52"/>
    <x v="97"/>
    <m/>
    <s v="Editorial Comercial - Jujuy"/>
    <x v="0"/>
    <n v="5427"/>
    <x v="1"/>
    <x v="29"/>
    <s v="IDC"/>
    <x v="17"/>
    <x v="0"/>
    <n v="5"/>
    <n v="34.769777777777783"/>
    <x v="0"/>
    <n v="35"/>
    <x v="27"/>
  </r>
  <r>
    <x v="1"/>
    <x v="98"/>
    <s v="BANCO DE DESARROLLO DE JUJUY SOCIEDAD DEL ESTADO"/>
    <x v="53"/>
    <x v="98"/>
    <m/>
    <s v="Editorial Comercial - Jujuy cm OFICIAL"/>
    <x v="0"/>
    <n v="1825.25"/>
    <x v="1"/>
    <x v="30"/>
    <s v="IAC"/>
    <x v="18"/>
    <x v="1"/>
    <n v="5"/>
    <n v="17.000000000722224"/>
    <x v="1"/>
    <n v="17"/>
    <x v="24"/>
  </r>
  <r>
    <x v="1"/>
    <x v="99"/>
    <s v="Neo Ad - Mcb Soc. Simple De Mariana Borigen Y M. Celeste Borigen"/>
    <x v="54"/>
    <x v="99"/>
    <s v="aviso llega por mail"/>
    <s v="Editorial Comercial - Jujuy"/>
    <x v="0"/>
    <n v="0"/>
    <x v="0"/>
    <x v="30"/>
    <s v="IAC"/>
    <x v="19"/>
    <x v="0"/>
    <n v="5"/>
    <n v="16.989777777777778"/>
    <x v="0"/>
    <n v="17"/>
    <x v="24"/>
  </r>
  <r>
    <x v="1"/>
    <x v="100"/>
    <s v="Banco Macro Sociedad Anónima"/>
    <x v="55"/>
    <x v="100"/>
    <m/>
    <s v="Editorial Comercial - Jujuy"/>
    <x v="0"/>
    <n v="7200"/>
    <x v="1"/>
    <x v="30"/>
    <s v="IAC"/>
    <x v="20"/>
    <x v="0"/>
    <n v="5"/>
    <n v="16.989777777777778"/>
    <x v="0"/>
    <n v="17"/>
    <x v="24"/>
  </r>
  <r>
    <x v="1"/>
    <x v="101"/>
    <s v="Direccion De Prensa Y Medios De Comunicacion"/>
    <x v="53"/>
    <x v="101"/>
    <m/>
    <s v="Editorial Comercial - Jujuy cm OFICIAL"/>
    <x v="0"/>
    <n v="80384.5"/>
    <x v="1"/>
    <x v="30"/>
    <s v="IAC"/>
    <x v="2"/>
    <x v="0"/>
    <n v="5"/>
    <n v="17.000000000722224"/>
    <x v="0"/>
    <n v="17"/>
    <x v="24"/>
  </r>
  <r>
    <x v="1"/>
    <x v="102"/>
    <s v="Be3 Srl"/>
    <x v="56"/>
    <x v="102"/>
    <m/>
    <s v="Editorial Comercial - Jujuy"/>
    <x v="0"/>
    <n v="2203.75"/>
    <x v="0"/>
    <x v="30"/>
    <s v="IAC"/>
    <x v="7"/>
    <x v="0"/>
    <n v="5"/>
    <n v="16.989777777777778"/>
    <x v="0"/>
    <n v="17"/>
    <x v="24"/>
  </r>
  <r>
    <x v="1"/>
    <x v="103"/>
    <s v=" E J E S A (EJESA)"/>
    <x v="57"/>
    <x v="103"/>
    <m/>
    <s v="Editorial Comercial - Jujuy"/>
    <x v="0"/>
    <n v="644.13"/>
    <x v="0"/>
    <x v="30"/>
    <s v="IAC"/>
    <x v="21"/>
    <x v="0"/>
    <n v="1"/>
    <n v="9.8777777777777782"/>
    <x v="0"/>
    <n v="10"/>
    <x v="5"/>
  </r>
  <r>
    <x v="2"/>
    <x v="104"/>
    <s v="Juarez Meneses Dolores"/>
    <x v="3"/>
    <x v="104"/>
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/>
    <s v="Guia Prof 2 Col - Jujuy"/>
    <x v="1"/>
    <n v="27.746555555555556"/>
    <x v="0"/>
    <x v="31"/>
    <m/>
    <x v="1"/>
    <x v="0"/>
    <n v="2"/>
    <n v="3.0000000007500001"/>
    <x v="0"/>
    <n v="3"/>
    <x v="23"/>
  </r>
  <r>
    <x v="2"/>
    <x v="105"/>
    <s v="Romero  Gabriel"/>
    <x v="3"/>
    <x v="105"/>
    <s v="LA FRASE : Nuevo Tratamiento con LASER  para uñas manos y pies. _x000d__x000a_RESALTADA"/>
    <s v="Guia Prof 2 Col - Jujuy"/>
    <x v="1"/>
    <n v="51.824333333333335"/>
    <x v="1"/>
    <x v="32"/>
    <m/>
    <x v="1"/>
    <x v="0"/>
    <n v="2"/>
    <n v="5.0000000012500001"/>
    <x v="0"/>
    <n v="5"/>
    <x v="15"/>
  </r>
  <r>
    <x v="2"/>
    <x v="106"/>
    <s v="Cruz  Walter"/>
    <x v="3"/>
    <x v="106"/>
    <m/>
    <s v="Guia Prof 2 Col - Jujuy"/>
    <x v="1"/>
    <n v="20.729666666666667"/>
    <x v="0"/>
    <x v="33"/>
    <m/>
    <x v="1"/>
    <x v="0"/>
    <n v="2"/>
    <n v="2.0000000005"/>
    <x v="0"/>
    <n v="2"/>
    <x v="28"/>
  </r>
  <r>
    <x v="2"/>
    <x v="107"/>
    <s v="Martinez  Cristina Del Valle"/>
    <x v="3"/>
    <x v="107"/>
    <s v="Mañana de 9.30 a 12.00 hs _x000d__x000a_Tarde de17.30 a 21 hs. OTERO 464 _x000d__x000a_Consultorio 1 (FONDO NEGRO)_x000d__x000a__x000d__x000a_Mañana de 9.30 a 12.00 hs _x000d__x000a_Tarde de17.30 a 21 hs. _x000d__x000a_OTERO 464 - Consultorio 1  (RESPETAR EL DISEÑO UNO ABAJO DEL OTRO)"/>
    <s v="Guia Prof 2 Col - Jujuy"/>
    <x v="1"/>
    <n v="51.824333333333335"/>
    <x v="0"/>
    <x v="34"/>
    <m/>
    <x v="1"/>
    <x v="0"/>
    <n v="2"/>
    <n v="5.0000000012500001"/>
    <x v="0"/>
    <n v="5"/>
    <x v="15"/>
  </r>
  <r>
    <x v="2"/>
    <x v="108"/>
    <s v="Palavecino Rodriguez Jose Miguel"/>
    <x v="3"/>
    <x v="108"/>
    <s v="REPITE ANUNCIO"/>
    <s v="Guia Prof 2 Col - Jujuy"/>
    <x v="1"/>
    <n v="31.094666666666669"/>
    <x v="0"/>
    <x v="35"/>
    <m/>
    <x v="1"/>
    <x v="0"/>
    <n v="2"/>
    <n v="3.0000000007500001"/>
    <x v="0"/>
    <n v="3"/>
    <x v="23"/>
  </r>
  <r>
    <x v="2"/>
    <x v="109"/>
    <s v="Empresa La Piedad S.A."/>
    <x v="58"/>
    <x v="109"/>
    <m/>
    <s v="Guia Prof 2 Col - Jujuy"/>
    <x v="0"/>
    <n v="51.02827586206898"/>
    <x v="0"/>
    <x v="36"/>
    <m/>
    <x v="1"/>
    <x v="0"/>
    <n v="2"/>
    <n v="4.0000000010000001"/>
    <x v="0"/>
    <n v="4"/>
    <x v="29"/>
  </r>
  <r>
    <x v="2"/>
    <x v="110"/>
    <s v="Garcia  Claudia"/>
    <x v="3"/>
    <x v="110"/>
    <s v=" resaltar el nombre mas grande"/>
    <s v="Guia Prof 2 Col - Jujuy"/>
    <x v="1"/>
    <n v="20.729666666666667"/>
    <x v="0"/>
    <x v="37"/>
    <m/>
    <x v="1"/>
    <x v="0"/>
    <n v="2"/>
    <n v="2.0000000005"/>
    <x v="0"/>
    <n v="2"/>
    <x v="28"/>
  </r>
  <r>
    <x v="2"/>
    <x v="111"/>
    <s v="BARAC MARTA GRACIELA"/>
    <x v="59"/>
    <x v="111"/>
    <m/>
    <s v="Guia Prof 2 Col - Jujuy"/>
    <x v="0"/>
    <n v="45.033793103448282"/>
    <x v="0"/>
    <x v="37"/>
    <m/>
    <x v="1"/>
    <x v="0"/>
    <n v="2"/>
    <n v="3.0000000007500001"/>
    <x v="0"/>
    <n v="3"/>
    <x v="23"/>
  </r>
  <r>
    <x v="2"/>
    <x v="112"/>
    <s v="Ruiz  Rene"/>
    <x v="60"/>
    <x v="112"/>
    <s v="repite ultimo aviso"/>
    <s v="Guia Prof 2 Col - Jujuy"/>
    <x v="0"/>
    <n v="30.022413793103446"/>
    <x v="0"/>
    <x v="38"/>
    <m/>
    <x v="1"/>
    <x v="0"/>
    <n v="2"/>
    <n v="2.0000000005"/>
    <x v="0"/>
    <n v="2"/>
    <x v="28"/>
  </r>
  <r>
    <x v="2"/>
    <x v="113"/>
    <s v="Roa Lorena Yesica"/>
    <x v="3"/>
    <x v="113"/>
    <s v="AVISO ARMADO EN CARPEDIA 15 DE NOVIEMBRE ATENCION AL PUBLICO ESTA EN COREL"/>
    <s v="Guia Prof 2 Col - Jujuy"/>
    <x v="1"/>
    <n v="51.824333333333335"/>
    <x v="0"/>
    <x v="39"/>
    <m/>
    <x v="1"/>
    <x v="0"/>
    <n v="2"/>
    <n v="5.0000000012500001"/>
    <x v="0"/>
    <n v="5"/>
    <x v="15"/>
  </r>
  <r>
    <x v="2"/>
    <x v="114"/>
    <s v="Copa Alejandro Daniel"/>
    <x v="3"/>
    <x v="114"/>
    <s v="repite mismo formato del ANUNCIO 1306426, SOLO SE MODIFICA EL TELEFONO"/>
    <s v="Guia Prof 2 Col - Jujuy"/>
    <x v="1"/>
    <n v="36.995444444444438"/>
    <x v="0"/>
    <x v="40"/>
    <m/>
    <x v="1"/>
    <x v="0"/>
    <n v="2"/>
    <n v="4.0000000010000001"/>
    <x v="0"/>
    <n v="4"/>
    <x v="29"/>
  </r>
  <r>
    <x v="2"/>
    <x v="115"/>
    <s v="Rodriguez  Monica"/>
    <x v="3"/>
    <x v="115"/>
    <m/>
    <s v="Guia Prof 2 Col - Jujuy"/>
    <x v="1"/>
    <n v="20.729666666666667"/>
    <x v="0"/>
    <x v="40"/>
    <m/>
    <x v="1"/>
    <x v="0"/>
    <n v="2"/>
    <n v="2.0000000005"/>
    <x v="0"/>
    <n v="2"/>
    <x v="28"/>
  </r>
  <r>
    <x v="2"/>
    <x v="116"/>
    <s v="Lopez Salgado Guillermo"/>
    <x v="3"/>
    <x v="116"/>
    <m/>
    <s v="Guia Prof 2 Col - Jujuy"/>
    <x v="1"/>
    <n v="20.729666666666667"/>
    <x v="0"/>
    <x v="40"/>
    <m/>
    <x v="1"/>
    <x v="0"/>
    <n v="2"/>
    <n v="2.0000000005"/>
    <x v="0"/>
    <n v="2"/>
    <x v="28"/>
  </r>
  <r>
    <x v="3"/>
    <x v="117"/>
    <s v="Werchow Servicios Sociales S.R.L."/>
    <x v="61"/>
    <x v="117"/>
    <m/>
    <s v="Obituario Modulo - Jujuy"/>
    <x v="0"/>
    <n v="391.39100000000002"/>
    <x v="1"/>
    <x v="41"/>
    <s v="Pag 39"/>
    <x v="22"/>
    <x v="0"/>
    <n v="5"/>
    <n v="2.7657777777777777"/>
    <x v="0"/>
    <n v="3"/>
    <x v="22"/>
  </r>
  <r>
    <x v="4"/>
    <x v="118"/>
    <s v="Cine Teatro Alfa S.R.L."/>
    <x v="62"/>
    <x v="118"/>
    <m/>
    <s v="Editorial Comercial - Jujuy"/>
    <x v="2"/>
    <n v="2776.25"/>
    <x v="0"/>
    <x v="23"/>
    <s v="SUDC"/>
    <x v="5"/>
    <x v="0"/>
    <n v="5"/>
    <n v="16.989777777777778"/>
    <x v="0"/>
    <n v="17"/>
    <x v="24"/>
  </r>
  <r>
    <x v="5"/>
    <x v="119"/>
    <s v="Empresa La Piedad S.A."/>
    <x v="63"/>
    <x v="109"/>
    <m/>
    <s v="Editorial Comercial - Jujuy"/>
    <x v="0"/>
    <n v="421.08"/>
    <x v="1"/>
    <x v="24"/>
    <s v="SU"/>
    <x v="4"/>
    <x v="0"/>
    <n v="2"/>
    <n v="9.8777777777777782"/>
    <x v="0"/>
    <n v="10"/>
    <x v="13"/>
  </r>
  <r>
    <x v="5"/>
    <x v="120"/>
    <s v="Balmaceda Guillermo Javier"/>
    <x v="64"/>
    <x v="119"/>
    <m/>
    <s v="Editorial Comercial - Jujuy"/>
    <x v="0"/>
    <n v="1754.5"/>
    <x v="1"/>
    <x v="24"/>
    <s v="SU"/>
    <x v="5"/>
    <x v="0"/>
    <n v="5"/>
    <n v="16.989777777777778"/>
    <x v="0"/>
    <n v="17"/>
    <x v="24"/>
  </r>
  <r>
    <x v="5"/>
    <x v="121"/>
    <s v="Caceres Carlos Roberto"/>
    <x v="65"/>
    <x v="120"/>
    <m/>
    <s v="Editorial Comercial - Jujuy"/>
    <x v="0"/>
    <n v="314.39999999999998"/>
    <x v="1"/>
    <x v="24"/>
    <s v="SU"/>
    <x v="3"/>
    <x v="0"/>
    <n v="2"/>
    <n v="6.3217777777777773"/>
    <x v="0"/>
    <n v="6"/>
    <x v="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0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preserveFormatting="0" rowGrandTotals="0" colGrandTotals="0" createdVersion="4" indent="0" compact="0" compactData="0" multipleFieldFilters="0">
  <location ref="A1:L155" firstHeaderRow="1" firstDataRow="1" firstDataCol="11"/>
  <pivotFields count="19">
    <pivotField axis="axisRow" compact="0" outline="0" showAll="0" insertPageBreak="1" sortType="descending" defaultSubtotal="0">
      <items count="6">
        <item x="5"/>
        <item x="4"/>
        <item x="3"/>
        <item x="2"/>
        <item x="1"/>
        <item x="0"/>
      </items>
    </pivotField>
    <pivotField axis="axisRow" dataField="1" compact="0" outline="0" showAll="0" defaultSubtotal="0">
      <items count="122">
        <item x="2"/>
        <item x="25"/>
        <item x="104"/>
        <item x="105"/>
        <item x="108"/>
        <item x="113"/>
        <item x="114"/>
        <item x="115"/>
        <item x="53"/>
        <item x="46"/>
        <item x="15"/>
        <item x="36"/>
        <item x="60"/>
        <item x="69"/>
        <item x="87"/>
        <item x="88"/>
        <item x="89"/>
        <item x="98"/>
        <item x="117"/>
        <item x="44"/>
        <item x="50"/>
        <item x="51"/>
        <item x="52"/>
        <item x="54"/>
        <item x="55"/>
        <item x="86"/>
        <item x="111"/>
        <item x="112"/>
        <item x="6"/>
        <item x="110"/>
        <item x="7"/>
        <item x="34"/>
        <item x="56"/>
        <item x="57"/>
        <item x="116"/>
        <item x="26"/>
        <item x="70"/>
        <item x="109"/>
        <item x="29"/>
        <item x="66"/>
        <item x="71"/>
        <item x="4"/>
        <item x="0"/>
        <item x="1"/>
        <item x="3"/>
        <item x="8"/>
        <item x="12"/>
        <item x="17"/>
        <item x="27"/>
        <item x="30"/>
        <item x="31"/>
        <item x="37"/>
        <item x="38"/>
        <item x="43"/>
        <item x="72"/>
        <item x="73"/>
        <item x="74"/>
        <item x="77"/>
        <item x="99"/>
        <item x="5"/>
        <item x="11"/>
        <item x="18"/>
        <item x="19"/>
        <item x="20"/>
        <item x="23"/>
        <item x="32"/>
        <item x="33"/>
        <item x="39"/>
        <item x="40"/>
        <item x="49"/>
        <item x="58"/>
        <item x="59"/>
        <item x="67"/>
        <item x="75"/>
        <item x="82"/>
        <item x="92"/>
        <item x="94"/>
        <item x="101"/>
        <item x="106"/>
        <item x="107"/>
        <item x="118"/>
        <item x="9"/>
        <item x="10"/>
        <item x="13"/>
        <item x="14"/>
        <item x="16"/>
        <item x="21"/>
        <item x="22"/>
        <item x="24"/>
        <item x="28"/>
        <item x="35"/>
        <item x="41"/>
        <item x="42"/>
        <item x="45"/>
        <item x="47"/>
        <item x="48"/>
        <item x="61"/>
        <item x="62"/>
        <item x="63"/>
        <item x="64"/>
        <item x="65"/>
        <item x="68"/>
        <item x="76"/>
        <item x="78"/>
        <item x="79"/>
        <item x="80"/>
        <item x="81"/>
        <item x="83"/>
        <item x="84"/>
        <item x="85"/>
        <item x="90"/>
        <item x="91"/>
        <item x="93"/>
        <item x="95"/>
        <item x="96"/>
        <item x="97"/>
        <item x="100"/>
        <item x="102"/>
        <item x="103"/>
        <item x="119"/>
        <item x="120"/>
        <item x="1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66">
        <item n=" " x="3"/>
        <item x="2"/>
        <item x="53"/>
        <item x="62"/>
        <item x="25"/>
        <item x="0"/>
        <item x="1"/>
        <item x="19"/>
        <item x="33"/>
        <item x="42"/>
        <item x="43"/>
        <item x="44"/>
        <item x="47"/>
        <item x="58"/>
        <item x="61"/>
        <item x="14"/>
        <item x="24"/>
        <item x="26"/>
        <item x="27"/>
        <item x="28"/>
        <item x="29"/>
        <item x="30"/>
        <item x="34"/>
        <item x="41"/>
        <item x="59"/>
        <item x="60"/>
        <item x="4"/>
        <item x="8"/>
        <item x="54"/>
        <item x="5"/>
        <item x="15"/>
        <item x="17"/>
        <item x="39"/>
        <item x="18"/>
        <item x="20"/>
        <item x="23"/>
        <item x="51"/>
        <item x="6"/>
        <item x="7"/>
        <item x="12"/>
        <item x="16"/>
        <item x="21"/>
        <item x="22"/>
        <item x="32"/>
        <item x="38"/>
        <item x="49"/>
        <item x="46"/>
        <item x="9"/>
        <item x="10"/>
        <item x="11"/>
        <item x="13"/>
        <item x="31"/>
        <item x="35"/>
        <item x="36"/>
        <item x="37"/>
        <item x="40"/>
        <item x="45"/>
        <item x="48"/>
        <item x="50"/>
        <item x="52"/>
        <item x="55"/>
        <item x="56"/>
        <item x="57"/>
        <item x="63"/>
        <item x="64"/>
        <item x="6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1">
        <item x="1"/>
        <item x="44"/>
        <item x="109"/>
        <item x="88"/>
        <item x="111"/>
        <item x="50"/>
        <item x="52"/>
        <item x="70"/>
        <item x="26"/>
        <item x="89"/>
        <item x="46"/>
        <item x="6"/>
        <item x="55"/>
        <item x="87"/>
        <item x="98"/>
        <item x="117"/>
        <item x="118"/>
        <item x="2"/>
        <item x="54"/>
        <item x="108"/>
        <item x="7"/>
        <item x="59"/>
        <item x="112"/>
        <item x="36"/>
        <item x="24"/>
        <item x="53"/>
        <item x="105"/>
        <item x="0"/>
        <item x="14"/>
        <item x="23"/>
        <item x="25"/>
        <item x="51"/>
        <item x="69"/>
        <item x="104"/>
        <item x="113"/>
        <item x="114"/>
        <item x="115"/>
        <item x="15"/>
        <item x="60"/>
        <item x="92"/>
        <item x="66"/>
        <item x="86"/>
        <item x="110"/>
        <item x="12"/>
        <item x="99"/>
        <item x="27"/>
        <item x="34"/>
        <item x="56"/>
        <item x="57"/>
        <item x="116"/>
        <item x="29"/>
        <item x="71"/>
        <item x="4"/>
        <item x="35"/>
        <item x="83"/>
        <item x="3"/>
        <item x="8"/>
        <item x="17"/>
        <item x="30"/>
        <item x="31"/>
        <item x="37"/>
        <item x="38"/>
        <item x="43"/>
        <item x="72"/>
        <item x="73"/>
        <item x="74"/>
        <item x="77"/>
        <item x="96"/>
        <item x="5"/>
        <item x="10"/>
        <item x="11"/>
        <item x="18"/>
        <item x="19"/>
        <item x="20"/>
        <item x="28"/>
        <item x="32"/>
        <item x="33"/>
        <item x="39"/>
        <item x="40"/>
        <item x="49"/>
        <item x="58"/>
        <item x="67"/>
        <item x="75"/>
        <item x="82"/>
        <item x="94"/>
        <item x="97"/>
        <item x="101"/>
        <item x="106"/>
        <item x="107"/>
        <item x="90"/>
        <item x="84"/>
        <item x="9"/>
        <item x="13"/>
        <item x="16"/>
        <item x="21"/>
        <item x="22"/>
        <item x="41"/>
        <item x="42"/>
        <item x="45"/>
        <item x="47"/>
        <item x="48"/>
        <item x="61"/>
        <item x="62"/>
        <item x="63"/>
        <item x="64"/>
        <item x="65"/>
        <item x="68"/>
        <item x="76"/>
        <item x="78"/>
        <item x="79"/>
        <item x="80"/>
        <item x="81"/>
        <item x="85"/>
        <item x="91"/>
        <item x="93"/>
        <item x="95"/>
        <item x="100"/>
        <item x="102"/>
        <item x="103"/>
        <item x="119"/>
        <item x="1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Tipo" compact="0" outline="0" showAll="0" insertBlankRow="1" sortType="ascending" defaultSubtotal="0"/>
    <pivotField name="Modalidad" axis="axisRow" compact="0" outline="0" showAll="0" nonAutoSortDefault="1" defaultSubtotal="0">
      <items count="3">
        <item x="1"/>
        <item n=" "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2">
        <item n="B&amp;N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42">
        <item x="30"/>
        <item x="21"/>
        <item x="18"/>
        <item x="17"/>
        <item x="16"/>
        <item x="40"/>
        <item x="37"/>
        <item x="36"/>
        <item x="13"/>
        <item x="12"/>
        <item x="10"/>
        <item x="9"/>
        <item x="8"/>
        <item x="7"/>
        <item x="4"/>
        <item x="2"/>
        <item x="41"/>
        <item x="1"/>
        <item x="0"/>
        <item x="27"/>
        <item x="25"/>
        <item x="24"/>
        <item x="23"/>
        <item x="35"/>
        <item x="38"/>
        <item x="22"/>
        <item x="31"/>
        <item x="20"/>
        <item x="32"/>
        <item x="39"/>
        <item x="3"/>
        <item x="19"/>
        <item x="11"/>
        <item x="29"/>
        <item x="5"/>
        <item x="6"/>
        <item x="15"/>
        <item x="26"/>
        <item x="33"/>
        <item x="34"/>
        <item x="14"/>
        <item x="28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24">
        <item x="1"/>
        <item x="0"/>
        <item x="4"/>
        <item x="3"/>
        <item x="5"/>
        <item x="2"/>
        <item x="7"/>
        <item x="6"/>
        <item x="21"/>
        <item x="15"/>
        <item x="20"/>
        <item x="14"/>
        <item x="10"/>
        <item x="19"/>
        <item x="13"/>
        <item x="17"/>
        <item x="16"/>
        <item x="8"/>
        <item x="12"/>
        <item x="9"/>
        <item x="22"/>
        <item x="18"/>
        <item x="11"/>
        <item t="default"/>
      </items>
    </pivotField>
    <pivotField name="Imagen" axis="axisRow" compact="0" outline="0" showAll="0" defaultSubtotal="0">
      <items count="2">
        <item n=" 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defaultSubtotal="0">
      <items count="30">
        <item x="3"/>
        <item x="4"/>
        <item x="9"/>
        <item x="0"/>
        <item x="1"/>
        <item x="7"/>
        <item x="12"/>
        <item x="5"/>
        <item x="6"/>
        <item x="10"/>
        <item x="28"/>
        <item x="23"/>
        <item x="29"/>
        <item x="21"/>
        <item x="18"/>
        <item x="26"/>
        <item x="22"/>
        <item x="24"/>
        <item x="11"/>
        <item x="15"/>
        <item x="13"/>
        <item x="2"/>
        <item x="19"/>
        <item x="27"/>
        <item x="25"/>
        <item x="8"/>
        <item x="20"/>
        <item x="14"/>
        <item x="16"/>
        <item x="17"/>
      </items>
    </pivotField>
  </pivotFields>
  <rowFields count="11">
    <field x="0"/>
    <field x="12"/>
    <field x="10"/>
    <field x="4"/>
    <field x="13"/>
    <field x="16"/>
    <field x="18"/>
    <field x="9"/>
    <field x="7"/>
    <field x="3"/>
    <field x="1"/>
  </rowFields>
  <rowItems count="154">
    <i>
      <x/>
      <x v="2"/>
      <x v="21"/>
      <x v="2"/>
      <x/>
      <x/>
      <x v="20"/>
      <x v="1"/>
      <x v="1"/>
      <x v="63"/>
      <x v="119"/>
    </i>
    <i t="default" r="1">
      <x v="2"/>
    </i>
    <i r="1">
      <x v="3"/>
      <x v="21"/>
      <x v="120"/>
      <x/>
      <x/>
      <x v="24"/>
      <x v="1"/>
      <x v="1"/>
      <x v="65"/>
      <x v="121"/>
    </i>
    <i t="default" r="1">
      <x v="3"/>
    </i>
    <i r="1">
      <x v="4"/>
      <x v="21"/>
      <x v="119"/>
      <x/>
      <x/>
      <x v="17"/>
      <x v="1"/>
      <x v="1"/>
      <x v="64"/>
      <x v="120"/>
    </i>
    <i t="default" r="1">
      <x v="4"/>
    </i>
    <i>
      <x v="1"/>
      <x v="4"/>
      <x v="22"/>
      <x v="16"/>
      <x/>
      <x/>
      <x v="17"/>
      <x/>
      <x v="2"/>
      <x v="3"/>
      <x v="80"/>
    </i>
    <i t="default" r="1">
      <x v="4"/>
    </i>
    <i>
      <x v="2"/>
      <x v="20"/>
      <x v="16"/>
      <x v="15"/>
      <x/>
      <x/>
      <x v="16"/>
      <x v="1"/>
      <x v="1"/>
      <x v="14"/>
      <x v="18"/>
    </i>
    <i t="default" r="1">
      <x v="20"/>
    </i>
    <i>
      <x v="3"/>
      <x/>
      <x v="5"/>
      <x v="35"/>
      <x/>
      <x/>
      <x v="12"/>
      <x/>
      <x/>
      <x/>
      <x v="6"/>
    </i>
    <i r="3">
      <x v="36"/>
      <x/>
      <x/>
      <x v="10"/>
      <x/>
      <x/>
      <x/>
      <x v="7"/>
    </i>
    <i r="3">
      <x v="49"/>
      <x/>
      <x/>
      <x v="10"/>
      <x/>
      <x/>
      <x/>
      <x v="34"/>
    </i>
    <i r="2">
      <x v="6"/>
      <x v="4"/>
      <x/>
      <x/>
      <x v="11"/>
      <x/>
      <x v="1"/>
      <x v="24"/>
      <x v="26"/>
    </i>
    <i r="3">
      <x v="42"/>
      <x/>
      <x/>
      <x v="10"/>
      <x/>
      <x/>
      <x/>
      <x v="29"/>
    </i>
    <i r="2">
      <x v="7"/>
      <x v="2"/>
      <x/>
      <x/>
      <x v="12"/>
      <x/>
      <x v="1"/>
      <x v="13"/>
      <x v="37"/>
    </i>
    <i r="2">
      <x v="23"/>
      <x v="19"/>
      <x/>
      <x/>
      <x v="11"/>
      <x/>
      <x/>
      <x/>
      <x v="4"/>
    </i>
    <i r="2">
      <x v="24"/>
      <x v="22"/>
      <x/>
      <x/>
      <x v="10"/>
      <x/>
      <x v="1"/>
      <x v="25"/>
      <x v="27"/>
    </i>
    <i r="2">
      <x v="26"/>
      <x v="33"/>
      <x/>
      <x/>
      <x v="11"/>
      <x/>
      <x/>
      <x/>
      <x v="2"/>
    </i>
    <i r="2">
      <x v="28"/>
      <x v="26"/>
      <x/>
      <x/>
      <x v="19"/>
      <x v="1"/>
      <x/>
      <x/>
      <x v="3"/>
    </i>
    <i r="2">
      <x v="29"/>
      <x v="34"/>
      <x/>
      <x/>
      <x v="19"/>
      <x/>
      <x/>
      <x/>
      <x v="5"/>
    </i>
    <i r="2">
      <x v="38"/>
      <x v="87"/>
      <x/>
      <x/>
      <x v="10"/>
      <x/>
      <x/>
      <x/>
      <x v="78"/>
    </i>
    <i r="2">
      <x v="39"/>
      <x v="88"/>
      <x/>
      <x/>
      <x v="19"/>
      <x/>
      <x/>
      <x/>
      <x v="79"/>
    </i>
    <i t="default" r="1">
      <x/>
    </i>
    <i>
      <x v="4"/>
      <x/>
      <x v="20"/>
      <x v="3"/>
      <x/>
      <x/>
      <x v="11"/>
      <x v="1"/>
      <x v="1"/>
      <x v="10"/>
      <x v="15"/>
    </i>
    <i r="3">
      <x v="9"/>
      <x/>
      <x/>
      <x v="11"/>
      <x v="1"/>
      <x v="1"/>
      <x v="11"/>
      <x v="16"/>
    </i>
    <i t="default" r="1">
      <x/>
    </i>
    <i r="1">
      <x v="5"/>
      <x/>
      <x v="86"/>
      <x/>
      <x/>
      <x v="17"/>
      <x v="1"/>
      <x v="1"/>
      <x v="2"/>
      <x v="77"/>
    </i>
    <i t="default" r="1">
      <x v="5"/>
    </i>
    <i r="1">
      <x v="6"/>
      <x/>
      <x v="117"/>
      <x/>
      <x/>
      <x v="17"/>
      <x/>
      <x v="1"/>
      <x v="61"/>
      <x v="117"/>
    </i>
    <i t="default" r="1">
      <x v="6"/>
    </i>
    <i r="1">
      <x v="7"/>
      <x v="19"/>
      <x v="39"/>
      <x/>
      <x/>
      <x v="15"/>
      <x v="1"/>
      <x v="1"/>
      <x v="12"/>
      <x v="75"/>
    </i>
    <i t="default" r="1">
      <x v="7"/>
    </i>
    <i r="1">
      <x v="8"/>
      <x/>
      <x v="118"/>
      <x/>
      <x/>
      <x v="7"/>
      <x/>
      <x v="1"/>
      <x v="62"/>
      <x v="118"/>
    </i>
    <i t="default" r="1">
      <x v="8"/>
    </i>
    <i r="1">
      <x v="9"/>
      <x v="19"/>
      <x v="84"/>
      <x/>
      <x/>
      <x v="23"/>
      <x/>
      <x v="1"/>
      <x v="45"/>
      <x v="76"/>
    </i>
    <i t="default" r="1">
      <x v="9"/>
    </i>
    <i r="1">
      <x v="10"/>
      <x/>
      <x v="116"/>
      <x/>
      <x/>
      <x v="17"/>
      <x v="1"/>
      <x v="1"/>
      <x v="60"/>
      <x v="116"/>
    </i>
    <i t="default" r="1">
      <x v="10"/>
    </i>
    <i r="1">
      <x v="11"/>
      <x v="19"/>
      <x v="114"/>
      <x/>
      <x/>
      <x v="14"/>
      <x v="1"/>
      <x v="1"/>
      <x v="57"/>
      <x v="112"/>
    </i>
    <i t="default" r="1">
      <x v="11"/>
    </i>
    <i r="1">
      <x v="12"/>
      <x v="22"/>
      <x v="112"/>
      <x/>
      <x v="1"/>
      <x v="26"/>
      <x v="1"/>
      <x v="1"/>
      <x v="55"/>
      <x v="109"/>
    </i>
    <i t="default" r="1">
      <x v="12"/>
    </i>
    <i r="1">
      <x v="13"/>
      <x/>
      <x v="44"/>
      <x/>
      <x/>
      <x v="17"/>
      <x/>
      <x v="1"/>
      <x v="28"/>
      <x v="58"/>
    </i>
    <i t="default" r="1">
      <x v="13"/>
    </i>
    <i r="1">
      <x v="14"/>
      <x v="19"/>
      <x v="113"/>
      <x/>
      <x/>
      <x v="24"/>
      <x/>
      <x v="1"/>
      <x v="46"/>
      <x v="111"/>
    </i>
    <i t="default" r="1">
      <x v="14"/>
    </i>
    <i r="1">
      <x v="15"/>
      <x v="33"/>
      <x v="85"/>
      <x/>
      <x/>
      <x v="23"/>
      <x v="1"/>
      <x v="1"/>
      <x v="59"/>
      <x v="115"/>
    </i>
    <i t="default" r="1">
      <x v="15"/>
    </i>
    <i r="1">
      <x v="16"/>
      <x v="33"/>
      <x v="67"/>
      <x/>
      <x/>
      <x v="23"/>
      <x v="1"/>
      <x v="2"/>
      <x v="36"/>
      <x v="114"/>
    </i>
    <i t="default" r="1">
      <x v="16"/>
    </i>
    <i r="1">
      <x v="17"/>
      <x v="22"/>
      <x v="83"/>
      <x/>
      <x/>
      <x v="14"/>
      <x v="1"/>
      <x v="2"/>
      <x v="44"/>
      <x v="74"/>
    </i>
    <i r="3">
      <x v="90"/>
      <x/>
      <x/>
      <x v="26"/>
      <x v="1"/>
      <x/>
      <x/>
      <x v="108"/>
    </i>
    <i r="3">
      <x v="111"/>
      <x/>
      <x/>
      <x v="20"/>
      <x v="1"/>
      <x v="1"/>
      <x v="54"/>
      <x v="106"/>
    </i>
    <i t="default" r="1">
      <x v="17"/>
    </i>
    <i r="1">
      <x v="18"/>
      <x v="37"/>
      <x v="89"/>
      <x/>
      <x/>
      <x v="17"/>
      <x v="1"/>
      <x v="1"/>
      <x v="56"/>
      <x v="110"/>
    </i>
    <i t="default" r="1">
      <x v="18"/>
    </i>
    <i r="1">
      <x v="19"/>
      <x v="22"/>
      <x v="54"/>
      <x/>
      <x/>
      <x v="22"/>
      <x v="1"/>
      <x v="2"/>
      <x v="32"/>
      <x v="107"/>
    </i>
    <i t="default" r="1">
      <x v="19"/>
    </i>
    <i r="1">
      <x v="21"/>
      <x/>
      <x v="14"/>
      <x v="1"/>
      <x v="1"/>
      <x v="17"/>
      <x v="1"/>
      <x v="1"/>
      <x v="2"/>
      <x v="17"/>
    </i>
    <i t="default" r="1">
      <x v="21"/>
    </i>
    <i r="1">
      <x v="22"/>
      <x v="20"/>
      <x v="13"/>
      <x/>
      <x/>
      <x v="16"/>
      <x v="1"/>
      <x v="1"/>
      <x v="9"/>
      <x v="14"/>
    </i>
    <i r="2">
      <x v="21"/>
      <x v="41"/>
      <x/>
      <x/>
      <x v="13"/>
      <x v="1"/>
      <x v="1"/>
      <x v="23"/>
      <x v="25"/>
    </i>
    <i r="2">
      <x v="41"/>
      <x v="115"/>
      <x/>
      <x/>
      <x v="13"/>
      <x v="1"/>
      <x v="1"/>
      <x v="58"/>
      <x v="113"/>
    </i>
    <i t="default" r="1">
      <x v="22"/>
    </i>
    <i>
      <x v="5"/>
      <x/>
      <x v="3"/>
      <x v="12"/>
      <x/>
      <x/>
      <x v="9"/>
      <x/>
      <x v="1"/>
      <x v="21"/>
      <x v="24"/>
    </i>
    <i r="3">
      <x v="18"/>
      <x/>
      <x/>
      <x v="7"/>
      <x/>
      <x v="1"/>
      <x v="20"/>
      <x v="23"/>
    </i>
    <i r="3">
      <x v="25"/>
      <x/>
      <x/>
      <x v="5"/>
      <x/>
      <x/>
      <x/>
      <x v="8"/>
    </i>
    <i r="3">
      <x v="47"/>
      <x/>
      <x/>
      <x/>
      <x/>
      <x/>
      <x/>
      <x v="32"/>
    </i>
    <i r="3">
      <x v="80"/>
      <x/>
      <x/>
      <x v="1"/>
      <x/>
      <x/>
      <x/>
      <x v="70"/>
    </i>
    <i r="2">
      <x v="15"/>
      <x v="17"/>
      <x/>
      <x/>
      <x v="4"/>
      <x/>
      <x v="1"/>
      <x v="1"/>
      <x/>
    </i>
    <i r="3">
      <x v="55"/>
      <x/>
      <x/>
      <x v="21"/>
      <x/>
      <x/>
      <x/>
      <x v="44"/>
    </i>
    <i r="2">
      <x v="25"/>
      <x v="66"/>
      <x/>
      <x/>
      <x v="19"/>
      <x/>
      <x/>
      <x/>
      <x v="57"/>
    </i>
    <i r="3">
      <x v="110"/>
      <x/>
      <x/>
      <x v="20"/>
      <x/>
      <x v="1"/>
      <x v="53"/>
      <x v="105"/>
    </i>
    <i r="2">
      <x v="32"/>
      <x v="62"/>
      <x/>
      <x/>
      <x v="2"/>
      <x/>
      <x v="1"/>
      <x v="35"/>
      <x v="53"/>
    </i>
    <i t="default" r="1">
      <x/>
    </i>
    <i r="1">
      <x v="1"/>
      <x v="2"/>
      <x v="38"/>
      <x/>
      <x/>
      <x/>
      <x v="1"/>
      <x/>
      <x/>
      <x v="12"/>
    </i>
    <i r="3">
      <x v="101"/>
      <x/>
      <x/>
      <x/>
      <x/>
      <x v="1"/>
      <x v="51"/>
      <x v="96"/>
    </i>
    <i r="2">
      <x v="12"/>
      <x v="29"/>
      <x/>
      <x/>
      <x v="9"/>
      <x/>
      <x v="1"/>
      <x v="39"/>
      <x v="64"/>
    </i>
    <i r="3">
      <x v="30"/>
      <x/>
      <x/>
      <x/>
      <x/>
      <x/>
      <x/>
      <x v="1"/>
    </i>
    <i r="3">
      <x v="58"/>
      <x/>
      <x/>
      <x/>
      <x/>
      <x/>
      <x/>
      <x v="49"/>
    </i>
    <i r="3">
      <x v="59"/>
      <x/>
      <x/>
      <x v="1"/>
      <x/>
      <x/>
      <x/>
      <x v="50"/>
    </i>
    <i r="3">
      <x v="75"/>
      <x/>
      <x/>
      <x v="1"/>
      <x/>
      <x/>
      <x/>
      <x v="65"/>
    </i>
    <i r="3">
      <x v="76"/>
      <x/>
      <x/>
      <x/>
      <x/>
      <x/>
      <x/>
      <x v="66"/>
    </i>
    <i r="2">
      <x v="17"/>
      <x/>
      <x/>
      <x/>
      <x v="3"/>
      <x/>
      <x v="1"/>
      <x v="6"/>
      <x v="43"/>
    </i>
    <i r="2">
      <x v="18"/>
      <x v="27"/>
      <x/>
      <x/>
      <x v="3"/>
      <x/>
      <x v="1"/>
      <x v="5"/>
      <x v="42"/>
    </i>
    <i t="default" r="1">
      <x v="1"/>
    </i>
    <i r="1">
      <x v="2"/>
      <x v="1"/>
      <x v="7"/>
      <x/>
      <x/>
      <x v="9"/>
      <x/>
      <x v="1"/>
      <x v="22"/>
      <x v="36"/>
    </i>
    <i r="3">
      <x v="32"/>
      <x/>
      <x/>
      <x v="3"/>
      <x/>
      <x v="1"/>
      <x v="8"/>
      <x v="13"/>
    </i>
    <i r="3">
      <x v="51"/>
      <x/>
      <x/>
      <x v="1"/>
      <x/>
      <x/>
      <x/>
      <x v="40"/>
    </i>
    <i r="3">
      <x v="63"/>
      <x/>
      <x/>
      <x/>
      <x/>
      <x/>
      <x/>
      <x v="54"/>
    </i>
    <i r="3">
      <x v="64"/>
      <x/>
      <x/>
      <x v="1"/>
      <x/>
      <x/>
      <x/>
      <x v="55"/>
    </i>
    <i r="3">
      <x v="65"/>
      <x/>
      <x/>
      <x v="3"/>
      <x/>
      <x/>
      <x/>
      <x v="56"/>
    </i>
    <i r="3">
      <x v="82"/>
      <x/>
      <x/>
      <x v="4"/>
      <x/>
      <x/>
      <x/>
      <x v="73"/>
    </i>
    <i r="2">
      <x v="12"/>
      <x v="8"/>
      <x/>
      <x/>
      <x v="9"/>
      <x/>
      <x v="1"/>
      <x v="15"/>
      <x v="35"/>
    </i>
    <i r="3">
      <x v="24"/>
      <x/>
      <x/>
      <x v="18"/>
      <x/>
      <x v="1"/>
      <x v="50"/>
      <x v="88"/>
    </i>
    <i r="3">
      <x v="45"/>
      <x/>
      <x/>
      <x v="21"/>
      <x/>
      <x v="1"/>
      <x v="30"/>
      <x v="48"/>
    </i>
    <i r="3">
      <x v="50"/>
      <x/>
      <x/>
      <x v="8"/>
      <x/>
      <x/>
      <x/>
      <x v="38"/>
    </i>
    <i r="3">
      <x v="74"/>
      <x/>
      <x/>
      <x v="9"/>
      <x/>
      <x v="2"/>
      <x v="40"/>
      <x v="89"/>
    </i>
    <i t="default" r="1">
      <x v="2"/>
    </i>
    <i r="1">
      <x v="3"/>
      <x v="4"/>
      <x v="5"/>
      <x/>
      <x/>
      <x v="3"/>
      <x/>
      <x v="1"/>
      <x v="17"/>
      <x v="20"/>
    </i>
    <i r="3">
      <x v="6"/>
      <x/>
      <x/>
      <x v="3"/>
      <x/>
      <x v="1"/>
      <x v="19"/>
      <x v="22"/>
    </i>
    <i r="3">
      <x v="31"/>
      <x/>
      <x/>
      <x v="3"/>
      <x/>
      <x v="1"/>
      <x v="18"/>
      <x v="21"/>
    </i>
    <i r="2">
      <x v="13"/>
      <x v="28"/>
      <x/>
      <x/>
      <x v="5"/>
      <x/>
      <x v="1"/>
      <x v="48"/>
      <x v="84"/>
    </i>
    <i r="3">
      <x v="37"/>
      <x/>
      <x/>
      <x/>
      <x/>
      <x/>
      <x/>
      <x v="10"/>
    </i>
    <i r="3">
      <x v="43"/>
      <x/>
      <x/>
      <x v="4"/>
      <x/>
      <x v="1"/>
      <x v="27"/>
      <x v="46"/>
    </i>
    <i r="3">
      <x v="57"/>
      <x/>
      <x/>
      <x v="2"/>
      <x/>
      <x/>
      <x/>
      <x v="47"/>
    </i>
    <i r="3">
      <x v="71"/>
      <x/>
      <x/>
      <x v="3"/>
      <x/>
      <x/>
      <x/>
      <x v="61"/>
    </i>
    <i r="3">
      <x v="72"/>
      <x/>
      <x/>
      <x v="1"/>
      <x/>
      <x/>
      <x/>
      <x v="62"/>
    </i>
    <i r="3">
      <x v="73"/>
      <x/>
      <x/>
      <x v="3"/>
      <x/>
      <x/>
      <x/>
      <x v="63"/>
    </i>
    <i r="3">
      <x v="92"/>
      <x/>
      <x/>
      <x v="4"/>
      <x/>
      <x v="1"/>
      <x v="47"/>
      <x v="83"/>
    </i>
    <i r="3">
      <x v="93"/>
      <x/>
      <x/>
      <x v="25"/>
      <x/>
      <x v="1"/>
      <x v="49"/>
      <x v="85"/>
    </i>
    <i r="3">
      <x v="94"/>
      <x/>
      <x/>
      <x v="2"/>
      <x/>
      <x/>
      <x/>
      <x v="86"/>
    </i>
    <i r="3">
      <x v="95"/>
      <x/>
      <x/>
      <x v="2"/>
      <x/>
      <x/>
      <x/>
      <x v="87"/>
    </i>
    <i r="2">
      <x v="27"/>
      <x v="40"/>
      <x/>
      <x/>
      <x v="3"/>
      <x/>
      <x/>
      <x/>
      <x v="39"/>
    </i>
    <i r="3">
      <x v="81"/>
      <x/>
      <x/>
      <x v="1"/>
      <x/>
      <x v="1"/>
      <x v="43"/>
      <x v="72"/>
    </i>
    <i r="3">
      <x v="105"/>
      <x/>
      <x/>
      <x v="1"/>
      <x/>
      <x/>
      <x/>
      <x v="100"/>
    </i>
    <i r="3">
      <x v="106"/>
      <x/>
      <x/>
      <x v="2"/>
      <x/>
      <x/>
      <x/>
      <x v="101"/>
    </i>
    <i r="2">
      <x v="34"/>
      <x v="69"/>
      <x/>
      <x/>
      <x v="8"/>
      <x/>
      <x v="2"/>
      <x v="37"/>
      <x v="82"/>
    </i>
    <i r="2">
      <x v="35"/>
      <x v="70"/>
      <x/>
      <x/>
      <x v="3"/>
      <x/>
      <x v="1"/>
      <x v="38"/>
      <x v="60"/>
    </i>
    <i t="default" r="1">
      <x v="3"/>
    </i>
    <i r="1">
      <x v="4"/>
      <x v="8"/>
      <x v="10"/>
      <x/>
      <x/>
      <x v="6"/>
      <x/>
      <x v="1"/>
      <x v="4"/>
      <x v="9"/>
    </i>
    <i r="2">
      <x v="10"/>
      <x v="60"/>
      <x/>
      <x/>
      <x v="3"/>
      <x/>
      <x/>
      <x/>
      <x v="51"/>
    </i>
    <i r="3">
      <x v="61"/>
      <x/>
      <x/>
      <x v="1"/>
      <x/>
      <x v="1"/>
      <x v="34"/>
      <x v="52"/>
    </i>
    <i r="3">
      <x v="77"/>
      <x/>
      <x/>
      <x v="1"/>
      <x/>
      <x v="1"/>
      <x v="41"/>
      <x v="67"/>
    </i>
    <i r="3">
      <x v="78"/>
      <x/>
      <x/>
      <x v="3"/>
      <x/>
      <x v="1"/>
      <x v="42"/>
      <x v="68"/>
    </i>
    <i r="3">
      <x v="96"/>
      <x/>
      <x/>
      <x v="2"/>
      <x/>
      <x/>
      <x/>
      <x v="91"/>
    </i>
    <i r="3">
      <x v="97"/>
      <x/>
      <x/>
      <x v="2"/>
      <x/>
      <x/>
      <x/>
      <x v="92"/>
    </i>
    <i r="2">
      <x v="11"/>
      <x v="23"/>
      <x/>
      <x/>
      <x v="8"/>
      <x/>
      <x v="1"/>
      <x v="7"/>
      <x v="11"/>
    </i>
    <i r="3">
      <x v="46"/>
      <x/>
      <x/>
      <x v="7"/>
      <x/>
      <x v="1"/>
      <x v="31"/>
      <x v="31"/>
    </i>
    <i r="3">
      <x v="53"/>
      <x/>
      <x/>
      <x v="9"/>
      <x/>
      <x v="1"/>
      <x v="33"/>
      <x v="90"/>
    </i>
    <i r="2">
      <x v="40"/>
      <x v="99"/>
      <x/>
      <x/>
      <x v="7"/>
      <x/>
      <x/>
      <x/>
      <x v="94"/>
    </i>
    <i r="3">
      <x v="100"/>
      <x/>
      <x/>
      <x/>
      <x/>
      <x/>
      <x/>
      <x v="95"/>
    </i>
    <i t="default" r="1">
      <x v="4"/>
    </i>
    <i r="1">
      <x v="5"/>
      <x v="3"/>
      <x v="21"/>
      <x/>
      <x/>
      <x v="9"/>
      <x/>
      <x/>
      <x/>
      <x v="71"/>
    </i>
    <i r="3">
      <x v="48"/>
      <x/>
      <x/>
      <x v="4"/>
      <x/>
      <x/>
      <x/>
      <x v="33"/>
    </i>
    <i r="2">
      <x v="9"/>
      <x v="1"/>
      <x/>
      <x/>
      <x v="5"/>
      <x/>
      <x v="1"/>
      <x v="16"/>
      <x v="19"/>
    </i>
    <i r="3">
      <x v="98"/>
      <x/>
      <x/>
      <x v="3"/>
      <x/>
      <x/>
      <x/>
      <x v="93"/>
    </i>
    <i r="2">
      <x v="14"/>
      <x v="11"/>
      <x/>
      <x/>
      <x v="4"/>
      <x v="1"/>
      <x v="1"/>
      <x v="26"/>
      <x v="28"/>
    </i>
    <i r="3">
      <x v="20"/>
      <x/>
      <x/>
      <x v="4"/>
      <x/>
      <x v="1"/>
      <x v="29"/>
      <x v="30"/>
    </i>
    <i r="3">
      <x v="56"/>
      <x/>
      <x/>
      <x v="7"/>
      <x/>
      <x/>
      <x/>
      <x v="45"/>
    </i>
    <i r="3">
      <x v="91"/>
      <x/>
      <x/>
      <x/>
      <x/>
      <x/>
      <x/>
      <x v="81"/>
    </i>
    <i r="2">
      <x v="30"/>
      <x v="52"/>
      <x/>
      <x/>
      <x/>
      <x/>
      <x/>
      <x/>
      <x v="41"/>
    </i>
    <i r="3">
      <x v="68"/>
      <x/>
      <x/>
      <x v="1"/>
      <x/>
      <x/>
      <x/>
      <x v="59"/>
    </i>
    <i r="2">
      <x v="36"/>
      <x v="79"/>
      <x/>
      <x/>
      <x/>
      <x/>
      <x/>
      <x/>
      <x v="69"/>
    </i>
    <i t="default" r="1">
      <x v="5"/>
    </i>
    <i r="1">
      <x v="6"/>
      <x v="25"/>
      <x v="107"/>
      <x/>
      <x/>
      <x v="27"/>
      <x/>
      <x/>
      <x/>
      <x v="102"/>
    </i>
    <i r="3">
      <x v="108"/>
      <x/>
      <x/>
      <x v="28"/>
      <x/>
      <x/>
      <x/>
      <x v="103"/>
    </i>
    <i r="3">
      <x v="109"/>
      <x/>
      <x/>
      <x v="29"/>
      <x v="1"/>
      <x v="1"/>
      <x v="52"/>
      <x v="104"/>
    </i>
    <i t="default" r="1">
      <x v="6"/>
    </i>
    <i r="1">
      <x v="7"/>
      <x v="31"/>
      <x v="102"/>
      <x/>
      <x/>
      <x v="20"/>
      <x/>
      <x/>
      <x/>
      <x v="97"/>
    </i>
    <i r="3">
      <x v="103"/>
      <x/>
      <x/>
      <x v="20"/>
      <x/>
      <x/>
      <x/>
      <x v="98"/>
    </i>
    <i r="3">
      <x v="104"/>
      <x/>
      <x/>
      <x v="20"/>
      <x/>
      <x/>
      <x/>
      <x v="99"/>
    </i>
    <i t="default" r="1">
      <x v="7"/>
    </i>
  </rowItems>
  <colItems count="1">
    <i/>
  </colItems>
  <dataFields count="1">
    <dataField name="Ads" fld="1" subtotal="count" baseField="11" baseItem="3"/>
  </dataFields>
  <conditionalFormats count="1">
    <conditionalFormat scope="field" priority="19">
      <pivotAreas count="1">
        <pivotArea outline="0" collapsedLevelsAreSubtotals="1" fieldPosition="0">
          <references count="2">
            <reference field="4294967294" count="1" selected="0">
              <x v="0"/>
            </reference>
            <reference field="1" count="0" selected="0"/>
          </references>
        </pivotArea>
      </pivotAreas>
    </conditionalFormat>
  </conditional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123" totalsRowShown="0">
  <autoFilter ref="A1:S123"/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/>
    <tableColumn id="7" name="Tipo de aviso"/>
    <tableColumn id="8" name="Forma de Pago"/>
    <tableColumn id="9" name="Precio" dataDxfId="12"/>
    <tableColumn id="10" name="Color"/>
    <tableColumn id="11" name="Ubic.Pretendida"/>
    <tableColumn id="12" name="Ubic.Obtenida"/>
    <tableColumn id="13" name="Nro pag" dataDxfId="11"/>
    <tableColumn id="14" name="Original"/>
    <tableColumn id="15" name="Col" dataDxfId="10"/>
    <tableColumn id="16" name="AltoCm" dataDxfId="9"/>
    <tableColumn id="17" name="Evaluate Location" dataDxfId="8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7">
      <calculatedColumnFormula>ROUND(InputData[[#This Row],[AltoCm]],0)</calculatedColumnFormula>
    </tableColumn>
    <tableColumn id="19" name="Medida" dataDxfId="6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23"/>
  <sheetViews>
    <sheetView showOutlineSymbols="0" topLeftCell="I1" workbookViewId="0">
      <selection activeCell="T1" sqref="T1:T1048576"/>
    </sheetView>
  </sheetViews>
  <sheetFormatPr baseColWidth="10" defaultColWidth="6.85546875" defaultRowHeight="12.75" customHeight="1" x14ac:dyDescent="0.2"/>
  <cols>
    <col min="1" max="1" width="10.7109375" customWidth="1"/>
    <col min="2" max="2" width="7.85546875" customWidth="1"/>
    <col min="3" max="3" width="13.28515625" customWidth="1"/>
    <col min="4" max="4" width="11.85546875" customWidth="1"/>
    <col min="5" max="5" width="12.85546875" customWidth="1"/>
    <col min="6" max="6" width="13.5703125" customWidth="1"/>
    <col min="7" max="7" width="15.140625" customWidth="1"/>
    <col min="8" max="8" width="17" customWidth="1"/>
    <col min="9" max="9" width="8.85546875" customWidth="1"/>
    <col min="10" max="10" width="7.85546875" customWidth="1"/>
    <col min="11" max="11" width="17.5703125" customWidth="1"/>
    <col min="12" max="12" width="15.85546875" customWidth="1"/>
    <col min="13" max="13" width="10.140625" customWidth="1"/>
    <col min="14" max="14" width="10.28515625" customWidth="1"/>
    <col min="15" max="15" width="6.85546875" customWidth="1"/>
    <col min="16" max="16" width="9.5703125" customWidth="1"/>
    <col min="17" max="19" width="12.140625" customWidth="1"/>
    <col min="20" max="20" width="6.85546875" customWidth="1"/>
  </cols>
  <sheetData>
    <row r="1" spans="1:19" ht="12.7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">
        <v>19</v>
      </c>
      <c r="B2" t="s">
        <v>20</v>
      </c>
      <c r="C2" t="s">
        <v>21</v>
      </c>
      <c r="D2" t="s">
        <v>22</v>
      </c>
      <c r="E2" t="s">
        <v>23</v>
      </c>
      <c r="G2" t="s">
        <v>24</v>
      </c>
      <c r="H2" t="s">
        <v>25</v>
      </c>
      <c r="I2" s="9">
        <v>144.99310344827586</v>
      </c>
      <c r="J2" t="s">
        <v>26</v>
      </c>
      <c r="K2" t="s">
        <v>27</v>
      </c>
      <c r="L2" t="s">
        <v>28</v>
      </c>
      <c r="M2" s="6">
        <v>1</v>
      </c>
      <c r="N2" t="s">
        <v>29</v>
      </c>
      <c r="O2" s="5">
        <v>1</v>
      </c>
      <c r="P2" s="7">
        <v>5.0000000012500001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5</v>
      </c>
      <c r="S2" t="str">
        <f>InputData[[#This Row],[Col]]&amp;"x"&amp;IF(LEN(InputData[[#This Row],[Alto]])=2,InputData[[#This Row],[Alto]],"0"&amp;InputData[[#This Row],[Alto]])</f>
        <v>1x05</v>
      </c>
    </row>
    <row r="3" spans="1:19" x14ac:dyDescent="0.2">
      <c r="A3" t="s">
        <v>19</v>
      </c>
      <c r="B3" t="s">
        <v>30</v>
      </c>
      <c r="C3" t="s">
        <v>21</v>
      </c>
      <c r="D3" t="s">
        <v>31</v>
      </c>
      <c r="E3" t="s">
        <v>32</v>
      </c>
      <c r="G3" t="s">
        <v>33</v>
      </c>
      <c r="H3" t="s">
        <v>25</v>
      </c>
      <c r="I3" s="9">
        <v>144.99310344827586</v>
      </c>
      <c r="J3" t="s">
        <v>26</v>
      </c>
      <c r="K3" t="s">
        <v>34</v>
      </c>
      <c r="L3" t="s">
        <v>28</v>
      </c>
      <c r="M3" s="6">
        <v>1</v>
      </c>
      <c r="N3" t="s">
        <v>29</v>
      </c>
      <c r="O3" s="5">
        <v>1</v>
      </c>
      <c r="P3" s="7">
        <v>5.0000000012500001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5</v>
      </c>
      <c r="S3" t="str">
        <f>InputData[[#This Row],[Col]]&amp;"x"&amp;IF(LEN(InputData[[#This Row],[Alto]])=2,InputData[[#This Row],[Alto]],"0"&amp;InputData[[#This Row],[Alto]])</f>
        <v>1x05</v>
      </c>
    </row>
    <row r="4" spans="1:19" x14ac:dyDescent="0.2">
      <c r="A4" t="s">
        <v>19</v>
      </c>
      <c r="B4" t="s">
        <v>35</v>
      </c>
      <c r="C4" t="s">
        <v>36</v>
      </c>
      <c r="D4" t="s">
        <v>37</v>
      </c>
      <c r="E4" t="s">
        <v>38</v>
      </c>
      <c r="G4" t="s">
        <v>39</v>
      </c>
      <c r="H4" t="s">
        <v>25</v>
      </c>
      <c r="I4" s="9">
        <v>99.131666666666675</v>
      </c>
      <c r="J4" t="s">
        <v>26</v>
      </c>
      <c r="K4" t="s">
        <v>40</v>
      </c>
      <c r="M4" s="6">
        <v>0</v>
      </c>
      <c r="N4" t="s">
        <v>29</v>
      </c>
      <c r="O4" s="5">
        <v>1</v>
      </c>
      <c r="P4" s="7">
        <v>6.0000000015000001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6</v>
      </c>
      <c r="S4" t="str">
        <f>InputData[[#This Row],[Col]]&amp;"x"&amp;IF(LEN(InputData[[#This Row],[Alto]])=2,InputData[[#This Row],[Alto]],"0"&amp;InputData[[#This Row],[Alto]])</f>
        <v>1x06</v>
      </c>
    </row>
    <row r="5" spans="1:19" x14ac:dyDescent="0.2">
      <c r="A5" t="s">
        <v>19</v>
      </c>
      <c r="B5" t="s">
        <v>41</v>
      </c>
      <c r="C5" t="s">
        <v>42</v>
      </c>
      <c r="E5" t="s">
        <v>43</v>
      </c>
      <c r="F5" t="s">
        <v>44</v>
      </c>
      <c r="G5" t="s">
        <v>39</v>
      </c>
      <c r="H5" t="s">
        <v>45</v>
      </c>
      <c r="I5" s="9">
        <v>94.285714285714292</v>
      </c>
      <c r="J5" t="s">
        <v>26</v>
      </c>
      <c r="K5" t="s">
        <v>40</v>
      </c>
      <c r="M5" s="6">
        <v>0</v>
      </c>
      <c r="N5" t="s">
        <v>29</v>
      </c>
      <c r="O5" s="5">
        <v>1</v>
      </c>
      <c r="P5" s="7">
        <v>7.0000000017499984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7</v>
      </c>
      <c r="S5" t="str">
        <f>InputData[[#This Row],[Col]]&amp;"x"&amp;IF(LEN(InputData[[#This Row],[Alto]])=2,InputData[[#This Row],[Alto]],"0"&amp;InputData[[#This Row],[Alto]])</f>
        <v>1x07</v>
      </c>
    </row>
    <row r="6" spans="1:19" x14ac:dyDescent="0.2">
      <c r="A6" t="s">
        <v>19</v>
      </c>
      <c r="B6" t="s">
        <v>46</v>
      </c>
      <c r="C6" t="s">
        <v>47</v>
      </c>
      <c r="E6" t="s">
        <v>48</v>
      </c>
      <c r="G6" t="s">
        <v>39</v>
      </c>
      <c r="H6" t="s">
        <v>45</v>
      </c>
      <c r="I6" s="9">
        <v>33.71857142857143</v>
      </c>
      <c r="J6" t="s">
        <v>26</v>
      </c>
      <c r="K6" t="s">
        <v>49</v>
      </c>
      <c r="L6" t="s">
        <v>50</v>
      </c>
      <c r="M6" s="6">
        <v>5</v>
      </c>
      <c r="N6" t="s">
        <v>29</v>
      </c>
      <c r="O6" s="5">
        <v>1</v>
      </c>
      <c r="P6" s="7">
        <v>2.0000000005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2</v>
      </c>
      <c r="S6" t="str">
        <f>InputData[[#This Row],[Col]]&amp;"x"&amp;IF(LEN(InputData[[#This Row],[Alto]])=2,InputData[[#This Row],[Alto]],"0"&amp;InputData[[#This Row],[Alto]])</f>
        <v>1x02</v>
      </c>
    </row>
    <row r="7" spans="1:19" x14ac:dyDescent="0.2">
      <c r="A7" t="s">
        <v>19</v>
      </c>
      <c r="B7" t="s">
        <v>51</v>
      </c>
      <c r="C7" t="s">
        <v>52</v>
      </c>
      <c r="E7" t="s">
        <v>53</v>
      </c>
      <c r="G7" t="s">
        <v>39</v>
      </c>
      <c r="H7" t="s">
        <v>45</v>
      </c>
      <c r="I7" s="9">
        <v>49.566000000000003</v>
      </c>
      <c r="J7" t="s">
        <v>26</v>
      </c>
      <c r="K7" t="s">
        <v>49</v>
      </c>
      <c r="L7" t="s">
        <v>50</v>
      </c>
      <c r="M7" s="6">
        <v>5</v>
      </c>
      <c r="N7" t="s">
        <v>29</v>
      </c>
      <c r="O7" s="5">
        <v>1</v>
      </c>
      <c r="P7" s="7">
        <v>3.0000000007500001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1x03</v>
      </c>
    </row>
    <row r="8" spans="1:19" x14ac:dyDescent="0.2">
      <c r="A8" t="s">
        <v>19</v>
      </c>
      <c r="B8" t="s">
        <v>54</v>
      </c>
      <c r="C8" t="s">
        <v>55</v>
      </c>
      <c r="D8" t="s">
        <v>56</v>
      </c>
      <c r="E8" t="s">
        <v>57</v>
      </c>
      <c r="G8" t="s">
        <v>39</v>
      </c>
      <c r="H8" t="s">
        <v>25</v>
      </c>
      <c r="I8" s="9">
        <v>113.79066666666668</v>
      </c>
      <c r="J8" t="s">
        <v>9</v>
      </c>
      <c r="K8" t="s">
        <v>58</v>
      </c>
      <c r="L8" t="s">
        <v>50</v>
      </c>
      <c r="M8" s="6">
        <v>5</v>
      </c>
      <c r="N8" t="s">
        <v>29</v>
      </c>
      <c r="O8" s="5">
        <v>1</v>
      </c>
      <c r="P8" s="7">
        <v>6.0000000015000001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6</v>
      </c>
      <c r="S8" t="str">
        <f>InputData[[#This Row],[Col]]&amp;"x"&amp;IF(LEN(InputData[[#This Row],[Alto]])=2,InputData[[#This Row],[Alto]],"0"&amp;InputData[[#This Row],[Alto]])</f>
        <v>1x06</v>
      </c>
    </row>
    <row r="9" spans="1:19" x14ac:dyDescent="0.2">
      <c r="A9" t="s">
        <v>19</v>
      </c>
      <c r="B9" t="s">
        <v>59</v>
      </c>
      <c r="C9" t="s">
        <v>60</v>
      </c>
      <c r="D9" t="s">
        <v>61</v>
      </c>
      <c r="E9" t="s">
        <v>62</v>
      </c>
      <c r="G9" t="s">
        <v>39</v>
      </c>
      <c r="H9" t="s">
        <v>25</v>
      </c>
      <c r="I9" s="9">
        <v>88.504000000000005</v>
      </c>
      <c r="J9" t="s">
        <v>26</v>
      </c>
      <c r="K9" t="s">
        <v>58</v>
      </c>
      <c r="L9" t="s">
        <v>50</v>
      </c>
      <c r="M9" s="6">
        <v>5</v>
      </c>
      <c r="N9" t="s">
        <v>29</v>
      </c>
      <c r="O9" s="5">
        <v>1</v>
      </c>
      <c r="P9" s="7">
        <v>6.0000000015000001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6</v>
      </c>
      <c r="S9" t="str">
        <f>InputData[[#This Row],[Col]]&amp;"x"&amp;IF(LEN(InputData[[#This Row],[Alto]])=2,InputData[[#This Row],[Alto]],"0"&amp;InputData[[#This Row],[Alto]])</f>
        <v>1x06</v>
      </c>
    </row>
    <row r="10" spans="1:19" x14ac:dyDescent="0.2">
      <c r="A10" t="s">
        <v>19</v>
      </c>
      <c r="B10" t="s">
        <v>63</v>
      </c>
      <c r="C10" t="s">
        <v>64</v>
      </c>
      <c r="E10" t="s">
        <v>65</v>
      </c>
      <c r="G10" t="s">
        <v>39</v>
      </c>
      <c r="H10" t="s">
        <v>45</v>
      </c>
      <c r="I10" s="9">
        <v>177.44285714285715</v>
      </c>
      <c r="J10" t="s">
        <v>26</v>
      </c>
      <c r="K10" t="s">
        <v>58</v>
      </c>
      <c r="L10" t="s">
        <v>50</v>
      </c>
      <c r="M10" s="6">
        <v>5</v>
      </c>
      <c r="N10" t="s">
        <v>29</v>
      </c>
      <c r="O10" s="5">
        <v>1</v>
      </c>
      <c r="P10" s="7">
        <v>9.999999998972223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1x10</v>
      </c>
    </row>
    <row r="11" spans="1:19" x14ac:dyDescent="0.2">
      <c r="A11" t="s">
        <v>19</v>
      </c>
      <c r="B11" t="s">
        <v>66</v>
      </c>
      <c r="C11" t="s">
        <v>67</v>
      </c>
      <c r="E11" t="s">
        <v>68</v>
      </c>
      <c r="G11" t="s">
        <v>39</v>
      </c>
      <c r="H11" t="s">
        <v>45</v>
      </c>
      <c r="I11" s="9">
        <v>33.71857142857143</v>
      </c>
      <c r="J11" t="s">
        <v>26</v>
      </c>
      <c r="K11" t="s">
        <v>58</v>
      </c>
      <c r="L11" t="s">
        <v>50</v>
      </c>
      <c r="M11" s="6">
        <v>5</v>
      </c>
      <c r="N11" t="s">
        <v>29</v>
      </c>
      <c r="O11" s="5">
        <v>1</v>
      </c>
      <c r="P11" s="7">
        <v>2.0000000005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2</v>
      </c>
      <c r="S11" t="str">
        <f>InputData[[#This Row],[Col]]&amp;"x"&amp;IF(LEN(InputData[[#This Row],[Alto]])=2,InputData[[#This Row],[Alto]],"0"&amp;InputData[[#This Row],[Alto]])</f>
        <v>1x02</v>
      </c>
    </row>
    <row r="12" spans="1:19" x14ac:dyDescent="0.2">
      <c r="A12" t="s">
        <v>19</v>
      </c>
      <c r="B12" t="s">
        <v>69</v>
      </c>
      <c r="C12" t="s">
        <v>70</v>
      </c>
      <c r="D12" t="s">
        <v>71</v>
      </c>
      <c r="E12" t="s">
        <v>72</v>
      </c>
      <c r="F12" t="s">
        <v>73</v>
      </c>
      <c r="G12" t="s">
        <v>39</v>
      </c>
      <c r="H12" t="s">
        <v>74</v>
      </c>
      <c r="I12" s="9">
        <v>0</v>
      </c>
      <c r="J12" t="s">
        <v>26</v>
      </c>
      <c r="K12" t="s">
        <v>75</v>
      </c>
      <c r="L12" t="s">
        <v>76</v>
      </c>
      <c r="M12" s="6">
        <v>3</v>
      </c>
      <c r="N12" t="s">
        <v>29</v>
      </c>
      <c r="O12" s="5">
        <v>1</v>
      </c>
      <c r="P12" s="7">
        <v>13.999999999972225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14</v>
      </c>
      <c r="S12" t="str">
        <f>InputData[[#This Row],[Col]]&amp;"x"&amp;IF(LEN(InputData[[#This Row],[Alto]])=2,InputData[[#This Row],[Alto]],"0"&amp;InputData[[#This Row],[Alto]])</f>
        <v>1x14</v>
      </c>
    </row>
    <row r="13" spans="1:19" x14ac:dyDescent="0.2">
      <c r="A13" t="s">
        <v>19</v>
      </c>
      <c r="B13" t="s">
        <v>77</v>
      </c>
      <c r="C13" t="s">
        <v>78</v>
      </c>
      <c r="D13" t="s">
        <v>79</v>
      </c>
      <c r="E13" t="s">
        <v>80</v>
      </c>
      <c r="F13" t="s">
        <v>81</v>
      </c>
      <c r="G13" t="s">
        <v>39</v>
      </c>
      <c r="H13" t="s">
        <v>25</v>
      </c>
      <c r="I13" s="9">
        <v>118.01428571428573</v>
      </c>
      <c r="J13" t="s">
        <v>26</v>
      </c>
      <c r="K13" t="s">
        <v>82</v>
      </c>
      <c r="L13" t="s">
        <v>76</v>
      </c>
      <c r="M13" s="6">
        <v>3</v>
      </c>
      <c r="N13" t="s">
        <v>29</v>
      </c>
      <c r="O13" s="5">
        <v>1</v>
      </c>
      <c r="P13" s="7">
        <v>5.0000000012500001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5</v>
      </c>
      <c r="S13" t="str">
        <f>InputData[[#This Row],[Col]]&amp;"x"&amp;IF(LEN(InputData[[#This Row],[Alto]])=2,InputData[[#This Row],[Alto]],"0"&amp;InputData[[#This Row],[Alto]])</f>
        <v>1x05</v>
      </c>
    </row>
    <row r="14" spans="1:19" x14ac:dyDescent="0.2">
      <c r="A14" t="s">
        <v>19</v>
      </c>
      <c r="B14" t="s">
        <v>83</v>
      </c>
      <c r="C14" t="s">
        <v>84</v>
      </c>
      <c r="D14" t="s">
        <v>85</v>
      </c>
      <c r="E14" t="s">
        <v>86</v>
      </c>
      <c r="G14" t="s">
        <v>39</v>
      </c>
      <c r="H14" t="s">
        <v>25</v>
      </c>
      <c r="I14" s="9">
        <v>89.42902439024391</v>
      </c>
      <c r="J14" t="s">
        <v>26</v>
      </c>
      <c r="K14" t="s">
        <v>87</v>
      </c>
      <c r="L14" t="s">
        <v>76</v>
      </c>
      <c r="M14" s="6">
        <v>3</v>
      </c>
      <c r="N14" t="s">
        <v>29</v>
      </c>
      <c r="O14" s="5">
        <v>1</v>
      </c>
      <c r="P14" s="7">
        <v>6.0000000015000001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6</v>
      </c>
      <c r="S14" t="str">
        <f>InputData[[#This Row],[Col]]&amp;"x"&amp;IF(LEN(InputData[[#This Row],[Alto]])=2,InputData[[#This Row],[Alto]],"0"&amp;InputData[[#This Row],[Alto]])</f>
        <v>1x06</v>
      </c>
    </row>
    <row r="15" spans="1:19" x14ac:dyDescent="0.2">
      <c r="A15" t="s">
        <v>19</v>
      </c>
      <c r="B15" t="s">
        <v>88</v>
      </c>
      <c r="C15" t="s">
        <v>89</v>
      </c>
      <c r="D15" t="s">
        <v>90</v>
      </c>
      <c r="E15" t="s">
        <v>91</v>
      </c>
      <c r="F15" t="s">
        <v>92</v>
      </c>
      <c r="G15" t="s">
        <v>39</v>
      </c>
      <c r="H15" t="s">
        <v>25</v>
      </c>
      <c r="I15" s="9">
        <v>99.131666666666675</v>
      </c>
      <c r="J15" t="s">
        <v>26</v>
      </c>
      <c r="K15" t="s">
        <v>87</v>
      </c>
      <c r="L15" t="s">
        <v>76</v>
      </c>
      <c r="M15" s="6">
        <v>3</v>
      </c>
      <c r="N15" t="s">
        <v>29</v>
      </c>
      <c r="O15" s="5">
        <v>1</v>
      </c>
      <c r="P15" s="7">
        <v>6.0000000015000001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6</v>
      </c>
      <c r="S15" t="str">
        <f>InputData[[#This Row],[Col]]&amp;"x"&amp;IF(LEN(InputData[[#This Row],[Alto]])=2,InputData[[#This Row],[Alto]],"0"&amp;InputData[[#This Row],[Alto]])</f>
        <v>1x06</v>
      </c>
    </row>
    <row r="16" spans="1:19" x14ac:dyDescent="0.2">
      <c r="A16" t="s">
        <v>19</v>
      </c>
      <c r="B16" t="s">
        <v>93</v>
      </c>
      <c r="C16" t="s">
        <v>89</v>
      </c>
      <c r="D16" t="s">
        <v>94</v>
      </c>
      <c r="E16" t="s">
        <v>95</v>
      </c>
      <c r="F16" t="s">
        <v>92</v>
      </c>
      <c r="G16" t="s">
        <v>39</v>
      </c>
      <c r="H16" t="s">
        <v>25</v>
      </c>
      <c r="I16" s="9">
        <v>132.17566666666667</v>
      </c>
      <c r="J16" t="s">
        <v>26</v>
      </c>
      <c r="K16" t="s">
        <v>87</v>
      </c>
      <c r="L16" t="s">
        <v>76</v>
      </c>
      <c r="M16" s="6">
        <v>3</v>
      </c>
      <c r="N16" t="s">
        <v>29</v>
      </c>
      <c r="O16" s="5">
        <v>1</v>
      </c>
      <c r="P16" s="7">
        <v>7.9999999984722239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8</v>
      </c>
      <c r="S16" t="str">
        <f>InputData[[#This Row],[Col]]&amp;"x"&amp;IF(LEN(InputData[[#This Row],[Alto]])=2,InputData[[#This Row],[Alto]],"0"&amp;InputData[[#This Row],[Alto]])</f>
        <v>1x08</v>
      </c>
    </row>
    <row r="17" spans="1:19" x14ac:dyDescent="0.2">
      <c r="A17" t="s">
        <v>19</v>
      </c>
      <c r="B17" t="s">
        <v>96</v>
      </c>
      <c r="C17" t="s">
        <v>97</v>
      </c>
      <c r="E17" t="s">
        <v>98</v>
      </c>
      <c r="F17" t="s">
        <v>99</v>
      </c>
      <c r="G17" t="s">
        <v>39</v>
      </c>
      <c r="H17" t="s">
        <v>45</v>
      </c>
      <c r="I17" s="9">
        <v>33.044000000000004</v>
      </c>
      <c r="J17" t="s">
        <v>26</v>
      </c>
      <c r="K17" t="s">
        <v>87</v>
      </c>
      <c r="L17" t="s">
        <v>76</v>
      </c>
      <c r="M17" s="6">
        <v>3</v>
      </c>
      <c r="N17" t="s">
        <v>29</v>
      </c>
      <c r="O17" s="5">
        <v>1</v>
      </c>
      <c r="P17" s="7">
        <v>2.0000000005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2</v>
      </c>
      <c r="S17" t="str">
        <f>InputData[[#This Row],[Col]]&amp;"x"&amp;IF(LEN(InputData[[#This Row],[Alto]])=2,InputData[[#This Row],[Alto]],"0"&amp;InputData[[#This Row],[Alto]])</f>
        <v>1x02</v>
      </c>
    </row>
    <row r="18" spans="1:19" x14ac:dyDescent="0.2">
      <c r="A18" t="s">
        <v>19</v>
      </c>
      <c r="B18" t="s">
        <v>100</v>
      </c>
      <c r="C18" t="s">
        <v>101</v>
      </c>
      <c r="D18" t="s">
        <v>102</v>
      </c>
      <c r="E18" t="s">
        <v>103</v>
      </c>
      <c r="G18" t="s">
        <v>39</v>
      </c>
      <c r="H18" t="s">
        <v>25</v>
      </c>
      <c r="I18" s="9">
        <v>212.42500000000001</v>
      </c>
      <c r="J18" t="s">
        <v>26</v>
      </c>
      <c r="K18" t="s">
        <v>87</v>
      </c>
      <c r="L18" t="s">
        <v>76</v>
      </c>
      <c r="M18" s="6">
        <v>3</v>
      </c>
      <c r="N18" t="s">
        <v>29</v>
      </c>
      <c r="O18" s="5">
        <v>1</v>
      </c>
      <c r="P18" s="7">
        <v>11.999999999472221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12</v>
      </c>
      <c r="S18" t="str">
        <f>InputData[[#This Row],[Col]]&amp;"x"&amp;IF(LEN(InputData[[#This Row],[Alto]])=2,InputData[[#This Row],[Alto]],"0"&amp;InputData[[#This Row],[Alto]])</f>
        <v>1x12</v>
      </c>
    </row>
    <row r="19" spans="1:19" x14ac:dyDescent="0.2">
      <c r="A19" t="s">
        <v>19</v>
      </c>
      <c r="B19" t="s">
        <v>104</v>
      </c>
      <c r="C19" t="s">
        <v>105</v>
      </c>
      <c r="E19" t="s">
        <v>106</v>
      </c>
      <c r="G19" t="s">
        <v>39</v>
      </c>
      <c r="H19" t="s">
        <v>45</v>
      </c>
      <c r="I19" s="9">
        <v>67.437142857142859</v>
      </c>
      <c r="J19" t="s">
        <v>26</v>
      </c>
      <c r="K19" t="s">
        <v>87</v>
      </c>
      <c r="L19" t="s">
        <v>76</v>
      </c>
      <c r="M19" s="6">
        <v>3</v>
      </c>
      <c r="N19" t="s">
        <v>29</v>
      </c>
      <c r="O19" s="5">
        <v>1</v>
      </c>
      <c r="P19" s="7">
        <v>4.0000000010000001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4</v>
      </c>
      <c r="S19" t="str">
        <f>InputData[[#This Row],[Col]]&amp;"x"&amp;IF(LEN(InputData[[#This Row],[Alto]])=2,InputData[[#This Row],[Alto]],"0"&amp;InputData[[#This Row],[Alto]])</f>
        <v>1x04</v>
      </c>
    </row>
    <row r="20" spans="1:19" x14ac:dyDescent="0.2">
      <c r="A20" t="s">
        <v>19</v>
      </c>
      <c r="B20" t="s">
        <v>107</v>
      </c>
      <c r="C20" t="s">
        <v>108</v>
      </c>
      <c r="E20" t="s">
        <v>109</v>
      </c>
      <c r="G20" t="s">
        <v>39</v>
      </c>
      <c r="H20" t="s">
        <v>45</v>
      </c>
      <c r="I20" s="9">
        <v>84.295714285714297</v>
      </c>
      <c r="J20" t="s">
        <v>26</v>
      </c>
      <c r="K20" t="s">
        <v>87</v>
      </c>
      <c r="L20" t="s">
        <v>76</v>
      </c>
      <c r="M20" s="6">
        <v>3</v>
      </c>
      <c r="N20" t="s">
        <v>29</v>
      </c>
      <c r="O20" s="5">
        <v>1</v>
      </c>
      <c r="P20" s="7">
        <v>5.0000000012500001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5</v>
      </c>
      <c r="S20" t="str">
        <f>InputData[[#This Row],[Col]]&amp;"x"&amp;IF(LEN(InputData[[#This Row],[Alto]])=2,InputData[[#This Row],[Alto]],"0"&amp;InputData[[#This Row],[Alto]])</f>
        <v>1x05</v>
      </c>
    </row>
    <row r="21" spans="1:19" x14ac:dyDescent="0.2">
      <c r="A21" t="s">
        <v>19</v>
      </c>
      <c r="B21" t="s">
        <v>110</v>
      </c>
      <c r="C21" t="s">
        <v>111</v>
      </c>
      <c r="E21" t="s">
        <v>112</v>
      </c>
      <c r="F21" t="s">
        <v>113</v>
      </c>
      <c r="G21" t="s">
        <v>39</v>
      </c>
      <c r="H21" t="s">
        <v>45</v>
      </c>
      <c r="I21" s="9">
        <v>53.107500000000002</v>
      </c>
      <c r="J21" t="s">
        <v>26</v>
      </c>
      <c r="K21" t="s">
        <v>87</v>
      </c>
      <c r="L21" t="s">
        <v>76</v>
      </c>
      <c r="M21" s="6">
        <v>3</v>
      </c>
      <c r="N21" t="s">
        <v>29</v>
      </c>
      <c r="O21" s="5">
        <v>1</v>
      </c>
      <c r="P21" s="7">
        <v>3.0000000007500001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</v>
      </c>
      <c r="S21" t="str">
        <f>InputData[[#This Row],[Col]]&amp;"x"&amp;IF(LEN(InputData[[#This Row],[Alto]])=2,InputData[[#This Row],[Alto]],"0"&amp;InputData[[#This Row],[Alto]])</f>
        <v>1x03</v>
      </c>
    </row>
    <row r="22" spans="1:19" x14ac:dyDescent="0.2">
      <c r="A22" t="s">
        <v>19</v>
      </c>
      <c r="B22" t="s">
        <v>114</v>
      </c>
      <c r="C22" t="s">
        <v>115</v>
      </c>
      <c r="E22" t="s">
        <v>116</v>
      </c>
      <c r="G22" t="s">
        <v>39</v>
      </c>
      <c r="H22" t="s">
        <v>45</v>
      </c>
      <c r="I22" s="9">
        <v>84.295714285714297</v>
      </c>
      <c r="J22" t="s">
        <v>26</v>
      </c>
      <c r="K22" t="s">
        <v>87</v>
      </c>
      <c r="L22" t="s">
        <v>76</v>
      </c>
      <c r="M22" s="6">
        <v>3</v>
      </c>
      <c r="N22" t="s">
        <v>29</v>
      </c>
      <c r="O22" s="5">
        <v>1</v>
      </c>
      <c r="P22" s="7">
        <v>5.0000000012500001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5</v>
      </c>
      <c r="S22" t="str">
        <f>InputData[[#This Row],[Col]]&amp;"x"&amp;IF(LEN(InputData[[#This Row],[Alto]])=2,InputData[[#This Row],[Alto]],"0"&amp;InputData[[#This Row],[Alto]])</f>
        <v>1x05</v>
      </c>
    </row>
    <row r="23" spans="1:19" x14ac:dyDescent="0.2">
      <c r="A23" t="s">
        <v>19</v>
      </c>
      <c r="B23" t="s">
        <v>117</v>
      </c>
      <c r="C23" t="s">
        <v>118</v>
      </c>
      <c r="E23" t="s">
        <v>119</v>
      </c>
      <c r="G23" t="s">
        <v>39</v>
      </c>
      <c r="H23" t="s">
        <v>45</v>
      </c>
      <c r="I23" s="9">
        <v>67.437142857142859</v>
      </c>
      <c r="J23" t="s">
        <v>26</v>
      </c>
      <c r="K23" t="s">
        <v>87</v>
      </c>
      <c r="L23" t="s">
        <v>76</v>
      </c>
      <c r="M23" s="6">
        <v>3</v>
      </c>
      <c r="N23" t="s">
        <v>29</v>
      </c>
      <c r="O23" s="5">
        <v>1</v>
      </c>
      <c r="P23" s="7">
        <v>4.0000000010000001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4</v>
      </c>
      <c r="S23" t="str">
        <f>InputData[[#This Row],[Col]]&amp;"x"&amp;IF(LEN(InputData[[#This Row],[Alto]])=2,InputData[[#This Row],[Alto]],"0"&amp;InputData[[#This Row],[Alto]])</f>
        <v>1x04</v>
      </c>
    </row>
    <row r="24" spans="1:19" x14ac:dyDescent="0.2">
      <c r="A24" t="s">
        <v>19</v>
      </c>
      <c r="B24" t="s">
        <v>120</v>
      </c>
      <c r="C24" t="s">
        <v>118</v>
      </c>
      <c r="E24" t="s">
        <v>121</v>
      </c>
      <c r="G24" t="s">
        <v>39</v>
      </c>
      <c r="H24" t="s">
        <v>45</v>
      </c>
      <c r="I24" s="9">
        <v>67.437142857142859</v>
      </c>
      <c r="J24" t="s">
        <v>26</v>
      </c>
      <c r="K24" t="s">
        <v>87</v>
      </c>
      <c r="L24" t="s">
        <v>76</v>
      </c>
      <c r="M24" s="6">
        <v>3</v>
      </c>
      <c r="N24" t="s">
        <v>29</v>
      </c>
      <c r="O24" s="5">
        <v>1</v>
      </c>
      <c r="P24" s="7">
        <v>4.0000000010000001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4</v>
      </c>
      <c r="S24" t="str">
        <f>InputData[[#This Row],[Col]]&amp;"x"&amp;IF(LEN(InputData[[#This Row],[Alto]])=2,InputData[[#This Row],[Alto]],"0"&amp;InputData[[#This Row],[Alto]])</f>
        <v>1x04</v>
      </c>
    </row>
    <row r="25" spans="1:19" x14ac:dyDescent="0.2">
      <c r="A25" t="s">
        <v>19</v>
      </c>
      <c r="B25" t="s">
        <v>122</v>
      </c>
      <c r="C25" t="s">
        <v>118</v>
      </c>
      <c r="D25" t="s">
        <v>123</v>
      </c>
      <c r="E25" t="s">
        <v>124</v>
      </c>
      <c r="G25" t="s">
        <v>39</v>
      </c>
      <c r="H25" t="s">
        <v>25</v>
      </c>
      <c r="I25" s="9">
        <v>247.82933333333332</v>
      </c>
      <c r="J25" t="s">
        <v>26</v>
      </c>
      <c r="K25" t="s">
        <v>125</v>
      </c>
      <c r="L25" t="s">
        <v>28</v>
      </c>
      <c r="M25" s="6">
        <v>1</v>
      </c>
      <c r="N25" t="s">
        <v>29</v>
      </c>
      <c r="O25" s="5">
        <v>1</v>
      </c>
      <c r="P25" s="7">
        <v>15.000000000222226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15</v>
      </c>
      <c r="S25" t="str">
        <f>InputData[[#This Row],[Col]]&amp;"x"&amp;IF(LEN(InputData[[#This Row],[Alto]])=2,InputData[[#This Row],[Alto]],"0"&amp;InputData[[#This Row],[Alto]])</f>
        <v>1x15</v>
      </c>
    </row>
    <row r="26" spans="1:19" x14ac:dyDescent="0.2">
      <c r="A26" t="s">
        <v>19</v>
      </c>
      <c r="B26" t="s">
        <v>126</v>
      </c>
      <c r="C26" t="s">
        <v>89</v>
      </c>
      <c r="D26" t="s">
        <v>127</v>
      </c>
      <c r="E26" t="s">
        <v>128</v>
      </c>
      <c r="F26" t="s">
        <v>92</v>
      </c>
      <c r="G26" t="s">
        <v>39</v>
      </c>
      <c r="H26" t="s">
        <v>25</v>
      </c>
      <c r="I26" s="9">
        <v>414.20933333333335</v>
      </c>
      <c r="J26" t="s">
        <v>26</v>
      </c>
      <c r="K26" t="s">
        <v>125</v>
      </c>
      <c r="L26" t="s">
        <v>129</v>
      </c>
      <c r="M26" s="6">
        <v>2</v>
      </c>
      <c r="N26" t="s">
        <v>29</v>
      </c>
      <c r="O26" s="5">
        <v>1</v>
      </c>
      <c r="P26" s="7">
        <v>21.000000001722224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21</v>
      </c>
      <c r="S26" t="str">
        <f>InputData[[#This Row],[Col]]&amp;"x"&amp;IF(LEN(InputData[[#This Row],[Alto]])=2,InputData[[#This Row],[Alto]],"0"&amp;InputData[[#This Row],[Alto]])</f>
        <v>1x21</v>
      </c>
    </row>
    <row r="27" spans="1:19" x14ac:dyDescent="0.2">
      <c r="A27" t="s">
        <v>19</v>
      </c>
      <c r="B27" t="s">
        <v>130</v>
      </c>
      <c r="C27" t="s">
        <v>131</v>
      </c>
      <c r="E27" t="s">
        <v>132</v>
      </c>
      <c r="G27" t="s">
        <v>39</v>
      </c>
      <c r="H27" t="s">
        <v>45</v>
      </c>
      <c r="I27" s="9">
        <v>33.044000000000004</v>
      </c>
      <c r="J27" t="s">
        <v>26</v>
      </c>
      <c r="K27" t="s">
        <v>125</v>
      </c>
      <c r="L27" t="s">
        <v>28</v>
      </c>
      <c r="M27" s="6">
        <v>1</v>
      </c>
      <c r="N27" t="s">
        <v>29</v>
      </c>
      <c r="O27" s="5">
        <v>1</v>
      </c>
      <c r="P27" s="7">
        <v>2.0000000005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2</v>
      </c>
      <c r="S27" t="str">
        <f>InputData[[#This Row],[Col]]&amp;"x"&amp;IF(LEN(InputData[[#This Row],[Alto]])=2,InputData[[#This Row],[Alto]],"0"&amp;InputData[[#This Row],[Alto]])</f>
        <v>1x02</v>
      </c>
    </row>
    <row r="28" spans="1:19" x14ac:dyDescent="0.2">
      <c r="A28" t="s">
        <v>19</v>
      </c>
      <c r="B28" t="s">
        <v>133</v>
      </c>
      <c r="C28" t="s">
        <v>134</v>
      </c>
      <c r="D28" t="s">
        <v>135</v>
      </c>
      <c r="E28" t="s">
        <v>136</v>
      </c>
      <c r="F28" t="s">
        <v>137</v>
      </c>
      <c r="G28" t="s">
        <v>39</v>
      </c>
      <c r="H28" t="s">
        <v>25</v>
      </c>
      <c r="I28" s="9">
        <v>256.37517241379305</v>
      </c>
      <c r="J28" t="s">
        <v>26</v>
      </c>
      <c r="K28" t="s">
        <v>125</v>
      </c>
      <c r="L28" t="s">
        <v>129</v>
      </c>
      <c r="M28" s="6">
        <v>2</v>
      </c>
      <c r="N28" t="s">
        <v>29</v>
      </c>
      <c r="O28" s="5">
        <v>1</v>
      </c>
      <c r="P28" s="7">
        <v>15.000000000222226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15</v>
      </c>
      <c r="S28" t="str">
        <f>InputData[[#This Row],[Col]]&amp;"x"&amp;IF(LEN(InputData[[#This Row],[Alto]])=2,InputData[[#This Row],[Alto]],"0"&amp;InputData[[#This Row],[Alto]])</f>
        <v>1x15</v>
      </c>
    </row>
    <row r="29" spans="1:19" x14ac:dyDescent="0.2">
      <c r="A29" t="s">
        <v>19</v>
      </c>
      <c r="B29" t="s">
        <v>138</v>
      </c>
      <c r="C29" t="s">
        <v>84</v>
      </c>
      <c r="D29" t="s">
        <v>139</v>
      </c>
      <c r="E29" t="s">
        <v>140</v>
      </c>
      <c r="G29" t="s">
        <v>39</v>
      </c>
      <c r="H29" t="s">
        <v>25</v>
      </c>
      <c r="I29" s="9">
        <v>118.95800000000001</v>
      </c>
      <c r="J29" t="s">
        <v>26</v>
      </c>
      <c r="K29" t="s">
        <v>125</v>
      </c>
      <c r="L29" t="s">
        <v>129</v>
      </c>
      <c r="M29" s="6">
        <v>2</v>
      </c>
      <c r="N29" t="s">
        <v>29</v>
      </c>
      <c r="O29" s="5">
        <v>1</v>
      </c>
      <c r="P29" s="7">
        <v>7.0000000017499984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7</v>
      </c>
      <c r="S29" t="str">
        <f>InputData[[#This Row],[Col]]&amp;"x"&amp;IF(LEN(InputData[[#This Row],[Alto]])=2,InputData[[#This Row],[Alto]],"0"&amp;InputData[[#This Row],[Alto]])</f>
        <v>1x07</v>
      </c>
    </row>
    <row r="30" spans="1:19" x14ac:dyDescent="0.2">
      <c r="A30" t="s">
        <v>19</v>
      </c>
      <c r="B30" t="s">
        <v>141</v>
      </c>
      <c r="C30" t="s">
        <v>70</v>
      </c>
      <c r="D30" t="s">
        <v>142</v>
      </c>
      <c r="E30" t="s">
        <v>143</v>
      </c>
      <c r="F30" t="s">
        <v>73</v>
      </c>
      <c r="G30" t="s">
        <v>39</v>
      </c>
      <c r="H30" t="s">
        <v>74</v>
      </c>
      <c r="I30" s="9">
        <v>0</v>
      </c>
      <c r="J30" t="s">
        <v>26</v>
      </c>
      <c r="K30" t="s">
        <v>125</v>
      </c>
      <c r="L30" t="s">
        <v>129</v>
      </c>
      <c r="M30" s="6">
        <v>2</v>
      </c>
      <c r="N30" t="s">
        <v>29</v>
      </c>
      <c r="O30" s="5">
        <v>1</v>
      </c>
      <c r="P30" s="7">
        <v>15.000000000222226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15</v>
      </c>
      <c r="S30" t="str">
        <f>InputData[[#This Row],[Col]]&amp;"x"&amp;IF(LEN(InputData[[#This Row],[Alto]])=2,InputData[[#This Row],[Alto]],"0"&amp;InputData[[#This Row],[Alto]])</f>
        <v>1x15</v>
      </c>
    </row>
    <row r="31" spans="1:19" x14ac:dyDescent="0.2">
      <c r="A31" t="s">
        <v>19</v>
      </c>
      <c r="B31" t="s">
        <v>144</v>
      </c>
      <c r="C31" t="s">
        <v>145</v>
      </c>
      <c r="E31" t="s">
        <v>146</v>
      </c>
      <c r="G31" t="s">
        <v>39</v>
      </c>
      <c r="H31" t="s">
        <v>45</v>
      </c>
      <c r="I31" s="9">
        <v>236.02857142857147</v>
      </c>
      <c r="J31" t="s">
        <v>26</v>
      </c>
      <c r="K31" t="s">
        <v>125</v>
      </c>
      <c r="L31" t="s">
        <v>129</v>
      </c>
      <c r="M31" s="6">
        <v>2</v>
      </c>
      <c r="N31" t="s">
        <v>29</v>
      </c>
      <c r="O31" s="5">
        <v>1</v>
      </c>
      <c r="P31" s="7">
        <v>13.999999999972225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14</v>
      </c>
      <c r="S31" t="str">
        <f>InputData[[#This Row],[Col]]&amp;"x"&amp;IF(LEN(InputData[[#This Row],[Alto]])=2,InputData[[#This Row],[Alto]],"0"&amp;InputData[[#This Row],[Alto]])</f>
        <v>1x14</v>
      </c>
    </row>
    <row r="32" spans="1:19" x14ac:dyDescent="0.2">
      <c r="A32" t="s">
        <v>19</v>
      </c>
      <c r="B32" t="s">
        <v>147</v>
      </c>
      <c r="C32" t="s">
        <v>148</v>
      </c>
      <c r="E32" t="s">
        <v>149</v>
      </c>
      <c r="G32" t="s">
        <v>39</v>
      </c>
      <c r="H32" t="s">
        <v>45</v>
      </c>
      <c r="I32" s="9">
        <v>33.71857142857143</v>
      </c>
      <c r="J32" t="s">
        <v>26</v>
      </c>
      <c r="K32" t="s">
        <v>125</v>
      </c>
      <c r="L32" t="s">
        <v>28</v>
      </c>
      <c r="M32" s="6">
        <v>1</v>
      </c>
      <c r="N32" t="s">
        <v>29</v>
      </c>
      <c r="O32" s="5">
        <v>1</v>
      </c>
      <c r="P32" s="7">
        <v>2.0000000005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2</v>
      </c>
      <c r="S32" t="str">
        <f>InputData[[#This Row],[Col]]&amp;"x"&amp;IF(LEN(InputData[[#This Row],[Alto]])=2,InputData[[#This Row],[Alto]],"0"&amp;InputData[[#This Row],[Alto]])</f>
        <v>1x02</v>
      </c>
    </row>
    <row r="33" spans="1:19" x14ac:dyDescent="0.2">
      <c r="A33" t="s">
        <v>19</v>
      </c>
      <c r="B33" t="s">
        <v>150</v>
      </c>
      <c r="C33" t="s">
        <v>151</v>
      </c>
      <c r="E33" t="s">
        <v>152</v>
      </c>
      <c r="G33" t="s">
        <v>39</v>
      </c>
      <c r="H33" t="s">
        <v>45</v>
      </c>
      <c r="I33" s="9">
        <v>50.577142857142853</v>
      </c>
      <c r="J33" t="s">
        <v>26</v>
      </c>
      <c r="K33" t="s">
        <v>125</v>
      </c>
      <c r="L33" t="s">
        <v>28</v>
      </c>
      <c r="M33" s="6">
        <v>1</v>
      </c>
      <c r="N33" t="s">
        <v>29</v>
      </c>
      <c r="O33" s="5">
        <v>1</v>
      </c>
      <c r="P33" s="7">
        <v>3.0000000007500001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3</v>
      </c>
      <c r="S33" t="str">
        <f>InputData[[#This Row],[Col]]&amp;"x"&amp;IF(LEN(InputData[[#This Row],[Alto]])=2,InputData[[#This Row],[Alto]],"0"&amp;InputData[[#This Row],[Alto]])</f>
        <v>1x03</v>
      </c>
    </row>
    <row r="34" spans="1:19" x14ac:dyDescent="0.2">
      <c r="A34" t="s">
        <v>19</v>
      </c>
      <c r="B34" t="s">
        <v>153</v>
      </c>
      <c r="C34" t="s">
        <v>154</v>
      </c>
      <c r="E34" t="s">
        <v>155</v>
      </c>
      <c r="G34" t="s">
        <v>39</v>
      </c>
      <c r="H34" t="s">
        <v>45</v>
      </c>
      <c r="I34" s="9">
        <v>50.577142857142853</v>
      </c>
      <c r="J34" t="s">
        <v>26</v>
      </c>
      <c r="K34" t="s">
        <v>125</v>
      </c>
      <c r="L34" t="s">
        <v>28</v>
      </c>
      <c r="M34" s="6">
        <v>1</v>
      </c>
      <c r="N34" t="s">
        <v>29</v>
      </c>
      <c r="O34" s="5">
        <v>1</v>
      </c>
      <c r="P34" s="7">
        <v>3.0000000007500001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3</v>
      </c>
      <c r="S34" t="str">
        <f>InputData[[#This Row],[Col]]&amp;"x"&amp;IF(LEN(InputData[[#This Row],[Alto]])=2,InputData[[#This Row],[Alto]],"0"&amp;InputData[[#This Row],[Alto]])</f>
        <v>1x03</v>
      </c>
    </row>
    <row r="35" spans="1:19" x14ac:dyDescent="0.2">
      <c r="A35" t="s">
        <v>19</v>
      </c>
      <c r="B35" t="s">
        <v>156</v>
      </c>
      <c r="C35" t="s">
        <v>157</v>
      </c>
      <c r="E35" t="s">
        <v>158</v>
      </c>
      <c r="G35" t="s">
        <v>39</v>
      </c>
      <c r="H35" t="s">
        <v>45</v>
      </c>
      <c r="I35" s="9">
        <v>33.71857142857143</v>
      </c>
      <c r="J35" t="s">
        <v>26</v>
      </c>
      <c r="K35" t="s">
        <v>125</v>
      </c>
      <c r="L35" t="s">
        <v>28</v>
      </c>
      <c r="M35" s="6">
        <v>1</v>
      </c>
      <c r="N35" t="s">
        <v>29</v>
      </c>
      <c r="O35" s="5">
        <v>1</v>
      </c>
      <c r="P35" s="7">
        <v>2.0000000005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2</v>
      </c>
      <c r="S35" t="str">
        <f>InputData[[#This Row],[Col]]&amp;"x"&amp;IF(LEN(InputData[[#This Row],[Alto]])=2,InputData[[#This Row],[Alto]],"0"&amp;InputData[[#This Row],[Alto]])</f>
        <v>1x02</v>
      </c>
    </row>
    <row r="36" spans="1:19" x14ac:dyDescent="0.2">
      <c r="A36" t="s">
        <v>19</v>
      </c>
      <c r="B36" t="s">
        <v>159</v>
      </c>
      <c r="C36" t="s">
        <v>160</v>
      </c>
      <c r="D36" t="s">
        <v>161</v>
      </c>
      <c r="E36" t="s">
        <v>162</v>
      </c>
      <c r="F36" t="s">
        <v>163</v>
      </c>
      <c r="G36" t="s">
        <v>39</v>
      </c>
      <c r="H36" t="s">
        <v>25</v>
      </c>
      <c r="I36" s="9">
        <v>147.50633333333332</v>
      </c>
      <c r="J36" t="s">
        <v>26</v>
      </c>
      <c r="K36" t="s">
        <v>164</v>
      </c>
      <c r="L36" t="s">
        <v>165</v>
      </c>
      <c r="M36" s="6">
        <v>4</v>
      </c>
      <c r="N36" t="s">
        <v>29</v>
      </c>
      <c r="O36" s="5">
        <v>1</v>
      </c>
      <c r="P36" s="7">
        <v>9.999999998972223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1x10</v>
      </c>
    </row>
    <row r="37" spans="1:19" x14ac:dyDescent="0.2">
      <c r="A37" t="s">
        <v>19</v>
      </c>
      <c r="B37" t="s">
        <v>166</v>
      </c>
      <c r="C37" t="s">
        <v>167</v>
      </c>
      <c r="D37" t="s">
        <v>168</v>
      </c>
      <c r="E37" t="s">
        <v>169</v>
      </c>
      <c r="G37" t="s">
        <v>39</v>
      </c>
      <c r="H37" t="s">
        <v>25</v>
      </c>
      <c r="I37" s="9">
        <v>225.77523809523811</v>
      </c>
      <c r="J37" t="s">
        <v>26</v>
      </c>
      <c r="K37" t="s">
        <v>164</v>
      </c>
      <c r="L37" t="s">
        <v>165</v>
      </c>
      <c r="M37" s="6">
        <v>4</v>
      </c>
      <c r="N37" t="s">
        <v>29</v>
      </c>
      <c r="O37" s="5">
        <v>1</v>
      </c>
      <c r="P37" s="7">
        <v>15.000000000222226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15</v>
      </c>
      <c r="S37" t="str">
        <f>InputData[[#This Row],[Col]]&amp;"x"&amp;IF(LEN(InputData[[#This Row],[Alto]])=2,InputData[[#This Row],[Alto]],"0"&amp;InputData[[#This Row],[Alto]])</f>
        <v>1x15</v>
      </c>
    </row>
    <row r="38" spans="1:19" x14ac:dyDescent="0.2">
      <c r="A38" t="s">
        <v>19</v>
      </c>
      <c r="B38" t="s">
        <v>170</v>
      </c>
      <c r="C38" t="s">
        <v>171</v>
      </c>
      <c r="D38" t="s">
        <v>172</v>
      </c>
      <c r="E38" t="s">
        <v>173</v>
      </c>
      <c r="G38" t="s">
        <v>39</v>
      </c>
      <c r="H38" t="s">
        <v>25</v>
      </c>
      <c r="I38" s="9">
        <v>227.88896551724139</v>
      </c>
      <c r="J38" t="s">
        <v>26</v>
      </c>
      <c r="K38" t="s">
        <v>164</v>
      </c>
      <c r="L38" t="s">
        <v>165</v>
      </c>
      <c r="M38" s="6">
        <v>4</v>
      </c>
      <c r="N38" t="s">
        <v>29</v>
      </c>
      <c r="O38" s="5">
        <v>1</v>
      </c>
      <c r="P38" s="7">
        <v>13.999999999972225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14</v>
      </c>
      <c r="S38" t="str">
        <f>InputData[[#This Row],[Col]]&amp;"x"&amp;IF(LEN(InputData[[#This Row],[Alto]])=2,InputData[[#This Row],[Alto]],"0"&amp;InputData[[#This Row],[Alto]])</f>
        <v>1x14</v>
      </c>
    </row>
    <row r="39" spans="1:19" x14ac:dyDescent="0.2">
      <c r="A39" t="s">
        <v>19</v>
      </c>
      <c r="B39" t="s">
        <v>174</v>
      </c>
      <c r="C39" t="s">
        <v>175</v>
      </c>
      <c r="E39" t="s">
        <v>176</v>
      </c>
      <c r="G39" t="s">
        <v>39</v>
      </c>
      <c r="H39" t="s">
        <v>45</v>
      </c>
      <c r="I39" s="9">
        <v>84.295714285714297</v>
      </c>
      <c r="J39" t="s">
        <v>26</v>
      </c>
      <c r="K39" t="s">
        <v>177</v>
      </c>
      <c r="L39" t="s">
        <v>165</v>
      </c>
      <c r="M39" s="6">
        <v>4</v>
      </c>
      <c r="N39" t="s">
        <v>29</v>
      </c>
      <c r="O39" s="5">
        <v>1</v>
      </c>
      <c r="P39" s="7">
        <v>5.0000000012500001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5</v>
      </c>
      <c r="S39" t="str">
        <f>InputData[[#This Row],[Col]]&amp;"x"&amp;IF(LEN(InputData[[#This Row],[Alto]])=2,InputData[[#This Row],[Alto]],"0"&amp;InputData[[#This Row],[Alto]])</f>
        <v>1x05</v>
      </c>
    </row>
    <row r="40" spans="1:19" x14ac:dyDescent="0.2">
      <c r="A40" t="s">
        <v>19</v>
      </c>
      <c r="B40" t="s">
        <v>178</v>
      </c>
      <c r="C40" t="s">
        <v>179</v>
      </c>
      <c r="D40" t="s">
        <v>180</v>
      </c>
      <c r="E40" t="s">
        <v>181</v>
      </c>
      <c r="G40" t="s">
        <v>39</v>
      </c>
      <c r="H40" t="s">
        <v>25</v>
      </c>
      <c r="I40" s="9">
        <v>51.926000000000002</v>
      </c>
      <c r="J40" t="s">
        <v>26</v>
      </c>
      <c r="K40" t="s">
        <v>177</v>
      </c>
      <c r="L40" t="s">
        <v>165</v>
      </c>
      <c r="M40" s="6">
        <v>4</v>
      </c>
      <c r="N40" t="s">
        <v>29</v>
      </c>
      <c r="O40" s="5">
        <v>1</v>
      </c>
      <c r="P40" s="7">
        <v>3.0000000007500001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3</v>
      </c>
      <c r="S40" t="str">
        <f>InputData[[#This Row],[Col]]&amp;"x"&amp;IF(LEN(InputData[[#This Row],[Alto]])=2,InputData[[#This Row],[Alto]],"0"&amp;InputData[[#This Row],[Alto]])</f>
        <v>1x03</v>
      </c>
    </row>
    <row r="41" spans="1:19" x14ac:dyDescent="0.2">
      <c r="A41" t="s">
        <v>19</v>
      </c>
      <c r="B41" t="s">
        <v>182</v>
      </c>
      <c r="C41" t="s">
        <v>183</v>
      </c>
      <c r="D41" t="s">
        <v>184</v>
      </c>
      <c r="E41" t="s">
        <v>185</v>
      </c>
      <c r="G41" t="s">
        <v>39</v>
      </c>
      <c r="H41" t="s">
        <v>25</v>
      </c>
      <c r="I41" s="9">
        <v>53.107500000000002</v>
      </c>
      <c r="J41" t="s">
        <v>26</v>
      </c>
      <c r="K41" t="s">
        <v>177</v>
      </c>
      <c r="L41" t="s">
        <v>165</v>
      </c>
      <c r="M41" s="6">
        <v>4</v>
      </c>
      <c r="N41" t="s">
        <v>29</v>
      </c>
      <c r="O41" s="5">
        <v>1</v>
      </c>
      <c r="P41" s="7">
        <v>3.0000000007500001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3</v>
      </c>
      <c r="S41" t="str">
        <f>InputData[[#This Row],[Col]]&amp;"x"&amp;IF(LEN(InputData[[#This Row],[Alto]])=2,InputData[[#This Row],[Alto]],"0"&amp;InputData[[#This Row],[Alto]])</f>
        <v>1x03</v>
      </c>
    </row>
    <row r="42" spans="1:19" x14ac:dyDescent="0.2">
      <c r="A42" t="s">
        <v>19</v>
      </c>
      <c r="B42" t="s">
        <v>186</v>
      </c>
      <c r="C42" t="s">
        <v>187</v>
      </c>
      <c r="D42" t="s">
        <v>188</v>
      </c>
      <c r="E42" t="s">
        <v>189</v>
      </c>
      <c r="G42" t="s">
        <v>39</v>
      </c>
      <c r="H42" t="s">
        <v>25</v>
      </c>
      <c r="I42" s="9">
        <v>84.295714285714297</v>
      </c>
      <c r="J42" t="s">
        <v>26</v>
      </c>
      <c r="K42" t="s">
        <v>177</v>
      </c>
      <c r="L42" t="s">
        <v>165</v>
      </c>
      <c r="M42" s="6">
        <v>4</v>
      </c>
      <c r="N42" t="s">
        <v>29</v>
      </c>
      <c r="O42" s="5">
        <v>1</v>
      </c>
      <c r="P42" s="7">
        <v>5.0000000012500001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5</v>
      </c>
      <c r="S42" t="str">
        <f>InputData[[#This Row],[Col]]&amp;"x"&amp;IF(LEN(InputData[[#This Row],[Alto]])=2,InputData[[#This Row],[Alto]],"0"&amp;InputData[[#This Row],[Alto]])</f>
        <v>1x05</v>
      </c>
    </row>
    <row r="43" spans="1:19" x14ac:dyDescent="0.2">
      <c r="A43" t="s">
        <v>19</v>
      </c>
      <c r="B43" t="s">
        <v>190</v>
      </c>
      <c r="C43" t="s">
        <v>191</v>
      </c>
      <c r="E43" t="s">
        <v>192</v>
      </c>
      <c r="G43" t="s">
        <v>39</v>
      </c>
      <c r="H43" t="s">
        <v>45</v>
      </c>
      <c r="I43" s="9">
        <v>66.087999999999994</v>
      </c>
      <c r="J43" t="s">
        <v>26</v>
      </c>
      <c r="K43" t="s">
        <v>177</v>
      </c>
      <c r="L43" t="s">
        <v>165</v>
      </c>
      <c r="M43" s="6">
        <v>4</v>
      </c>
      <c r="N43" t="s">
        <v>29</v>
      </c>
      <c r="O43" s="5">
        <v>1</v>
      </c>
      <c r="P43" s="7">
        <v>4.0000000010000001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4</v>
      </c>
      <c r="S43" t="str">
        <f>InputData[[#This Row],[Col]]&amp;"x"&amp;IF(LEN(InputData[[#This Row],[Alto]])=2,InputData[[#This Row],[Alto]],"0"&amp;InputData[[#This Row],[Alto]])</f>
        <v>1x04</v>
      </c>
    </row>
    <row r="44" spans="1:19" x14ac:dyDescent="0.2">
      <c r="A44" t="s">
        <v>19</v>
      </c>
      <c r="B44" t="s">
        <v>193</v>
      </c>
      <c r="C44" t="s">
        <v>194</v>
      </c>
      <c r="E44" t="s">
        <v>195</v>
      </c>
      <c r="G44" t="s">
        <v>39</v>
      </c>
      <c r="H44" t="s">
        <v>45</v>
      </c>
      <c r="I44" s="9">
        <v>66.087999999999994</v>
      </c>
      <c r="J44" t="s">
        <v>26</v>
      </c>
      <c r="K44" t="s">
        <v>177</v>
      </c>
      <c r="L44" t="s">
        <v>165</v>
      </c>
      <c r="M44" s="6">
        <v>4</v>
      </c>
      <c r="N44" t="s">
        <v>29</v>
      </c>
      <c r="O44" s="5">
        <v>1</v>
      </c>
      <c r="P44" s="7">
        <v>4.0000000010000001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4</v>
      </c>
      <c r="S44" t="str">
        <f>InputData[[#This Row],[Col]]&amp;"x"&amp;IF(LEN(InputData[[#This Row],[Alto]])=2,InputData[[#This Row],[Alto]],"0"&amp;InputData[[#This Row],[Alto]])</f>
        <v>1x04</v>
      </c>
    </row>
    <row r="45" spans="1:19" x14ac:dyDescent="0.2">
      <c r="A45" t="s">
        <v>19</v>
      </c>
      <c r="B45" t="s">
        <v>196</v>
      </c>
      <c r="C45" t="s">
        <v>89</v>
      </c>
      <c r="D45" t="s">
        <v>197</v>
      </c>
      <c r="E45" t="s">
        <v>198</v>
      </c>
      <c r="G45" t="s">
        <v>39</v>
      </c>
      <c r="H45" t="s">
        <v>25</v>
      </c>
      <c r="I45" s="9">
        <v>67.437142857142859</v>
      </c>
      <c r="J45" t="s">
        <v>26</v>
      </c>
      <c r="K45" t="s">
        <v>199</v>
      </c>
      <c r="M45" s="6">
        <v>0</v>
      </c>
      <c r="N45" t="s">
        <v>29</v>
      </c>
      <c r="O45" s="5">
        <v>1</v>
      </c>
      <c r="P45" s="7">
        <v>4.0000000010000001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4</v>
      </c>
      <c r="S45" t="str">
        <f>InputData[[#This Row],[Col]]&amp;"x"&amp;IF(LEN(InputData[[#This Row],[Alto]])=2,InputData[[#This Row],[Alto]],"0"&amp;InputData[[#This Row],[Alto]])</f>
        <v>1x04</v>
      </c>
    </row>
    <row r="46" spans="1:19" x14ac:dyDescent="0.2">
      <c r="A46" t="s">
        <v>19</v>
      </c>
      <c r="B46" t="s">
        <v>200</v>
      </c>
      <c r="C46" t="s">
        <v>201</v>
      </c>
      <c r="D46" t="s">
        <v>202</v>
      </c>
      <c r="E46" t="s">
        <v>203</v>
      </c>
      <c r="F46" t="s">
        <v>204</v>
      </c>
      <c r="G46" t="s">
        <v>39</v>
      </c>
      <c r="H46" t="s">
        <v>25</v>
      </c>
      <c r="I46" s="9">
        <v>136.73344827586206</v>
      </c>
      <c r="J46" t="s">
        <v>26</v>
      </c>
      <c r="K46" t="s">
        <v>205</v>
      </c>
      <c r="L46" t="s">
        <v>50</v>
      </c>
      <c r="M46" s="6">
        <v>5</v>
      </c>
      <c r="N46" t="s">
        <v>29</v>
      </c>
      <c r="O46" s="5">
        <v>1</v>
      </c>
      <c r="P46" s="7">
        <v>7.9999999984722239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8</v>
      </c>
      <c r="S46" t="str">
        <f>InputData[[#This Row],[Col]]&amp;"x"&amp;IF(LEN(InputData[[#This Row],[Alto]])=2,InputData[[#This Row],[Alto]],"0"&amp;InputData[[#This Row],[Alto]])</f>
        <v>1x08</v>
      </c>
    </row>
    <row r="47" spans="1:19" x14ac:dyDescent="0.2">
      <c r="A47" t="s">
        <v>19</v>
      </c>
      <c r="B47" t="s">
        <v>206</v>
      </c>
      <c r="C47" t="s">
        <v>207</v>
      </c>
      <c r="E47" t="s">
        <v>208</v>
      </c>
      <c r="F47" t="s">
        <v>209</v>
      </c>
      <c r="G47" t="s">
        <v>39</v>
      </c>
      <c r="H47" t="s">
        <v>45</v>
      </c>
      <c r="I47" s="9">
        <v>84.295714285714297</v>
      </c>
      <c r="J47" t="s">
        <v>26</v>
      </c>
      <c r="K47" t="s">
        <v>205</v>
      </c>
      <c r="L47" t="s">
        <v>50</v>
      </c>
      <c r="M47" s="6">
        <v>5</v>
      </c>
      <c r="N47" t="s">
        <v>29</v>
      </c>
      <c r="O47" s="5">
        <v>1</v>
      </c>
      <c r="P47" s="7">
        <v>5.0000000012500001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5</v>
      </c>
      <c r="S47" t="str">
        <f>InputData[[#This Row],[Col]]&amp;"x"&amp;IF(LEN(InputData[[#This Row],[Alto]])=2,InputData[[#This Row],[Alto]],"0"&amp;InputData[[#This Row],[Alto]])</f>
        <v>1x05</v>
      </c>
    </row>
    <row r="48" spans="1:19" x14ac:dyDescent="0.2">
      <c r="A48" t="s">
        <v>19</v>
      </c>
      <c r="B48" t="s">
        <v>210</v>
      </c>
      <c r="C48" t="s">
        <v>211</v>
      </c>
      <c r="D48" t="s">
        <v>212</v>
      </c>
      <c r="E48" t="s">
        <v>213</v>
      </c>
      <c r="G48" t="s">
        <v>39</v>
      </c>
      <c r="H48" t="s">
        <v>25</v>
      </c>
      <c r="I48" s="9">
        <v>106.22688888888889</v>
      </c>
      <c r="J48" t="s">
        <v>26</v>
      </c>
      <c r="K48" t="s">
        <v>214</v>
      </c>
      <c r="L48" t="s">
        <v>165</v>
      </c>
      <c r="M48" s="6">
        <v>4</v>
      </c>
      <c r="N48" t="s">
        <v>29</v>
      </c>
      <c r="O48" s="5">
        <v>1</v>
      </c>
      <c r="P48" s="7">
        <v>8.9999999987222221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9</v>
      </c>
      <c r="S48" t="str">
        <f>InputData[[#This Row],[Col]]&amp;"x"&amp;IF(LEN(InputData[[#This Row],[Alto]])=2,InputData[[#This Row],[Alto]],"0"&amp;InputData[[#This Row],[Alto]])</f>
        <v>1x09</v>
      </c>
    </row>
    <row r="49" spans="1:19" x14ac:dyDescent="0.2">
      <c r="A49" t="s">
        <v>19</v>
      </c>
      <c r="B49" t="s">
        <v>215</v>
      </c>
      <c r="C49" t="s">
        <v>216</v>
      </c>
      <c r="E49" t="s">
        <v>217</v>
      </c>
      <c r="F49" t="s">
        <v>218</v>
      </c>
      <c r="G49" t="s">
        <v>39</v>
      </c>
      <c r="H49" t="s">
        <v>45</v>
      </c>
      <c r="I49" s="9">
        <v>168.59142857142859</v>
      </c>
      <c r="J49" t="s">
        <v>26</v>
      </c>
      <c r="K49" t="s">
        <v>219</v>
      </c>
      <c r="L49" t="s">
        <v>165</v>
      </c>
      <c r="M49" s="6">
        <v>4</v>
      </c>
      <c r="N49" t="s">
        <v>29</v>
      </c>
      <c r="O49" s="5">
        <v>1</v>
      </c>
      <c r="P49" s="7">
        <v>9.999999998972223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1x10</v>
      </c>
    </row>
    <row r="50" spans="1:19" x14ac:dyDescent="0.2">
      <c r="A50" t="s">
        <v>19</v>
      </c>
      <c r="B50" t="s">
        <v>220</v>
      </c>
      <c r="C50" t="s">
        <v>67</v>
      </c>
      <c r="E50" t="s">
        <v>221</v>
      </c>
      <c r="F50" t="s">
        <v>222</v>
      </c>
      <c r="G50" t="s">
        <v>39</v>
      </c>
      <c r="H50" t="s">
        <v>45</v>
      </c>
      <c r="I50" s="9">
        <v>33.71857142857143</v>
      </c>
      <c r="J50" t="s">
        <v>26</v>
      </c>
      <c r="K50" t="s">
        <v>219</v>
      </c>
      <c r="L50" t="s">
        <v>165</v>
      </c>
      <c r="M50" s="6">
        <v>4</v>
      </c>
      <c r="N50" t="s">
        <v>29</v>
      </c>
      <c r="O50" s="5">
        <v>1</v>
      </c>
      <c r="P50" s="7">
        <v>2.0000000005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2</v>
      </c>
      <c r="S50" t="str">
        <f>InputData[[#This Row],[Col]]&amp;"x"&amp;IF(LEN(InputData[[#This Row],[Alto]])=2,InputData[[#This Row],[Alto]],"0"&amp;InputData[[#This Row],[Alto]])</f>
        <v>1x02</v>
      </c>
    </row>
    <row r="51" spans="1:19" x14ac:dyDescent="0.2">
      <c r="A51" t="s">
        <v>19</v>
      </c>
      <c r="B51" t="s">
        <v>223</v>
      </c>
      <c r="C51" t="s">
        <v>224</v>
      </c>
      <c r="E51" t="s">
        <v>225</v>
      </c>
      <c r="F51" t="s">
        <v>226</v>
      </c>
      <c r="G51" t="s">
        <v>39</v>
      </c>
      <c r="H51" t="s">
        <v>45</v>
      </c>
      <c r="I51" s="9">
        <v>33.71857142857143</v>
      </c>
      <c r="J51" t="s">
        <v>26</v>
      </c>
      <c r="K51" t="s">
        <v>227</v>
      </c>
      <c r="L51" t="s">
        <v>50</v>
      </c>
      <c r="M51" s="6">
        <v>5</v>
      </c>
      <c r="N51" t="s">
        <v>29</v>
      </c>
      <c r="O51" s="5">
        <v>1</v>
      </c>
      <c r="P51" s="7">
        <v>2.0000000005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2</v>
      </c>
      <c r="S51" t="str">
        <f>InputData[[#This Row],[Col]]&amp;"x"&amp;IF(LEN(InputData[[#This Row],[Alto]])=2,InputData[[#This Row],[Alto]],"0"&amp;InputData[[#This Row],[Alto]])</f>
        <v>1x02</v>
      </c>
    </row>
    <row r="52" spans="1:19" x14ac:dyDescent="0.2">
      <c r="A52" t="s">
        <v>19</v>
      </c>
      <c r="B52" t="s">
        <v>228</v>
      </c>
      <c r="C52" t="s">
        <v>229</v>
      </c>
      <c r="D52" t="s">
        <v>230</v>
      </c>
      <c r="E52" t="s">
        <v>231</v>
      </c>
      <c r="G52" t="s">
        <v>39</v>
      </c>
      <c r="H52" t="s">
        <v>25</v>
      </c>
      <c r="I52" s="9">
        <v>85.458275862068973</v>
      </c>
      <c r="J52" t="s">
        <v>26</v>
      </c>
      <c r="K52" t="s">
        <v>232</v>
      </c>
      <c r="L52" t="s">
        <v>76</v>
      </c>
      <c r="M52" s="6">
        <v>3</v>
      </c>
      <c r="N52" t="s">
        <v>29</v>
      </c>
      <c r="O52" s="5">
        <v>1</v>
      </c>
      <c r="P52" s="7">
        <v>5.0000000012500001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5</v>
      </c>
      <c r="S52" t="str">
        <f>InputData[[#This Row],[Col]]&amp;"x"&amp;IF(LEN(InputData[[#This Row],[Alto]])=2,InputData[[#This Row],[Alto]],"0"&amp;InputData[[#This Row],[Alto]])</f>
        <v>1x05</v>
      </c>
    </row>
    <row r="53" spans="1:19" x14ac:dyDescent="0.2">
      <c r="A53" t="s">
        <v>19</v>
      </c>
      <c r="B53" t="s">
        <v>233</v>
      </c>
      <c r="C53" t="s">
        <v>229</v>
      </c>
      <c r="D53" t="s">
        <v>234</v>
      </c>
      <c r="E53" t="s">
        <v>235</v>
      </c>
      <c r="G53" t="s">
        <v>39</v>
      </c>
      <c r="H53" t="s">
        <v>25</v>
      </c>
      <c r="I53" s="9">
        <v>85.458275862068973</v>
      </c>
      <c r="J53" t="s">
        <v>26</v>
      </c>
      <c r="K53" t="s">
        <v>232</v>
      </c>
      <c r="L53" t="s">
        <v>76</v>
      </c>
      <c r="M53" s="6">
        <v>3</v>
      </c>
      <c r="N53" t="s">
        <v>29</v>
      </c>
      <c r="O53" s="5">
        <v>1</v>
      </c>
      <c r="P53" s="7">
        <v>5.0000000012500001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5</v>
      </c>
      <c r="S53" t="str">
        <f>InputData[[#This Row],[Col]]&amp;"x"&amp;IF(LEN(InputData[[#This Row],[Alto]])=2,InputData[[#This Row],[Alto]],"0"&amp;InputData[[#This Row],[Alto]])</f>
        <v>1x05</v>
      </c>
    </row>
    <row r="54" spans="1:19" x14ac:dyDescent="0.2">
      <c r="A54" t="s">
        <v>19</v>
      </c>
      <c r="B54" t="s">
        <v>236</v>
      </c>
      <c r="C54" t="s">
        <v>237</v>
      </c>
      <c r="D54" t="s">
        <v>238</v>
      </c>
      <c r="E54" t="s">
        <v>239</v>
      </c>
      <c r="F54" t="s">
        <v>240</v>
      </c>
      <c r="G54" t="s">
        <v>39</v>
      </c>
      <c r="H54" t="s">
        <v>25</v>
      </c>
      <c r="I54" s="9">
        <v>85.458275862068973</v>
      </c>
      <c r="J54" t="s">
        <v>26</v>
      </c>
      <c r="K54" t="s">
        <v>232</v>
      </c>
      <c r="L54" t="s">
        <v>76</v>
      </c>
      <c r="M54" s="6">
        <v>3</v>
      </c>
      <c r="N54" t="s">
        <v>29</v>
      </c>
      <c r="O54" s="5">
        <v>1</v>
      </c>
      <c r="P54" s="7">
        <v>5.0000000012500001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5</v>
      </c>
      <c r="S54" t="str">
        <f>InputData[[#This Row],[Col]]&amp;"x"&amp;IF(LEN(InputData[[#This Row],[Alto]])=2,InputData[[#This Row],[Alto]],"0"&amp;InputData[[#This Row],[Alto]])</f>
        <v>1x05</v>
      </c>
    </row>
    <row r="55" spans="1:19" x14ac:dyDescent="0.2">
      <c r="A55" t="s">
        <v>19</v>
      </c>
      <c r="B55" t="s">
        <v>241</v>
      </c>
      <c r="C55" t="s">
        <v>242</v>
      </c>
      <c r="E55" t="s">
        <v>243</v>
      </c>
      <c r="G55" t="s">
        <v>39</v>
      </c>
      <c r="H55" t="s">
        <v>45</v>
      </c>
      <c r="I55" s="9">
        <v>132.17566666666667</v>
      </c>
      <c r="J55" t="s">
        <v>26</v>
      </c>
      <c r="K55" t="s">
        <v>244</v>
      </c>
      <c r="M55" s="6">
        <v>0</v>
      </c>
      <c r="N55" t="s">
        <v>29</v>
      </c>
      <c r="O55" s="5">
        <v>1</v>
      </c>
      <c r="P55" s="7">
        <v>7.9999999984722239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8</v>
      </c>
      <c r="S55" t="str">
        <f>InputData[[#This Row],[Col]]&amp;"x"&amp;IF(LEN(InputData[[#This Row],[Alto]])=2,InputData[[#This Row],[Alto]],"0"&amp;InputData[[#This Row],[Alto]])</f>
        <v>1x08</v>
      </c>
    </row>
    <row r="56" spans="1:19" x14ac:dyDescent="0.2">
      <c r="A56" t="s">
        <v>19</v>
      </c>
      <c r="B56" t="s">
        <v>245</v>
      </c>
      <c r="C56" t="s">
        <v>246</v>
      </c>
      <c r="D56" t="s">
        <v>247</v>
      </c>
      <c r="E56" t="s">
        <v>248</v>
      </c>
      <c r="F56" t="s">
        <v>249</v>
      </c>
      <c r="G56" t="s">
        <v>39</v>
      </c>
      <c r="H56" t="s">
        <v>25</v>
      </c>
      <c r="I56" s="9">
        <v>170.91689655172414</v>
      </c>
      <c r="J56" t="s">
        <v>26</v>
      </c>
      <c r="K56" t="s">
        <v>244</v>
      </c>
      <c r="M56" s="6">
        <v>0</v>
      </c>
      <c r="N56" t="s">
        <v>29</v>
      </c>
      <c r="O56" s="5">
        <v>1</v>
      </c>
      <c r="P56" s="7">
        <v>9.999999998972223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1x10</v>
      </c>
    </row>
    <row r="57" spans="1:19" x14ac:dyDescent="0.2">
      <c r="A57" t="s">
        <v>19</v>
      </c>
      <c r="B57" t="s">
        <v>250</v>
      </c>
      <c r="C57" t="s">
        <v>251</v>
      </c>
      <c r="D57" t="s">
        <v>252</v>
      </c>
      <c r="E57" t="s">
        <v>253</v>
      </c>
      <c r="G57" t="s">
        <v>39</v>
      </c>
      <c r="H57" t="s">
        <v>25</v>
      </c>
      <c r="I57" s="9">
        <v>256.37517241379305</v>
      </c>
      <c r="J57" t="s">
        <v>26</v>
      </c>
      <c r="K57" t="s">
        <v>244</v>
      </c>
      <c r="M57" s="6">
        <v>0</v>
      </c>
      <c r="N57" t="s">
        <v>29</v>
      </c>
      <c r="O57" s="5">
        <v>1</v>
      </c>
      <c r="P57" s="7">
        <v>15.000000000222226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15</v>
      </c>
      <c r="S57" t="str">
        <f>InputData[[#This Row],[Col]]&amp;"x"&amp;IF(LEN(InputData[[#This Row],[Alto]])=2,InputData[[#This Row],[Alto]],"0"&amp;InputData[[#This Row],[Alto]])</f>
        <v>1x15</v>
      </c>
    </row>
    <row r="58" spans="1:19" x14ac:dyDescent="0.2">
      <c r="A58" t="s">
        <v>19</v>
      </c>
      <c r="B58" t="s">
        <v>254</v>
      </c>
      <c r="C58" t="s">
        <v>255</v>
      </c>
      <c r="E58" t="s">
        <v>256</v>
      </c>
      <c r="G58" t="s">
        <v>39</v>
      </c>
      <c r="H58" t="s">
        <v>45</v>
      </c>
      <c r="I58" s="9">
        <v>33.71857142857143</v>
      </c>
      <c r="J58" t="s">
        <v>26</v>
      </c>
      <c r="K58" t="s">
        <v>244</v>
      </c>
      <c r="M58" s="6">
        <v>0</v>
      </c>
      <c r="N58" t="s">
        <v>29</v>
      </c>
      <c r="O58" s="5">
        <v>1</v>
      </c>
      <c r="P58" s="7">
        <v>2.0000000005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2</v>
      </c>
      <c r="S58" t="str">
        <f>InputData[[#This Row],[Col]]&amp;"x"&amp;IF(LEN(InputData[[#This Row],[Alto]])=2,InputData[[#This Row],[Alto]],"0"&amp;InputData[[#This Row],[Alto]])</f>
        <v>1x02</v>
      </c>
    </row>
    <row r="59" spans="1:19" x14ac:dyDescent="0.2">
      <c r="A59" t="s">
        <v>19</v>
      </c>
      <c r="B59" t="s">
        <v>257</v>
      </c>
      <c r="C59" t="s">
        <v>258</v>
      </c>
      <c r="E59" t="s">
        <v>259</v>
      </c>
      <c r="F59" t="s">
        <v>260</v>
      </c>
      <c r="G59" t="s">
        <v>39</v>
      </c>
      <c r="H59" t="s">
        <v>45</v>
      </c>
      <c r="I59" s="9">
        <v>99.131666666666675</v>
      </c>
      <c r="J59" t="s">
        <v>26</v>
      </c>
      <c r="K59" t="s">
        <v>244</v>
      </c>
      <c r="L59" t="s">
        <v>50</v>
      </c>
      <c r="M59" s="6">
        <v>5</v>
      </c>
      <c r="N59" t="s">
        <v>29</v>
      </c>
      <c r="O59" s="5">
        <v>1</v>
      </c>
      <c r="P59" s="7">
        <v>6.0000000015000001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6</v>
      </c>
      <c r="S59" t="str">
        <f>InputData[[#This Row],[Col]]&amp;"x"&amp;IF(LEN(InputData[[#This Row],[Alto]])=2,InputData[[#This Row],[Alto]],"0"&amp;InputData[[#This Row],[Alto]])</f>
        <v>1x06</v>
      </c>
    </row>
    <row r="60" spans="1:19" x14ac:dyDescent="0.2">
      <c r="A60" t="s">
        <v>19</v>
      </c>
      <c r="B60" t="s">
        <v>261</v>
      </c>
      <c r="C60" t="s">
        <v>262</v>
      </c>
      <c r="E60" t="s">
        <v>263</v>
      </c>
      <c r="F60" t="s">
        <v>264</v>
      </c>
      <c r="G60" t="s">
        <v>39</v>
      </c>
      <c r="H60" t="s">
        <v>45</v>
      </c>
      <c r="I60" s="9">
        <v>50.577142857142853</v>
      </c>
      <c r="J60" t="s">
        <v>26</v>
      </c>
      <c r="K60" t="s">
        <v>244</v>
      </c>
      <c r="M60" s="6">
        <v>0</v>
      </c>
      <c r="N60" t="s">
        <v>29</v>
      </c>
      <c r="O60" s="5">
        <v>1</v>
      </c>
      <c r="P60" s="7">
        <v>3.0000000007500001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3</v>
      </c>
      <c r="S60" t="str">
        <f>InputData[[#This Row],[Col]]&amp;"x"&amp;IF(LEN(InputData[[#This Row],[Alto]])=2,InputData[[#This Row],[Alto]],"0"&amp;InputData[[#This Row],[Alto]])</f>
        <v>1x03</v>
      </c>
    </row>
    <row r="61" spans="1:19" x14ac:dyDescent="0.2">
      <c r="A61" t="s">
        <v>19</v>
      </c>
      <c r="B61" t="s">
        <v>265</v>
      </c>
      <c r="C61" t="s">
        <v>266</v>
      </c>
      <c r="E61" t="s">
        <v>267</v>
      </c>
      <c r="F61" t="s">
        <v>268</v>
      </c>
      <c r="G61" t="s">
        <v>39</v>
      </c>
      <c r="H61" t="s">
        <v>45</v>
      </c>
      <c r="I61" s="9">
        <v>247.82933333333332</v>
      </c>
      <c r="J61" t="s">
        <v>26</v>
      </c>
      <c r="K61" t="s">
        <v>244</v>
      </c>
      <c r="L61" t="s">
        <v>50</v>
      </c>
      <c r="M61" s="6">
        <v>5</v>
      </c>
      <c r="N61" t="s">
        <v>29</v>
      </c>
      <c r="O61" s="5">
        <v>1</v>
      </c>
      <c r="P61" s="7">
        <v>15.000000000222226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15</v>
      </c>
      <c r="S61" t="str">
        <f>InputData[[#This Row],[Col]]&amp;"x"&amp;IF(LEN(InputData[[#This Row],[Alto]])=2,InputData[[#This Row],[Alto]],"0"&amp;InputData[[#This Row],[Alto]])</f>
        <v>1x15</v>
      </c>
    </row>
    <row r="62" spans="1:19" x14ac:dyDescent="0.2">
      <c r="A62" t="s">
        <v>19</v>
      </c>
      <c r="B62" t="s">
        <v>269</v>
      </c>
      <c r="C62" t="s">
        <v>270</v>
      </c>
      <c r="E62" t="s">
        <v>271</v>
      </c>
      <c r="G62" t="s">
        <v>39</v>
      </c>
      <c r="H62" t="s">
        <v>45</v>
      </c>
      <c r="I62" s="9">
        <v>43.624482758620701</v>
      </c>
      <c r="J62" t="s">
        <v>9</v>
      </c>
      <c r="K62" t="s">
        <v>272</v>
      </c>
      <c r="L62" t="s">
        <v>28</v>
      </c>
      <c r="M62" s="6">
        <v>1</v>
      </c>
      <c r="N62" t="s">
        <v>29</v>
      </c>
      <c r="O62" s="5">
        <v>1</v>
      </c>
      <c r="P62" s="7">
        <v>2.0000000005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2</v>
      </c>
      <c r="S62" t="str">
        <f>InputData[[#This Row],[Col]]&amp;"x"&amp;IF(LEN(InputData[[#This Row],[Alto]])=2,InputData[[#This Row],[Alto]],"0"&amp;InputData[[#This Row],[Alto]])</f>
        <v>1x02</v>
      </c>
    </row>
    <row r="63" spans="1:19" x14ac:dyDescent="0.2">
      <c r="A63" t="s">
        <v>19</v>
      </c>
      <c r="B63" t="s">
        <v>273</v>
      </c>
      <c r="C63" t="s">
        <v>274</v>
      </c>
      <c r="D63" t="s">
        <v>275</v>
      </c>
      <c r="E63" t="s">
        <v>276</v>
      </c>
      <c r="G63" t="s">
        <v>39</v>
      </c>
      <c r="H63" t="s">
        <v>25</v>
      </c>
      <c r="I63" s="9">
        <v>34.617333333333335</v>
      </c>
      <c r="J63" t="s">
        <v>26</v>
      </c>
      <c r="K63" t="s">
        <v>272</v>
      </c>
      <c r="L63" t="s">
        <v>28</v>
      </c>
      <c r="M63" s="6">
        <v>1</v>
      </c>
      <c r="N63" t="s">
        <v>29</v>
      </c>
      <c r="O63" s="5">
        <v>1</v>
      </c>
      <c r="P63" s="7">
        <v>2.0000000005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2</v>
      </c>
      <c r="S63" t="str">
        <f>InputData[[#This Row],[Col]]&amp;"x"&amp;IF(LEN(InputData[[#This Row],[Alto]])=2,InputData[[#This Row],[Alto]],"0"&amp;InputData[[#This Row],[Alto]])</f>
        <v>1x02</v>
      </c>
    </row>
    <row r="64" spans="1:19" x14ac:dyDescent="0.2">
      <c r="A64" t="s">
        <v>19</v>
      </c>
      <c r="B64" t="s">
        <v>277</v>
      </c>
      <c r="C64" t="s">
        <v>278</v>
      </c>
      <c r="E64" t="s">
        <v>279</v>
      </c>
      <c r="G64" t="s">
        <v>280</v>
      </c>
      <c r="H64" t="s">
        <v>45</v>
      </c>
      <c r="I64" s="9">
        <v>362.88</v>
      </c>
      <c r="J64" t="s">
        <v>26</v>
      </c>
      <c r="K64" t="s">
        <v>281</v>
      </c>
      <c r="L64" t="s">
        <v>282</v>
      </c>
      <c r="M64" s="6">
        <v>8</v>
      </c>
      <c r="N64" t="s">
        <v>29</v>
      </c>
      <c r="O64" s="5">
        <v>2</v>
      </c>
      <c r="P64" s="7">
        <v>9.999999998972223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10</v>
      </c>
      <c r="S64" t="str">
        <f>InputData[[#This Row],[Col]]&amp;"x"&amp;IF(LEN(InputData[[#This Row],[Alto]])=2,InputData[[#This Row],[Alto]],"0"&amp;InputData[[#This Row],[Alto]])</f>
        <v>2x10</v>
      </c>
    </row>
    <row r="65" spans="1:19" x14ac:dyDescent="0.2">
      <c r="A65" t="s">
        <v>19</v>
      </c>
      <c r="B65" t="s">
        <v>283</v>
      </c>
      <c r="C65" t="s">
        <v>284</v>
      </c>
      <c r="E65" t="s">
        <v>285</v>
      </c>
      <c r="G65" t="s">
        <v>280</v>
      </c>
      <c r="H65" t="s">
        <v>45</v>
      </c>
      <c r="I65" s="9">
        <v>362.88333333333338</v>
      </c>
      <c r="J65" t="s">
        <v>26</v>
      </c>
      <c r="K65" t="s">
        <v>281</v>
      </c>
      <c r="L65" t="s">
        <v>282</v>
      </c>
      <c r="M65" s="6">
        <v>8</v>
      </c>
      <c r="N65" t="s">
        <v>29</v>
      </c>
      <c r="O65" s="5">
        <v>2</v>
      </c>
      <c r="P65" s="7">
        <v>9.999999998972223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10</v>
      </c>
      <c r="S65" t="str">
        <f>InputData[[#This Row],[Col]]&amp;"x"&amp;IF(LEN(InputData[[#This Row],[Alto]])=2,InputData[[#This Row],[Alto]],"0"&amp;InputData[[#This Row],[Alto]])</f>
        <v>2x10</v>
      </c>
    </row>
    <row r="66" spans="1:19" x14ac:dyDescent="0.2">
      <c r="A66" t="s">
        <v>19</v>
      </c>
      <c r="B66" t="s">
        <v>286</v>
      </c>
      <c r="C66" t="s">
        <v>287</v>
      </c>
      <c r="E66" t="s">
        <v>288</v>
      </c>
      <c r="G66" t="s">
        <v>280</v>
      </c>
      <c r="H66" t="s">
        <v>45</v>
      </c>
      <c r="I66" s="9">
        <v>362.88333333333338</v>
      </c>
      <c r="J66" t="s">
        <v>26</v>
      </c>
      <c r="K66" t="s">
        <v>281</v>
      </c>
      <c r="L66" t="s">
        <v>282</v>
      </c>
      <c r="M66" s="6">
        <v>8</v>
      </c>
      <c r="N66" t="s">
        <v>29</v>
      </c>
      <c r="O66" s="5">
        <v>2</v>
      </c>
      <c r="P66" s="7">
        <v>9.999999998972223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10</v>
      </c>
      <c r="S66" t="str">
        <f>InputData[[#This Row],[Col]]&amp;"x"&amp;IF(LEN(InputData[[#This Row],[Alto]])=2,InputData[[#This Row],[Alto]],"0"&amp;InputData[[#This Row],[Alto]])</f>
        <v>2x10</v>
      </c>
    </row>
    <row r="67" spans="1:19" x14ac:dyDescent="0.2">
      <c r="A67" t="s">
        <v>19</v>
      </c>
      <c r="B67" t="s">
        <v>289</v>
      </c>
      <c r="C67" t="s">
        <v>290</v>
      </c>
      <c r="E67" t="s">
        <v>291</v>
      </c>
      <c r="G67" t="s">
        <v>39</v>
      </c>
      <c r="H67" t="s">
        <v>45</v>
      </c>
      <c r="I67" s="9">
        <v>50.577142857142853</v>
      </c>
      <c r="J67" t="s">
        <v>26</v>
      </c>
      <c r="K67" t="s">
        <v>292</v>
      </c>
      <c r="L67" t="s">
        <v>76</v>
      </c>
      <c r="M67" s="6">
        <v>3</v>
      </c>
      <c r="N67" t="s">
        <v>29</v>
      </c>
      <c r="O67" s="5">
        <v>1</v>
      </c>
      <c r="P67" s="7">
        <v>3.0000000007500001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3</v>
      </c>
      <c r="S67" t="str">
        <f>InputData[[#This Row],[Col]]&amp;"x"&amp;IF(LEN(InputData[[#This Row],[Alto]])=2,InputData[[#This Row],[Alto]],"0"&amp;InputData[[#This Row],[Alto]])</f>
        <v>1x03</v>
      </c>
    </row>
    <row r="68" spans="1:19" x14ac:dyDescent="0.2">
      <c r="A68" t="s">
        <v>19</v>
      </c>
      <c r="B68" t="s">
        <v>293</v>
      </c>
      <c r="C68" t="s">
        <v>145</v>
      </c>
      <c r="E68" t="s">
        <v>294</v>
      </c>
      <c r="G68" t="s">
        <v>39</v>
      </c>
      <c r="H68" t="s">
        <v>45</v>
      </c>
      <c r="I68" s="9">
        <v>84.295714285714297</v>
      </c>
      <c r="J68" t="s">
        <v>26</v>
      </c>
      <c r="K68" t="s">
        <v>292</v>
      </c>
      <c r="L68" t="s">
        <v>76</v>
      </c>
      <c r="M68" s="6">
        <v>3</v>
      </c>
      <c r="N68" t="s">
        <v>29</v>
      </c>
      <c r="O68" s="5">
        <v>1</v>
      </c>
      <c r="P68" s="7">
        <v>5.0000000012500001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5</v>
      </c>
      <c r="S68" t="str">
        <f>InputData[[#This Row],[Col]]&amp;"x"&amp;IF(LEN(InputData[[#This Row],[Alto]])=2,InputData[[#This Row],[Alto]],"0"&amp;InputData[[#This Row],[Alto]])</f>
        <v>1x05</v>
      </c>
    </row>
    <row r="69" spans="1:19" x14ac:dyDescent="0.2">
      <c r="A69" t="s">
        <v>19</v>
      </c>
      <c r="B69" t="s">
        <v>295</v>
      </c>
      <c r="C69" t="s">
        <v>296</v>
      </c>
      <c r="D69" t="s">
        <v>297</v>
      </c>
      <c r="E69" t="s">
        <v>298</v>
      </c>
      <c r="G69" t="s">
        <v>39</v>
      </c>
      <c r="H69" t="s">
        <v>25</v>
      </c>
      <c r="I69" s="9">
        <v>53.107500000000002</v>
      </c>
      <c r="J69" t="s">
        <v>26</v>
      </c>
      <c r="K69" t="s">
        <v>292</v>
      </c>
      <c r="L69" t="s">
        <v>76</v>
      </c>
      <c r="M69" s="6">
        <v>3</v>
      </c>
      <c r="N69" t="s">
        <v>29</v>
      </c>
      <c r="O69" s="5">
        <v>1</v>
      </c>
      <c r="P69" s="7">
        <v>3.0000000007500001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3</v>
      </c>
      <c r="S69" t="str">
        <f>InputData[[#This Row],[Col]]&amp;"x"&amp;IF(LEN(InputData[[#This Row],[Alto]])=2,InputData[[#This Row],[Alto]],"0"&amp;InputData[[#This Row],[Alto]])</f>
        <v>1x03</v>
      </c>
    </row>
    <row r="70" spans="1:19" x14ac:dyDescent="0.2">
      <c r="A70" t="s">
        <v>19</v>
      </c>
      <c r="B70" t="s">
        <v>299</v>
      </c>
      <c r="C70" t="s">
        <v>300</v>
      </c>
      <c r="E70" t="s">
        <v>301</v>
      </c>
      <c r="G70" t="s">
        <v>39</v>
      </c>
      <c r="H70" t="s">
        <v>45</v>
      </c>
      <c r="I70" s="9">
        <v>67.437142857142859</v>
      </c>
      <c r="J70" t="s">
        <v>26</v>
      </c>
      <c r="K70" t="s">
        <v>292</v>
      </c>
      <c r="L70" t="s">
        <v>76</v>
      </c>
      <c r="M70" s="6">
        <v>3</v>
      </c>
      <c r="N70" t="s">
        <v>29</v>
      </c>
      <c r="O70" s="5">
        <v>1</v>
      </c>
      <c r="P70" s="7">
        <v>4.0000000010000001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4</v>
      </c>
      <c r="S70" t="str">
        <f>InputData[[#This Row],[Col]]&amp;"x"&amp;IF(LEN(InputData[[#This Row],[Alto]])=2,InputData[[#This Row],[Alto]],"0"&amp;InputData[[#This Row],[Alto]])</f>
        <v>1x04</v>
      </c>
    </row>
    <row r="71" spans="1:19" x14ac:dyDescent="0.2">
      <c r="A71" t="s">
        <v>19</v>
      </c>
      <c r="B71" t="s">
        <v>302</v>
      </c>
      <c r="C71" t="s">
        <v>303</v>
      </c>
      <c r="D71" t="s">
        <v>304</v>
      </c>
      <c r="E71" t="s">
        <v>305</v>
      </c>
      <c r="G71" t="s">
        <v>39</v>
      </c>
      <c r="H71" t="s">
        <v>25</v>
      </c>
      <c r="I71" s="9">
        <v>73.75333333333333</v>
      </c>
      <c r="J71" t="s">
        <v>26</v>
      </c>
      <c r="K71" t="s">
        <v>306</v>
      </c>
      <c r="L71" t="s">
        <v>129</v>
      </c>
      <c r="M71" s="6">
        <v>2</v>
      </c>
      <c r="N71" t="s">
        <v>29</v>
      </c>
      <c r="O71" s="5">
        <v>1</v>
      </c>
      <c r="P71" s="7">
        <v>5.0000000012500001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5</v>
      </c>
      <c r="S71" t="str">
        <f>InputData[[#This Row],[Col]]&amp;"x"&amp;IF(LEN(InputData[[#This Row],[Alto]])=2,InputData[[#This Row],[Alto]],"0"&amp;InputData[[#This Row],[Alto]])</f>
        <v>1x05</v>
      </c>
    </row>
    <row r="72" spans="1:19" x14ac:dyDescent="0.2">
      <c r="A72" t="s">
        <v>19</v>
      </c>
      <c r="B72" t="s">
        <v>307</v>
      </c>
      <c r="C72" t="s">
        <v>134</v>
      </c>
      <c r="D72" t="s">
        <v>308</v>
      </c>
      <c r="E72" t="s">
        <v>309</v>
      </c>
      <c r="F72" t="s">
        <v>310</v>
      </c>
      <c r="G72" t="s">
        <v>39</v>
      </c>
      <c r="H72" t="s">
        <v>25</v>
      </c>
      <c r="I72" s="9">
        <v>256.37517241379305</v>
      </c>
      <c r="J72" t="s">
        <v>26</v>
      </c>
      <c r="K72" t="s">
        <v>306</v>
      </c>
      <c r="L72" t="s">
        <v>129</v>
      </c>
      <c r="M72" s="6">
        <v>2</v>
      </c>
      <c r="N72" t="s">
        <v>29</v>
      </c>
      <c r="O72" s="5">
        <v>1</v>
      </c>
      <c r="P72" s="7">
        <v>15.000000000222226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15</v>
      </c>
      <c r="S72" t="str">
        <f>InputData[[#This Row],[Col]]&amp;"x"&amp;IF(LEN(InputData[[#This Row],[Alto]])=2,InputData[[#This Row],[Alto]],"0"&amp;InputData[[#This Row],[Alto]])</f>
        <v>1x15</v>
      </c>
    </row>
    <row r="73" spans="1:19" x14ac:dyDescent="0.2">
      <c r="A73" t="s">
        <v>19</v>
      </c>
      <c r="B73" t="s">
        <v>311</v>
      </c>
      <c r="C73" t="s">
        <v>312</v>
      </c>
      <c r="E73" t="s">
        <v>313</v>
      </c>
      <c r="G73" t="s">
        <v>39</v>
      </c>
      <c r="H73" t="s">
        <v>45</v>
      </c>
      <c r="I73" s="9">
        <v>50.577142857142853</v>
      </c>
      <c r="J73" t="s">
        <v>26</v>
      </c>
      <c r="K73" t="s">
        <v>306</v>
      </c>
      <c r="L73" t="s">
        <v>129</v>
      </c>
      <c r="M73" s="6">
        <v>2</v>
      </c>
      <c r="N73" t="s">
        <v>29</v>
      </c>
      <c r="O73" s="5">
        <v>1</v>
      </c>
      <c r="P73" s="7">
        <v>3.0000000007500001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3</v>
      </c>
      <c r="S73" t="str">
        <f>InputData[[#This Row],[Col]]&amp;"x"&amp;IF(LEN(InputData[[#This Row],[Alto]])=2,InputData[[#This Row],[Alto]],"0"&amp;InputData[[#This Row],[Alto]])</f>
        <v>1x03</v>
      </c>
    </row>
    <row r="74" spans="1:19" x14ac:dyDescent="0.2">
      <c r="A74" t="s">
        <v>19</v>
      </c>
      <c r="B74" t="s">
        <v>314</v>
      </c>
      <c r="C74" t="s">
        <v>315</v>
      </c>
      <c r="E74" t="s">
        <v>316</v>
      </c>
      <c r="G74" t="s">
        <v>39</v>
      </c>
      <c r="H74" t="s">
        <v>45</v>
      </c>
      <c r="I74" s="9">
        <v>33.71857142857143</v>
      </c>
      <c r="J74" t="s">
        <v>26</v>
      </c>
      <c r="K74" t="s">
        <v>306</v>
      </c>
      <c r="L74" t="s">
        <v>129</v>
      </c>
      <c r="M74" s="6">
        <v>2</v>
      </c>
      <c r="N74" t="s">
        <v>29</v>
      </c>
      <c r="O74" s="5">
        <v>1</v>
      </c>
      <c r="P74" s="7">
        <v>2.0000000005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2</v>
      </c>
      <c r="S74" t="str">
        <f>InputData[[#This Row],[Col]]&amp;"x"&amp;IF(LEN(InputData[[#This Row],[Alto]])=2,InputData[[#This Row],[Alto]],"0"&amp;InputData[[#This Row],[Alto]])</f>
        <v>1x02</v>
      </c>
    </row>
    <row r="75" spans="1:19" x14ac:dyDescent="0.2">
      <c r="A75" t="s">
        <v>19</v>
      </c>
      <c r="B75" t="s">
        <v>317</v>
      </c>
      <c r="C75" t="s">
        <v>318</v>
      </c>
      <c r="E75" t="s">
        <v>319</v>
      </c>
      <c r="G75" t="s">
        <v>39</v>
      </c>
      <c r="H75" t="s">
        <v>45</v>
      </c>
      <c r="I75" s="9">
        <v>50.577142857142853</v>
      </c>
      <c r="J75" t="s">
        <v>26</v>
      </c>
      <c r="K75" t="s">
        <v>306</v>
      </c>
      <c r="L75" t="s">
        <v>129</v>
      </c>
      <c r="M75" s="6">
        <v>2</v>
      </c>
      <c r="N75" t="s">
        <v>29</v>
      </c>
      <c r="O75" s="5">
        <v>1</v>
      </c>
      <c r="P75" s="7">
        <v>3.0000000007500001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3</v>
      </c>
      <c r="S75" t="str">
        <f>InputData[[#This Row],[Col]]&amp;"x"&amp;IF(LEN(InputData[[#This Row],[Alto]])=2,InputData[[#This Row],[Alto]],"0"&amp;InputData[[#This Row],[Alto]])</f>
        <v>1x03</v>
      </c>
    </row>
    <row r="76" spans="1:19" x14ac:dyDescent="0.2">
      <c r="A76" t="s">
        <v>19</v>
      </c>
      <c r="B76" t="s">
        <v>320</v>
      </c>
      <c r="C76" t="s">
        <v>321</v>
      </c>
      <c r="E76" t="s">
        <v>322</v>
      </c>
      <c r="G76" t="s">
        <v>39</v>
      </c>
      <c r="H76" t="s">
        <v>45</v>
      </c>
      <c r="I76" s="9">
        <v>84.295714285714297</v>
      </c>
      <c r="J76" t="s">
        <v>26</v>
      </c>
      <c r="K76" t="s">
        <v>306</v>
      </c>
      <c r="L76" t="s">
        <v>129</v>
      </c>
      <c r="M76" s="6">
        <v>2</v>
      </c>
      <c r="N76" t="s">
        <v>29</v>
      </c>
      <c r="O76" s="5">
        <v>1</v>
      </c>
      <c r="P76" s="7">
        <v>5.0000000012500001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5</v>
      </c>
      <c r="S76" t="str">
        <f>InputData[[#This Row],[Col]]&amp;"x"&amp;IF(LEN(InputData[[#This Row],[Alto]])=2,InputData[[#This Row],[Alto]],"0"&amp;InputData[[#This Row],[Alto]])</f>
        <v>1x05</v>
      </c>
    </row>
    <row r="77" spans="1:19" x14ac:dyDescent="0.2">
      <c r="A77" t="s">
        <v>19</v>
      </c>
      <c r="B77" t="s">
        <v>323</v>
      </c>
      <c r="C77" t="s">
        <v>115</v>
      </c>
      <c r="E77" t="s">
        <v>324</v>
      </c>
      <c r="F77" t="s">
        <v>325</v>
      </c>
      <c r="G77" t="s">
        <v>39</v>
      </c>
      <c r="H77" t="s">
        <v>45</v>
      </c>
      <c r="I77" s="9">
        <v>101.15428571428571</v>
      </c>
      <c r="J77" t="s">
        <v>26</v>
      </c>
      <c r="K77" t="s">
        <v>306</v>
      </c>
      <c r="L77" t="s">
        <v>129</v>
      </c>
      <c r="M77" s="6">
        <v>2</v>
      </c>
      <c r="N77" t="s">
        <v>29</v>
      </c>
      <c r="O77" s="5">
        <v>1</v>
      </c>
      <c r="P77" s="7">
        <v>6.0000000015000001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6</v>
      </c>
      <c r="S77" t="str">
        <f>InputData[[#This Row],[Col]]&amp;"x"&amp;IF(LEN(InputData[[#This Row],[Alto]])=2,InputData[[#This Row],[Alto]],"0"&amp;InputData[[#This Row],[Alto]])</f>
        <v>1x06</v>
      </c>
    </row>
    <row r="78" spans="1:19" x14ac:dyDescent="0.2">
      <c r="A78" t="s">
        <v>19</v>
      </c>
      <c r="B78" t="s">
        <v>326</v>
      </c>
      <c r="C78" t="s">
        <v>327</v>
      </c>
      <c r="E78" t="s">
        <v>328</v>
      </c>
      <c r="F78" t="s">
        <v>329</v>
      </c>
      <c r="G78" t="s">
        <v>330</v>
      </c>
      <c r="H78" t="s">
        <v>45</v>
      </c>
      <c r="I78" s="9">
        <v>354.04200000000003</v>
      </c>
      <c r="J78" t="s">
        <v>26</v>
      </c>
      <c r="K78" t="s">
        <v>331</v>
      </c>
      <c r="L78" t="s">
        <v>332</v>
      </c>
      <c r="M78" s="6">
        <v>7</v>
      </c>
      <c r="N78" t="s">
        <v>29</v>
      </c>
      <c r="O78" s="5">
        <v>3</v>
      </c>
      <c r="P78" s="7">
        <v>5.0000000012500001</v>
      </c>
      <c r="Q78" t="str">
        <f>EVALUATE_LOCATION(InputData[[#This Row],[Section]],InputData[[#This Row],[Forma de Pago]],InputData[[#This Row],[Ubic.Pretendida]],InputData[[#This Row],[Nro pag]])</f>
        <v xml:space="preserve"> </v>
      </c>
      <c r="R78">
        <f>ROUND(InputData[[#This Row],[AltoCm]],0)</f>
        <v>5</v>
      </c>
      <c r="S78" t="str">
        <f>InputData[[#This Row],[Col]]&amp;"x"&amp;IF(LEN(InputData[[#This Row],[Alto]])=2,InputData[[#This Row],[Alto]],"0"&amp;InputData[[#This Row],[Alto]])</f>
        <v>3x05</v>
      </c>
    </row>
    <row r="79" spans="1:19" x14ac:dyDescent="0.2">
      <c r="A79" t="s">
        <v>19</v>
      </c>
      <c r="B79" t="s">
        <v>333</v>
      </c>
      <c r="C79" t="s">
        <v>334</v>
      </c>
      <c r="E79" t="s">
        <v>335</v>
      </c>
      <c r="F79" t="s">
        <v>336</v>
      </c>
      <c r="G79" t="s">
        <v>330</v>
      </c>
      <c r="H79" t="s">
        <v>45</v>
      </c>
      <c r="I79" s="9">
        <v>236.02800000000002</v>
      </c>
      <c r="J79" t="s">
        <v>26</v>
      </c>
      <c r="K79" t="s">
        <v>331</v>
      </c>
      <c r="M79" s="6">
        <v>0</v>
      </c>
      <c r="N79" t="s">
        <v>29</v>
      </c>
      <c r="O79" s="5">
        <v>2</v>
      </c>
      <c r="P79" s="7">
        <v>5.0000000012500001</v>
      </c>
      <c r="Q79" t="str">
        <f>EVALUATE_LOCATION(InputData[[#This Row],[Section]],InputData[[#This Row],[Forma de Pago]],InputData[[#This Row],[Ubic.Pretendida]],InputData[[#This Row],[Nro pag]])</f>
        <v xml:space="preserve"> </v>
      </c>
      <c r="R79">
        <f>ROUND(InputData[[#This Row],[AltoCm]],0)</f>
        <v>5</v>
      </c>
      <c r="S79" t="str">
        <f>InputData[[#This Row],[Col]]&amp;"x"&amp;IF(LEN(InputData[[#This Row],[Alto]])=2,InputData[[#This Row],[Alto]],"0"&amp;InputData[[#This Row],[Alto]])</f>
        <v>2x05</v>
      </c>
    </row>
    <row r="80" spans="1:19" x14ac:dyDescent="0.2">
      <c r="A80" t="s">
        <v>19</v>
      </c>
      <c r="B80" t="s">
        <v>337</v>
      </c>
      <c r="C80" t="s">
        <v>338</v>
      </c>
      <c r="E80" t="s">
        <v>339</v>
      </c>
      <c r="F80" t="s">
        <v>340</v>
      </c>
      <c r="G80" t="s">
        <v>330</v>
      </c>
      <c r="H80" t="s">
        <v>45</v>
      </c>
      <c r="I80" s="9">
        <v>362.28285714285715</v>
      </c>
      <c r="J80" t="s">
        <v>26</v>
      </c>
      <c r="K80" t="s">
        <v>331</v>
      </c>
      <c r="L80" t="s">
        <v>332</v>
      </c>
      <c r="M80" s="6">
        <v>7</v>
      </c>
      <c r="N80" t="s">
        <v>29</v>
      </c>
      <c r="O80" s="5">
        <v>3</v>
      </c>
      <c r="P80" s="7">
        <v>6.0000000015000001</v>
      </c>
      <c r="Q80" t="str">
        <f>EVALUATE_LOCATION(InputData[[#This Row],[Section]],InputData[[#This Row],[Forma de Pago]],InputData[[#This Row],[Ubic.Pretendida]],InputData[[#This Row],[Nro pag]])</f>
        <v xml:space="preserve"> </v>
      </c>
      <c r="R80">
        <f>ROUND(InputData[[#This Row],[AltoCm]],0)</f>
        <v>6</v>
      </c>
      <c r="S80" t="str">
        <f>InputData[[#This Row],[Col]]&amp;"x"&amp;IF(LEN(InputData[[#This Row],[Alto]])=2,InputData[[#This Row],[Alto]],"0"&amp;InputData[[#This Row],[Alto]])</f>
        <v>3x06</v>
      </c>
    </row>
    <row r="81" spans="1:19" x14ac:dyDescent="0.2">
      <c r="A81" t="s">
        <v>19</v>
      </c>
      <c r="B81" t="s">
        <v>341</v>
      </c>
      <c r="C81" t="s">
        <v>78</v>
      </c>
      <c r="D81" t="s">
        <v>342</v>
      </c>
      <c r="E81" t="s">
        <v>343</v>
      </c>
      <c r="F81" t="s">
        <v>344</v>
      </c>
      <c r="G81" t="s">
        <v>330</v>
      </c>
      <c r="H81" t="s">
        <v>25</v>
      </c>
      <c r="I81" s="9">
        <v>2820.6849999999999</v>
      </c>
      <c r="J81" t="s">
        <v>9</v>
      </c>
      <c r="K81" t="s">
        <v>331</v>
      </c>
      <c r="L81" t="s">
        <v>332</v>
      </c>
      <c r="M81" s="6">
        <v>7</v>
      </c>
      <c r="N81" t="s">
        <v>29</v>
      </c>
      <c r="O81" s="5">
        <v>7</v>
      </c>
      <c r="P81" s="7">
        <v>9.999999998972223</v>
      </c>
      <c r="Q81" t="str">
        <f>EVALUATE_LOCATION(InputData[[#This Row],[Section]],InputData[[#This Row],[Forma de Pago]],InputData[[#This Row],[Ubic.Pretendida]],InputData[[#This Row],[Nro pag]])</f>
        <v xml:space="preserve"> </v>
      </c>
      <c r="R81">
        <f>ROUND(InputData[[#This Row],[AltoCm]],0)</f>
        <v>10</v>
      </c>
      <c r="S81" t="str">
        <f>InputData[[#This Row],[Col]]&amp;"x"&amp;IF(LEN(InputData[[#This Row],[Alto]])=2,InputData[[#This Row],[Alto]],"0"&amp;InputData[[#This Row],[Alto]])</f>
        <v>7x10</v>
      </c>
    </row>
    <row r="82" spans="1:19" x14ac:dyDescent="0.2">
      <c r="A82" t="s">
        <v>19</v>
      </c>
      <c r="B82" t="s">
        <v>345</v>
      </c>
      <c r="C82" t="s">
        <v>346</v>
      </c>
      <c r="D82" t="s">
        <v>347</v>
      </c>
      <c r="E82" t="s">
        <v>348</v>
      </c>
      <c r="F82" t="s">
        <v>349</v>
      </c>
      <c r="G82" t="s">
        <v>330</v>
      </c>
      <c r="H82" t="s">
        <v>25</v>
      </c>
      <c r="I82" s="9">
        <v>479.01666666666665</v>
      </c>
      <c r="J82" t="s">
        <v>26</v>
      </c>
      <c r="K82" t="s">
        <v>331</v>
      </c>
      <c r="M82" s="6">
        <v>0</v>
      </c>
      <c r="N82" t="s">
        <v>29</v>
      </c>
      <c r="O82" s="5">
        <v>2</v>
      </c>
      <c r="P82" s="7">
        <v>9.999999998972223</v>
      </c>
      <c r="Q82" t="str">
        <f>EVALUATE_LOCATION(InputData[[#This Row],[Section]],InputData[[#This Row],[Forma de Pago]],InputData[[#This Row],[Ubic.Pretendida]],InputData[[#This Row],[Nro pag]])</f>
        <v xml:space="preserve"> </v>
      </c>
      <c r="R82">
        <f>ROUND(InputData[[#This Row],[AltoCm]],0)</f>
        <v>10</v>
      </c>
      <c r="S82" t="str">
        <f>InputData[[#This Row],[Col]]&amp;"x"&amp;IF(LEN(InputData[[#This Row],[Alto]])=2,InputData[[#This Row],[Alto]],"0"&amp;InputData[[#This Row],[Alto]])</f>
        <v>2x10</v>
      </c>
    </row>
    <row r="83" spans="1:19" x14ac:dyDescent="0.2">
      <c r="A83" t="s">
        <v>350</v>
      </c>
      <c r="B83" t="s">
        <v>351</v>
      </c>
      <c r="C83" t="s">
        <v>346</v>
      </c>
      <c r="D83" t="s">
        <v>352</v>
      </c>
      <c r="E83" t="s">
        <v>353</v>
      </c>
      <c r="F83" t="s">
        <v>354</v>
      </c>
      <c r="G83" t="s">
        <v>355</v>
      </c>
      <c r="H83" t="s">
        <v>25</v>
      </c>
      <c r="I83" s="9">
        <v>651.30999999999995</v>
      </c>
      <c r="J83" t="s">
        <v>9</v>
      </c>
      <c r="K83" t="s">
        <v>356</v>
      </c>
      <c r="L83" t="s">
        <v>356</v>
      </c>
      <c r="M83" s="6">
        <v>32</v>
      </c>
      <c r="N83" t="s">
        <v>29</v>
      </c>
      <c r="O83" s="5">
        <v>2</v>
      </c>
      <c r="P83" s="7">
        <v>9.8777777777777782</v>
      </c>
      <c r="Q83" t="str">
        <f>EVALUATE_LOCATION(InputData[[#This Row],[Section]],InputData[[#This Row],[Forma de Pago]],InputData[[#This Row],[Ubic.Pretendida]],InputData[[#This Row],[Nro pag]])</f>
        <v xml:space="preserve"> </v>
      </c>
      <c r="R83">
        <f>ROUND(InputData[[#This Row],[AltoCm]],0)</f>
        <v>10</v>
      </c>
      <c r="S83" t="str">
        <f>InputData[[#This Row],[Col]]&amp;"x"&amp;IF(LEN(InputData[[#This Row],[Alto]])=2,InputData[[#This Row],[Alto]],"0"&amp;InputData[[#This Row],[Alto]])</f>
        <v>2x10</v>
      </c>
    </row>
    <row r="84" spans="1:19" x14ac:dyDescent="0.2">
      <c r="A84" t="s">
        <v>350</v>
      </c>
      <c r="B84" t="s">
        <v>357</v>
      </c>
      <c r="C84" t="s">
        <v>358</v>
      </c>
      <c r="D84" t="s">
        <v>359</v>
      </c>
      <c r="E84" t="s">
        <v>360</v>
      </c>
      <c r="G84" t="s">
        <v>355</v>
      </c>
      <c r="H84" t="s">
        <v>74</v>
      </c>
      <c r="I84" s="9">
        <v>1287.23</v>
      </c>
      <c r="J84" t="s">
        <v>9</v>
      </c>
      <c r="K84" t="s">
        <v>356</v>
      </c>
      <c r="L84" t="s">
        <v>356</v>
      </c>
      <c r="M84" s="6">
        <v>32</v>
      </c>
      <c r="N84" t="s">
        <v>29</v>
      </c>
      <c r="O84" s="5">
        <v>3</v>
      </c>
      <c r="P84" s="7">
        <v>9.8777777777777782</v>
      </c>
      <c r="Q84" t="str">
        <f>EVALUATE_LOCATION(InputData[[#This Row],[Section]],InputData[[#This Row],[Forma de Pago]],InputData[[#This Row],[Ubic.Pretendida]],InputData[[#This Row],[Nro pag]])</f>
        <v xml:space="preserve"> </v>
      </c>
      <c r="R84">
        <f>ROUND(InputData[[#This Row],[AltoCm]],0)</f>
        <v>10</v>
      </c>
      <c r="S84" t="str">
        <f>InputData[[#This Row],[Col]]&amp;"x"&amp;IF(LEN(InputData[[#This Row],[Alto]])=2,InputData[[#This Row],[Alto]],"0"&amp;InputData[[#This Row],[Alto]])</f>
        <v>3x10</v>
      </c>
    </row>
    <row r="85" spans="1:19" x14ac:dyDescent="0.2">
      <c r="A85" t="s">
        <v>350</v>
      </c>
      <c r="B85" t="s">
        <v>361</v>
      </c>
      <c r="C85" t="s">
        <v>362</v>
      </c>
      <c r="D85" t="s">
        <v>363</v>
      </c>
      <c r="E85" t="s">
        <v>364</v>
      </c>
      <c r="G85" t="s">
        <v>355</v>
      </c>
      <c r="H85" t="s">
        <v>74</v>
      </c>
      <c r="I85" s="9">
        <v>1716.31</v>
      </c>
      <c r="J85" t="s">
        <v>9</v>
      </c>
      <c r="K85" t="s">
        <v>356</v>
      </c>
      <c r="L85" t="s">
        <v>356</v>
      </c>
      <c r="M85" s="6">
        <v>37</v>
      </c>
      <c r="N85" t="s">
        <v>29</v>
      </c>
      <c r="O85" s="5">
        <v>3</v>
      </c>
      <c r="P85" s="7">
        <v>13.433777777777777</v>
      </c>
      <c r="Q85" t="str">
        <f>EVALUATE_LOCATION(InputData[[#This Row],[Section]],InputData[[#This Row],[Forma de Pago]],InputData[[#This Row],[Ubic.Pretendida]],InputData[[#This Row],[Nro pag]])</f>
        <v xml:space="preserve"> </v>
      </c>
      <c r="R85">
        <f>ROUND(InputData[[#This Row],[AltoCm]],0)</f>
        <v>13</v>
      </c>
      <c r="S85" t="str">
        <f>InputData[[#This Row],[Col]]&amp;"x"&amp;IF(LEN(InputData[[#This Row],[Alto]])=2,InputData[[#This Row],[Alto]],"0"&amp;InputData[[#This Row],[Alto]])</f>
        <v>3x13</v>
      </c>
    </row>
    <row r="86" spans="1:19" x14ac:dyDescent="0.2">
      <c r="A86" t="s">
        <v>350</v>
      </c>
      <c r="B86" t="s">
        <v>365</v>
      </c>
      <c r="C86" t="s">
        <v>366</v>
      </c>
      <c r="E86" t="s">
        <v>367</v>
      </c>
      <c r="G86" t="s">
        <v>355</v>
      </c>
      <c r="H86" t="s">
        <v>45</v>
      </c>
      <c r="I86" s="9">
        <v>1809.95</v>
      </c>
      <c r="J86" t="s">
        <v>9</v>
      </c>
      <c r="K86" t="s">
        <v>356</v>
      </c>
      <c r="L86" t="s">
        <v>356</v>
      </c>
      <c r="M86" s="6">
        <v>32</v>
      </c>
      <c r="N86" t="s">
        <v>29</v>
      </c>
      <c r="O86" s="5">
        <v>5</v>
      </c>
      <c r="P86" s="7">
        <v>13.433777777777777</v>
      </c>
      <c r="Q86" t="str">
        <f>EVALUATE_LOCATION(InputData[[#This Row],[Section]],InputData[[#This Row],[Forma de Pago]],InputData[[#This Row],[Ubic.Pretendida]],InputData[[#This Row],[Nro pag]])</f>
        <v xml:space="preserve"> </v>
      </c>
      <c r="R86">
        <f>ROUND(InputData[[#This Row],[AltoCm]],0)</f>
        <v>13</v>
      </c>
      <c r="S86" t="str">
        <f>InputData[[#This Row],[Col]]&amp;"x"&amp;IF(LEN(InputData[[#This Row],[Alto]])=2,InputData[[#This Row],[Alto]],"0"&amp;InputData[[#This Row],[Alto]])</f>
        <v>5x13</v>
      </c>
    </row>
    <row r="87" spans="1:19" x14ac:dyDescent="0.2">
      <c r="A87" t="s">
        <v>350</v>
      </c>
      <c r="B87" t="s">
        <v>368</v>
      </c>
      <c r="C87" t="s">
        <v>369</v>
      </c>
      <c r="D87" t="s">
        <v>370</v>
      </c>
      <c r="E87" t="s">
        <v>371</v>
      </c>
      <c r="G87" t="s">
        <v>355</v>
      </c>
      <c r="H87" t="s">
        <v>25</v>
      </c>
      <c r="I87" s="9">
        <v>3396.14</v>
      </c>
      <c r="J87" t="s">
        <v>9</v>
      </c>
      <c r="K87" t="s">
        <v>356</v>
      </c>
      <c r="L87" t="s">
        <v>356</v>
      </c>
      <c r="M87" s="6">
        <v>13</v>
      </c>
      <c r="N87" t="s">
        <v>29</v>
      </c>
      <c r="O87" s="5">
        <v>5</v>
      </c>
      <c r="P87" s="7">
        <v>13.433777777777777</v>
      </c>
      <c r="Q87" t="str">
        <f>EVALUATE_LOCATION(InputData[[#This Row],[Section]],InputData[[#This Row],[Forma de Pago]],InputData[[#This Row],[Ubic.Pretendida]],InputData[[#This Row],[Nro pag]])</f>
        <v xml:space="preserve"> </v>
      </c>
      <c r="R87">
        <f>ROUND(InputData[[#This Row],[AltoCm]],0)</f>
        <v>13</v>
      </c>
      <c r="S87" t="str">
        <f>InputData[[#This Row],[Col]]&amp;"x"&amp;IF(LEN(InputData[[#This Row],[Alto]])=2,InputData[[#This Row],[Alto]],"0"&amp;InputData[[#This Row],[Alto]])</f>
        <v>5x13</v>
      </c>
    </row>
    <row r="88" spans="1:19" x14ac:dyDescent="0.2">
      <c r="A88" t="s">
        <v>350</v>
      </c>
      <c r="B88" t="s">
        <v>372</v>
      </c>
      <c r="C88" t="s">
        <v>373</v>
      </c>
      <c r="D88" t="s">
        <v>374</v>
      </c>
      <c r="E88" t="s">
        <v>375</v>
      </c>
      <c r="G88" t="s">
        <v>355</v>
      </c>
      <c r="H88" t="s">
        <v>25</v>
      </c>
      <c r="I88" s="9">
        <v>321.31</v>
      </c>
      <c r="J88" t="s">
        <v>9</v>
      </c>
      <c r="K88" t="s">
        <v>376</v>
      </c>
      <c r="L88" t="s">
        <v>376</v>
      </c>
      <c r="M88" s="6">
        <v>43</v>
      </c>
      <c r="N88" t="s">
        <v>29</v>
      </c>
      <c r="O88" s="5">
        <v>3</v>
      </c>
      <c r="P88" s="7">
        <v>2.7657777777777777</v>
      </c>
      <c r="Q88" t="str">
        <f>EVALUATE_LOCATION(InputData[[#This Row],[Section]],InputData[[#This Row],[Forma de Pago]],InputData[[#This Row],[Ubic.Pretendida]],InputData[[#This Row],[Nro pag]])</f>
        <v xml:space="preserve"> </v>
      </c>
      <c r="R88">
        <f>ROUND(InputData[[#This Row],[AltoCm]],0)</f>
        <v>3</v>
      </c>
      <c r="S88" t="str">
        <f>InputData[[#This Row],[Col]]&amp;"x"&amp;IF(LEN(InputData[[#This Row],[Alto]])=2,InputData[[#This Row],[Alto]],"0"&amp;InputData[[#This Row],[Alto]])</f>
        <v>3x03</v>
      </c>
    </row>
    <row r="89" spans="1:19" x14ac:dyDescent="0.2">
      <c r="A89" t="s">
        <v>350</v>
      </c>
      <c r="B89" t="s">
        <v>377</v>
      </c>
      <c r="C89" t="s">
        <v>378</v>
      </c>
      <c r="D89" t="s">
        <v>379</v>
      </c>
      <c r="E89" t="s">
        <v>380</v>
      </c>
      <c r="G89" t="s">
        <v>355</v>
      </c>
      <c r="H89" t="s">
        <v>25</v>
      </c>
      <c r="I89" s="9">
        <v>396.47</v>
      </c>
      <c r="J89" t="s">
        <v>9</v>
      </c>
      <c r="K89" t="s">
        <v>381</v>
      </c>
      <c r="L89" t="s">
        <v>381</v>
      </c>
      <c r="M89" s="6">
        <v>43</v>
      </c>
      <c r="N89" t="s">
        <v>29</v>
      </c>
      <c r="O89" s="5">
        <v>5</v>
      </c>
      <c r="P89" s="7">
        <v>2.7657777777777777</v>
      </c>
      <c r="Q89" t="str">
        <f>EVALUATE_LOCATION(InputData[[#This Row],[Section]],InputData[[#This Row],[Forma de Pago]],InputData[[#This Row],[Ubic.Pretendida]],InputData[[#This Row],[Nro pag]])</f>
        <v xml:space="preserve"> </v>
      </c>
      <c r="R89">
        <f>ROUND(InputData[[#This Row],[AltoCm]],0)</f>
        <v>3</v>
      </c>
      <c r="S89" t="str">
        <f>InputData[[#This Row],[Col]]&amp;"x"&amp;IF(LEN(InputData[[#This Row],[Alto]])=2,InputData[[#This Row],[Alto]],"0"&amp;InputData[[#This Row],[Alto]])</f>
        <v>5x03</v>
      </c>
    </row>
    <row r="90" spans="1:19" x14ac:dyDescent="0.2">
      <c r="A90" t="s">
        <v>350</v>
      </c>
      <c r="B90" t="s">
        <v>382</v>
      </c>
      <c r="C90" t="s">
        <v>383</v>
      </c>
      <c r="D90" t="s">
        <v>384</v>
      </c>
      <c r="E90" t="s">
        <v>385</v>
      </c>
      <c r="G90" t="s">
        <v>355</v>
      </c>
      <c r="H90" t="s">
        <v>25</v>
      </c>
      <c r="I90" s="9">
        <v>145.72</v>
      </c>
      <c r="J90" t="s">
        <v>9</v>
      </c>
      <c r="K90" t="s">
        <v>381</v>
      </c>
      <c r="M90" s="6">
        <v>0</v>
      </c>
      <c r="N90" t="s">
        <v>29</v>
      </c>
      <c r="O90" s="5">
        <v>2</v>
      </c>
      <c r="P90" s="7">
        <v>2.7657777777777777</v>
      </c>
      <c r="Q90" t="str">
        <f>EVALUATE_LOCATION(InputData[[#This Row],[Section]],InputData[[#This Row],[Forma de Pago]],InputData[[#This Row],[Ubic.Pretendida]],InputData[[#This Row],[Nro pag]])</f>
        <v xml:space="preserve"> </v>
      </c>
      <c r="R90">
        <f>ROUND(InputData[[#This Row],[AltoCm]],0)</f>
        <v>3</v>
      </c>
      <c r="S90" t="str">
        <f>InputData[[#This Row],[Col]]&amp;"x"&amp;IF(LEN(InputData[[#This Row],[Alto]])=2,InputData[[#This Row],[Alto]],"0"&amp;InputData[[#This Row],[Alto]])</f>
        <v>2x03</v>
      </c>
    </row>
    <row r="91" spans="1:19" x14ac:dyDescent="0.2">
      <c r="A91" t="s">
        <v>350</v>
      </c>
      <c r="B91" t="s">
        <v>386</v>
      </c>
      <c r="C91" t="s">
        <v>387</v>
      </c>
      <c r="D91" t="s">
        <v>388</v>
      </c>
      <c r="E91" t="s">
        <v>389</v>
      </c>
      <c r="G91" t="s">
        <v>355</v>
      </c>
      <c r="H91" t="s">
        <v>25</v>
      </c>
      <c r="I91" s="9">
        <v>145.72</v>
      </c>
      <c r="J91" t="s">
        <v>9</v>
      </c>
      <c r="K91" t="s">
        <v>381</v>
      </c>
      <c r="M91" s="6">
        <v>0</v>
      </c>
      <c r="N91" t="s">
        <v>29</v>
      </c>
      <c r="O91" s="5">
        <v>2</v>
      </c>
      <c r="P91" s="7">
        <v>2.7657777777777777</v>
      </c>
      <c r="Q91" t="str">
        <f>EVALUATE_LOCATION(InputData[[#This Row],[Section]],InputData[[#This Row],[Forma de Pago]],InputData[[#This Row],[Ubic.Pretendida]],InputData[[#This Row],[Nro pag]])</f>
        <v xml:space="preserve"> </v>
      </c>
      <c r="R91">
        <f>ROUND(InputData[[#This Row],[AltoCm]],0)</f>
        <v>3</v>
      </c>
      <c r="S91" t="str">
        <f>InputData[[#This Row],[Col]]&amp;"x"&amp;IF(LEN(InputData[[#This Row],[Alto]])=2,InputData[[#This Row],[Alto]],"0"&amp;InputData[[#This Row],[Alto]])</f>
        <v>2x03</v>
      </c>
    </row>
    <row r="92" spans="1:19" x14ac:dyDescent="0.2">
      <c r="A92" t="s">
        <v>350</v>
      </c>
      <c r="B92" t="s">
        <v>390</v>
      </c>
      <c r="C92" t="s">
        <v>391</v>
      </c>
      <c r="D92" t="s">
        <v>392</v>
      </c>
      <c r="E92" t="s">
        <v>393</v>
      </c>
      <c r="G92" t="s">
        <v>355</v>
      </c>
      <c r="H92" t="s">
        <v>25</v>
      </c>
      <c r="I92" s="9">
        <v>2290.75</v>
      </c>
      <c r="J92" t="s">
        <v>9</v>
      </c>
      <c r="K92" t="s">
        <v>394</v>
      </c>
      <c r="L92" t="s">
        <v>394</v>
      </c>
      <c r="M92" s="6">
        <v>33</v>
      </c>
      <c r="N92" t="s">
        <v>29</v>
      </c>
      <c r="O92" s="5">
        <v>5</v>
      </c>
      <c r="P92" s="7">
        <v>16.989777777777778</v>
      </c>
      <c r="Q92" t="str">
        <f>EVALUATE_LOCATION(InputData[[#This Row],[Section]],InputData[[#This Row],[Forma de Pago]],InputData[[#This Row],[Ubic.Pretendida]],InputData[[#This Row],[Nro pag]])</f>
        <v xml:space="preserve"> </v>
      </c>
      <c r="R92">
        <f>ROUND(InputData[[#This Row],[AltoCm]],0)</f>
        <v>17</v>
      </c>
      <c r="S92" t="str">
        <f>InputData[[#This Row],[Col]]&amp;"x"&amp;IF(LEN(InputData[[#This Row],[Alto]])=2,InputData[[#This Row],[Alto]],"0"&amp;InputData[[#This Row],[Alto]])</f>
        <v>5x17</v>
      </c>
    </row>
    <row r="93" spans="1:19" x14ac:dyDescent="0.2">
      <c r="A93" t="s">
        <v>350</v>
      </c>
      <c r="B93" t="s">
        <v>395</v>
      </c>
      <c r="C93" t="s">
        <v>396</v>
      </c>
      <c r="D93" t="s">
        <v>397</v>
      </c>
      <c r="E93" t="s">
        <v>398</v>
      </c>
      <c r="G93" t="s">
        <v>355</v>
      </c>
      <c r="H93" t="s">
        <v>25</v>
      </c>
      <c r="I93" s="9">
        <v>577.28</v>
      </c>
      <c r="J93" t="s">
        <v>26</v>
      </c>
      <c r="K93" t="s">
        <v>399</v>
      </c>
      <c r="L93" t="s">
        <v>399</v>
      </c>
      <c r="M93" s="6">
        <v>16</v>
      </c>
      <c r="N93" t="s">
        <v>29</v>
      </c>
      <c r="O93" s="5">
        <v>2</v>
      </c>
      <c r="P93" s="7">
        <v>6.3217777777777773</v>
      </c>
      <c r="Q93" t="str">
        <f>EVALUATE_LOCATION(InputData[[#This Row],[Section]],InputData[[#This Row],[Forma de Pago]],InputData[[#This Row],[Ubic.Pretendida]],InputData[[#This Row],[Nro pag]])</f>
        <v>&gt;DIFIERE&lt;</v>
      </c>
      <c r="R93">
        <f>ROUND(InputData[[#This Row],[AltoCm]],0)</f>
        <v>6</v>
      </c>
      <c r="S93" t="str">
        <f>InputData[[#This Row],[Col]]&amp;"x"&amp;IF(LEN(InputData[[#This Row],[Alto]])=2,InputData[[#This Row],[Alto]],"0"&amp;InputData[[#This Row],[Alto]])</f>
        <v>2x06</v>
      </c>
    </row>
    <row r="94" spans="1:19" x14ac:dyDescent="0.2">
      <c r="A94" t="s">
        <v>350</v>
      </c>
      <c r="B94" t="s">
        <v>400</v>
      </c>
      <c r="C94" t="s">
        <v>21</v>
      </c>
      <c r="D94" t="s">
        <v>401</v>
      </c>
      <c r="E94" t="s">
        <v>402</v>
      </c>
      <c r="G94" t="s">
        <v>355</v>
      </c>
      <c r="H94" t="s">
        <v>25</v>
      </c>
      <c r="I94" s="9">
        <v>1917.32</v>
      </c>
      <c r="J94" t="s">
        <v>9</v>
      </c>
      <c r="K94" t="s">
        <v>399</v>
      </c>
      <c r="L94" t="s">
        <v>399</v>
      </c>
      <c r="M94" s="6">
        <v>8</v>
      </c>
      <c r="N94" t="s">
        <v>29</v>
      </c>
      <c r="O94" s="5">
        <v>4</v>
      </c>
      <c r="P94" s="7">
        <v>9.8777777777777782</v>
      </c>
      <c r="Q94" t="str">
        <f>EVALUATE_LOCATION(InputData[[#This Row],[Section]],InputData[[#This Row],[Forma de Pago]],InputData[[#This Row],[Ubic.Pretendida]],InputData[[#This Row],[Nro pag]])</f>
        <v>&gt;DIFIERE&lt;</v>
      </c>
      <c r="R94">
        <f>ROUND(InputData[[#This Row],[AltoCm]],0)</f>
        <v>10</v>
      </c>
      <c r="S94" t="str">
        <f>InputData[[#This Row],[Col]]&amp;"x"&amp;IF(LEN(InputData[[#This Row],[Alto]])=2,InputData[[#This Row],[Alto]],"0"&amp;InputData[[#This Row],[Alto]])</f>
        <v>4x10</v>
      </c>
    </row>
    <row r="95" spans="1:19" x14ac:dyDescent="0.2">
      <c r="A95" t="s">
        <v>350</v>
      </c>
      <c r="B95" t="s">
        <v>403</v>
      </c>
      <c r="C95" t="s">
        <v>101</v>
      </c>
      <c r="D95" t="s">
        <v>404</v>
      </c>
      <c r="E95" t="s">
        <v>405</v>
      </c>
      <c r="G95" t="s">
        <v>355</v>
      </c>
      <c r="H95" t="s">
        <v>25</v>
      </c>
      <c r="I95" s="9">
        <v>1493.71</v>
      </c>
      <c r="J95" t="s">
        <v>9</v>
      </c>
      <c r="K95" t="s">
        <v>399</v>
      </c>
      <c r="L95" t="s">
        <v>399</v>
      </c>
      <c r="M95" s="6">
        <v>12</v>
      </c>
      <c r="N95" t="s">
        <v>29</v>
      </c>
      <c r="O95" s="5">
        <v>3</v>
      </c>
      <c r="P95" s="7">
        <v>9.8777777777777782</v>
      </c>
      <c r="Q95" t="str">
        <f>EVALUATE_LOCATION(InputData[[#This Row],[Section]],InputData[[#This Row],[Forma de Pago]],InputData[[#This Row],[Ubic.Pretendida]],InputData[[#This Row],[Nro pag]])</f>
        <v>&gt;DIFIERE&lt;</v>
      </c>
      <c r="R95">
        <f>ROUND(InputData[[#This Row],[AltoCm]],0)</f>
        <v>10</v>
      </c>
      <c r="S95" t="str">
        <f>InputData[[#This Row],[Col]]&amp;"x"&amp;IF(LEN(InputData[[#This Row],[Alto]])=2,InputData[[#This Row],[Alto]],"0"&amp;InputData[[#This Row],[Alto]])</f>
        <v>3x10</v>
      </c>
    </row>
    <row r="96" spans="1:19" x14ac:dyDescent="0.2">
      <c r="A96" t="s">
        <v>350</v>
      </c>
      <c r="B96" t="s">
        <v>406</v>
      </c>
      <c r="C96" t="s">
        <v>407</v>
      </c>
      <c r="D96" t="s">
        <v>408</v>
      </c>
      <c r="E96" t="s">
        <v>409</v>
      </c>
      <c r="G96" t="s">
        <v>355</v>
      </c>
      <c r="H96" t="s">
        <v>25</v>
      </c>
      <c r="I96" s="9">
        <v>0</v>
      </c>
      <c r="J96" t="s">
        <v>26</v>
      </c>
      <c r="K96" t="s">
        <v>399</v>
      </c>
      <c r="L96" t="s">
        <v>399</v>
      </c>
      <c r="M96" s="6">
        <v>10</v>
      </c>
      <c r="N96" t="s">
        <v>29</v>
      </c>
      <c r="O96" s="5">
        <v>5</v>
      </c>
      <c r="P96" s="7">
        <v>34.769777777777783</v>
      </c>
      <c r="Q96" t="str">
        <f>EVALUATE_LOCATION(InputData[[#This Row],[Section]],InputData[[#This Row],[Forma de Pago]],InputData[[#This Row],[Ubic.Pretendida]],InputData[[#This Row],[Nro pag]])</f>
        <v>&gt;DIFIERE&lt;</v>
      </c>
      <c r="R96">
        <f>ROUND(InputData[[#This Row],[AltoCm]],0)</f>
        <v>35</v>
      </c>
      <c r="S96" t="str">
        <f>InputData[[#This Row],[Col]]&amp;"x"&amp;IF(LEN(InputData[[#This Row],[Alto]])=2,InputData[[#This Row],[Alto]],"0"&amp;InputData[[#This Row],[Alto]])</f>
        <v>5x35</v>
      </c>
    </row>
    <row r="97" spans="1:19" x14ac:dyDescent="0.2">
      <c r="A97" t="s">
        <v>350</v>
      </c>
      <c r="B97" t="s">
        <v>410</v>
      </c>
      <c r="C97" t="s">
        <v>411</v>
      </c>
      <c r="D97" t="s">
        <v>412</v>
      </c>
      <c r="E97" t="s">
        <v>413</v>
      </c>
      <c r="G97" t="s">
        <v>355</v>
      </c>
      <c r="H97" t="s">
        <v>25</v>
      </c>
      <c r="I97" s="9">
        <v>320.26</v>
      </c>
      <c r="J97" t="s">
        <v>9</v>
      </c>
      <c r="K97" t="s">
        <v>414</v>
      </c>
      <c r="L97" t="s">
        <v>414</v>
      </c>
      <c r="M97" s="6">
        <v>43</v>
      </c>
      <c r="N97" t="s">
        <v>29</v>
      </c>
      <c r="O97" s="5">
        <v>3</v>
      </c>
      <c r="P97" s="7">
        <v>2.7657777777777777</v>
      </c>
      <c r="Q97" t="str">
        <f>EVALUATE_LOCATION(InputData[[#This Row],[Section]],InputData[[#This Row],[Forma de Pago]],InputData[[#This Row],[Ubic.Pretendida]],InputData[[#This Row],[Nro pag]])</f>
        <v xml:space="preserve"> </v>
      </c>
      <c r="R97">
        <f>ROUND(InputData[[#This Row],[AltoCm]],0)</f>
        <v>3</v>
      </c>
      <c r="S97" t="str">
        <f>InputData[[#This Row],[Col]]&amp;"x"&amp;IF(LEN(InputData[[#This Row],[Alto]])=2,InputData[[#This Row],[Alto]],"0"&amp;InputData[[#This Row],[Alto]])</f>
        <v>3x03</v>
      </c>
    </row>
    <row r="98" spans="1:19" x14ac:dyDescent="0.2">
      <c r="A98" t="s">
        <v>350</v>
      </c>
      <c r="B98" t="s">
        <v>415</v>
      </c>
      <c r="C98" t="s">
        <v>416</v>
      </c>
      <c r="D98" t="s">
        <v>417</v>
      </c>
      <c r="E98" t="s">
        <v>418</v>
      </c>
      <c r="G98" t="s">
        <v>355</v>
      </c>
      <c r="H98" t="s">
        <v>74</v>
      </c>
      <c r="I98" s="9">
        <v>15606.75</v>
      </c>
      <c r="J98" t="s">
        <v>9</v>
      </c>
      <c r="K98" t="s">
        <v>419</v>
      </c>
      <c r="L98" t="s">
        <v>419</v>
      </c>
      <c r="M98" s="6">
        <v>31</v>
      </c>
      <c r="N98" t="s">
        <v>29</v>
      </c>
      <c r="O98" s="5">
        <v>5</v>
      </c>
      <c r="P98" s="7">
        <v>34.769777777777783</v>
      </c>
      <c r="Q98" t="str">
        <f>EVALUATE_LOCATION(InputData[[#This Row],[Section]],InputData[[#This Row],[Forma de Pago]],InputData[[#This Row],[Ubic.Pretendida]],InputData[[#This Row],[Nro pag]])</f>
        <v xml:space="preserve"> </v>
      </c>
      <c r="R98">
        <f>ROUND(InputData[[#This Row],[AltoCm]],0)</f>
        <v>35</v>
      </c>
      <c r="S98" t="str">
        <f>InputData[[#This Row],[Col]]&amp;"x"&amp;IF(LEN(InputData[[#This Row],[Alto]])=2,InputData[[#This Row],[Alto]],"0"&amp;InputData[[#This Row],[Alto]])</f>
        <v>5x35</v>
      </c>
    </row>
    <row r="99" spans="1:19" x14ac:dyDescent="0.2">
      <c r="A99" t="s">
        <v>350</v>
      </c>
      <c r="B99" t="s">
        <v>420</v>
      </c>
      <c r="C99" t="s">
        <v>421</v>
      </c>
      <c r="D99" t="s">
        <v>422</v>
      </c>
      <c r="E99" t="s">
        <v>423</v>
      </c>
      <c r="G99" t="s">
        <v>355</v>
      </c>
      <c r="H99" t="s">
        <v>25</v>
      </c>
      <c r="I99" s="9">
        <v>5427</v>
      </c>
      <c r="J99" t="s">
        <v>9</v>
      </c>
      <c r="K99" t="s">
        <v>419</v>
      </c>
      <c r="L99" t="s">
        <v>419</v>
      </c>
      <c r="M99" s="6">
        <v>25</v>
      </c>
      <c r="N99" t="s">
        <v>29</v>
      </c>
      <c r="O99" s="5">
        <v>5</v>
      </c>
      <c r="P99" s="7">
        <v>34.769777777777783</v>
      </c>
      <c r="Q99" t="str">
        <f>EVALUATE_LOCATION(InputData[[#This Row],[Section]],InputData[[#This Row],[Forma de Pago]],InputData[[#This Row],[Ubic.Pretendida]],InputData[[#This Row],[Nro pag]])</f>
        <v xml:space="preserve"> </v>
      </c>
      <c r="R99">
        <f>ROUND(InputData[[#This Row],[AltoCm]],0)</f>
        <v>35</v>
      </c>
      <c r="S99" t="str">
        <f>InputData[[#This Row],[Col]]&amp;"x"&amp;IF(LEN(InputData[[#This Row],[Alto]])=2,InputData[[#This Row],[Alto]],"0"&amp;InputData[[#This Row],[Alto]])</f>
        <v>5x35</v>
      </c>
    </row>
    <row r="100" spans="1:19" x14ac:dyDescent="0.2">
      <c r="A100" t="s">
        <v>350</v>
      </c>
      <c r="B100" t="s">
        <v>424</v>
      </c>
      <c r="C100" t="s">
        <v>425</v>
      </c>
      <c r="D100" t="s">
        <v>426</v>
      </c>
      <c r="E100" t="s">
        <v>427</v>
      </c>
      <c r="G100" t="s">
        <v>428</v>
      </c>
      <c r="H100" t="s">
        <v>25</v>
      </c>
      <c r="I100" s="9">
        <v>1825.25</v>
      </c>
      <c r="J100" t="s">
        <v>9</v>
      </c>
      <c r="K100" t="s">
        <v>429</v>
      </c>
      <c r="L100" t="s">
        <v>429</v>
      </c>
      <c r="M100" s="6">
        <v>40</v>
      </c>
      <c r="N100" t="s">
        <v>430</v>
      </c>
      <c r="O100" s="5">
        <v>5</v>
      </c>
      <c r="P100" s="7">
        <v>17.000000000722224</v>
      </c>
      <c r="Q100" t="str">
        <f>EVALUATE_LOCATION(InputData[[#This Row],[Section]],InputData[[#This Row],[Forma de Pago]],InputData[[#This Row],[Ubic.Pretendida]],InputData[[#This Row],[Nro pag]])</f>
        <v>&gt;DIFIERE&lt;</v>
      </c>
      <c r="R100">
        <f>ROUND(InputData[[#This Row],[AltoCm]],0)</f>
        <v>17</v>
      </c>
      <c r="S100" t="str">
        <f>InputData[[#This Row],[Col]]&amp;"x"&amp;IF(LEN(InputData[[#This Row],[Alto]])=2,InputData[[#This Row],[Alto]],"0"&amp;InputData[[#This Row],[Alto]])</f>
        <v>5x17</v>
      </c>
    </row>
    <row r="101" spans="1:19" x14ac:dyDescent="0.2">
      <c r="A101" t="s">
        <v>350</v>
      </c>
      <c r="B101" t="s">
        <v>431</v>
      </c>
      <c r="C101" t="s">
        <v>432</v>
      </c>
      <c r="D101" t="s">
        <v>433</v>
      </c>
      <c r="E101" t="s">
        <v>434</v>
      </c>
      <c r="F101" t="s">
        <v>354</v>
      </c>
      <c r="G101" t="s">
        <v>355</v>
      </c>
      <c r="H101" t="s">
        <v>25</v>
      </c>
      <c r="I101" s="9">
        <v>0</v>
      </c>
      <c r="J101" t="s">
        <v>26</v>
      </c>
      <c r="K101" t="s">
        <v>429</v>
      </c>
      <c r="L101" t="s">
        <v>429</v>
      </c>
      <c r="M101" s="6">
        <v>15</v>
      </c>
      <c r="N101" t="s">
        <v>29</v>
      </c>
      <c r="O101" s="5">
        <v>5</v>
      </c>
      <c r="P101" s="7">
        <v>16.989777777777778</v>
      </c>
      <c r="Q101" t="str">
        <f>EVALUATE_LOCATION(InputData[[#This Row],[Section]],InputData[[#This Row],[Forma de Pago]],InputData[[#This Row],[Ubic.Pretendida]],InputData[[#This Row],[Nro pag]])</f>
        <v>&gt;DIFIERE&lt;</v>
      </c>
      <c r="R101">
        <f>ROUND(InputData[[#This Row],[AltoCm]],0)</f>
        <v>17</v>
      </c>
      <c r="S101" t="str">
        <f>InputData[[#This Row],[Col]]&amp;"x"&amp;IF(LEN(InputData[[#This Row],[Alto]])=2,InputData[[#This Row],[Alto]],"0"&amp;InputData[[#This Row],[Alto]])</f>
        <v>5x17</v>
      </c>
    </row>
    <row r="102" spans="1:19" x14ac:dyDescent="0.2">
      <c r="A102" t="s">
        <v>350</v>
      </c>
      <c r="B102" t="s">
        <v>435</v>
      </c>
      <c r="C102" t="s">
        <v>436</v>
      </c>
      <c r="D102" t="s">
        <v>437</v>
      </c>
      <c r="E102" t="s">
        <v>438</v>
      </c>
      <c r="G102" t="s">
        <v>355</v>
      </c>
      <c r="H102" t="s">
        <v>25</v>
      </c>
      <c r="I102" s="9">
        <v>7200</v>
      </c>
      <c r="J102" t="s">
        <v>9</v>
      </c>
      <c r="K102" t="s">
        <v>429</v>
      </c>
      <c r="L102" t="s">
        <v>429</v>
      </c>
      <c r="M102" s="6">
        <v>11</v>
      </c>
      <c r="N102" t="s">
        <v>29</v>
      </c>
      <c r="O102" s="5">
        <v>5</v>
      </c>
      <c r="P102" s="7">
        <v>16.989777777777778</v>
      </c>
      <c r="Q102" t="str">
        <f>EVALUATE_LOCATION(InputData[[#This Row],[Section]],InputData[[#This Row],[Forma de Pago]],InputData[[#This Row],[Ubic.Pretendida]],InputData[[#This Row],[Nro pag]])</f>
        <v>&gt;DIFIERE&lt;</v>
      </c>
      <c r="R102">
        <f>ROUND(InputData[[#This Row],[AltoCm]],0)</f>
        <v>17</v>
      </c>
      <c r="S102" t="str">
        <f>InputData[[#This Row],[Col]]&amp;"x"&amp;IF(LEN(InputData[[#This Row],[Alto]])=2,InputData[[#This Row],[Alto]],"0"&amp;InputData[[#This Row],[Alto]])</f>
        <v>5x17</v>
      </c>
    </row>
    <row r="103" spans="1:19" x14ac:dyDescent="0.2">
      <c r="A103" t="s">
        <v>350</v>
      </c>
      <c r="B103" t="s">
        <v>439</v>
      </c>
      <c r="C103" t="s">
        <v>440</v>
      </c>
      <c r="D103" t="s">
        <v>426</v>
      </c>
      <c r="E103" t="s">
        <v>441</v>
      </c>
      <c r="G103" t="s">
        <v>428</v>
      </c>
      <c r="H103" t="s">
        <v>25</v>
      </c>
      <c r="I103" s="9">
        <v>80384.5</v>
      </c>
      <c r="J103" t="s">
        <v>9</v>
      </c>
      <c r="K103" t="s">
        <v>429</v>
      </c>
      <c r="L103" t="s">
        <v>429</v>
      </c>
      <c r="M103" s="6">
        <v>5</v>
      </c>
      <c r="N103" t="s">
        <v>29</v>
      </c>
      <c r="O103" s="5">
        <v>5</v>
      </c>
      <c r="P103" s="7">
        <v>17.000000000722224</v>
      </c>
      <c r="Q103" t="str">
        <f>EVALUATE_LOCATION(InputData[[#This Row],[Section]],InputData[[#This Row],[Forma de Pago]],InputData[[#This Row],[Ubic.Pretendida]],InputData[[#This Row],[Nro pag]])</f>
        <v>&gt;DIFIERE&lt;</v>
      </c>
      <c r="R103">
        <f>ROUND(InputData[[#This Row],[AltoCm]],0)</f>
        <v>17</v>
      </c>
      <c r="S103" t="str">
        <f>InputData[[#This Row],[Col]]&amp;"x"&amp;IF(LEN(InputData[[#This Row],[Alto]])=2,InputData[[#This Row],[Alto]],"0"&amp;InputData[[#This Row],[Alto]])</f>
        <v>5x17</v>
      </c>
    </row>
    <row r="104" spans="1:19" x14ac:dyDescent="0.2">
      <c r="A104" t="s">
        <v>350</v>
      </c>
      <c r="B104" t="s">
        <v>442</v>
      </c>
      <c r="C104" t="s">
        <v>443</v>
      </c>
      <c r="D104" t="s">
        <v>444</v>
      </c>
      <c r="E104" t="s">
        <v>445</v>
      </c>
      <c r="G104" t="s">
        <v>355</v>
      </c>
      <c r="H104" t="s">
        <v>25</v>
      </c>
      <c r="I104" s="9">
        <v>2203.75</v>
      </c>
      <c r="J104" t="s">
        <v>26</v>
      </c>
      <c r="K104" t="s">
        <v>429</v>
      </c>
      <c r="L104" t="s">
        <v>429</v>
      </c>
      <c r="M104" s="6">
        <v>7</v>
      </c>
      <c r="N104" t="s">
        <v>29</v>
      </c>
      <c r="O104" s="5">
        <v>5</v>
      </c>
      <c r="P104" s="7">
        <v>16.989777777777778</v>
      </c>
      <c r="Q104" t="str">
        <f>EVALUATE_LOCATION(InputData[[#This Row],[Section]],InputData[[#This Row],[Forma de Pago]],InputData[[#This Row],[Ubic.Pretendida]],InputData[[#This Row],[Nro pag]])</f>
        <v>&gt;DIFIERE&lt;</v>
      </c>
      <c r="R104">
        <f>ROUND(InputData[[#This Row],[AltoCm]],0)</f>
        <v>17</v>
      </c>
      <c r="S104" t="str">
        <f>InputData[[#This Row],[Col]]&amp;"x"&amp;IF(LEN(InputData[[#This Row],[Alto]])=2,InputData[[#This Row],[Alto]],"0"&amp;InputData[[#This Row],[Alto]])</f>
        <v>5x17</v>
      </c>
    </row>
    <row r="105" spans="1:19" x14ac:dyDescent="0.2">
      <c r="A105" t="s">
        <v>350</v>
      </c>
      <c r="B105" t="s">
        <v>446</v>
      </c>
      <c r="C105" t="s">
        <v>447</v>
      </c>
      <c r="D105" t="s">
        <v>448</v>
      </c>
      <c r="E105" t="s">
        <v>449</v>
      </c>
      <c r="G105" t="s">
        <v>355</v>
      </c>
      <c r="H105" t="s">
        <v>25</v>
      </c>
      <c r="I105" s="9">
        <v>644.13</v>
      </c>
      <c r="J105" t="s">
        <v>26</v>
      </c>
      <c r="K105" t="s">
        <v>429</v>
      </c>
      <c r="L105" t="s">
        <v>429</v>
      </c>
      <c r="M105" s="6">
        <v>9</v>
      </c>
      <c r="N105" t="s">
        <v>29</v>
      </c>
      <c r="O105" s="5">
        <v>1</v>
      </c>
      <c r="P105" s="7">
        <v>9.8777777777777782</v>
      </c>
      <c r="Q105" t="str">
        <f>EVALUATE_LOCATION(InputData[[#This Row],[Section]],InputData[[#This Row],[Forma de Pago]],InputData[[#This Row],[Ubic.Pretendida]],InputData[[#This Row],[Nro pag]])</f>
        <v>&gt;DIFIERE&lt;</v>
      </c>
      <c r="R105">
        <f>ROUND(InputData[[#This Row],[AltoCm]],0)</f>
        <v>10</v>
      </c>
      <c r="S105" t="str">
        <f>InputData[[#This Row],[Col]]&amp;"x"&amp;IF(LEN(InputData[[#This Row],[Alto]])=2,InputData[[#This Row],[Alto]],"0"&amp;InputData[[#This Row],[Alto]])</f>
        <v>1x10</v>
      </c>
    </row>
    <row r="106" spans="1:19" x14ac:dyDescent="0.2">
      <c r="A106" t="s">
        <v>450</v>
      </c>
      <c r="B106" t="s">
        <v>451</v>
      </c>
      <c r="C106" t="s">
        <v>452</v>
      </c>
      <c r="E106" t="s">
        <v>453</v>
      </c>
      <c r="F106" t="s">
        <v>454</v>
      </c>
      <c r="G106" t="s">
        <v>455</v>
      </c>
      <c r="H106" t="s">
        <v>45</v>
      </c>
      <c r="I106" s="9">
        <v>27.746555555555556</v>
      </c>
      <c r="J106" t="s">
        <v>26</v>
      </c>
      <c r="K106" t="s">
        <v>456</v>
      </c>
      <c r="M106" s="6">
        <v>0</v>
      </c>
      <c r="N106" t="s">
        <v>29</v>
      </c>
      <c r="O106" s="5">
        <v>2</v>
      </c>
      <c r="P106" s="7">
        <v>3.0000000007500001</v>
      </c>
      <c r="Q106" t="str">
        <f>EVALUATE_LOCATION(InputData[[#This Row],[Section]],InputData[[#This Row],[Forma de Pago]],InputData[[#This Row],[Ubic.Pretendida]],InputData[[#This Row],[Nro pag]])</f>
        <v xml:space="preserve"> </v>
      </c>
      <c r="R106">
        <f>ROUND(InputData[[#This Row],[AltoCm]],0)</f>
        <v>3</v>
      </c>
      <c r="S106" t="str">
        <f>InputData[[#This Row],[Col]]&amp;"x"&amp;IF(LEN(InputData[[#This Row],[Alto]])=2,InputData[[#This Row],[Alto]],"0"&amp;InputData[[#This Row],[Alto]])</f>
        <v>2x03</v>
      </c>
    </row>
    <row r="107" spans="1:19" x14ac:dyDescent="0.2">
      <c r="A107" t="s">
        <v>450</v>
      </c>
      <c r="B107" t="s">
        <v>457</v>
      </c>
      <c r="C107" t="s">
        <v>458</v>
      </c>
      <c r="E107" t="s">
        <v>459</v>
      </c>
      <c r="F107" t="s">
        <v>460</v>
      </c>
      <c r="G107" t="s">
        <v>455</v>
      </c>
      <c r="H107" t="s">
        <v>45</v>
      </c>
      <c r="I107" s="9">
        <v>51.824333333333335</v>
      </c>
      <c r="J107" t="s">
        <v>9</v>
      </c>
      <c r="K107" t="s">
        <v>461</v>
      </c>
      <c r="M107" s="6">
        <v>0</v>
      </c>
      <c r="N107" t="s">
        <v>29</v>
      </c>
      <c r="O107" s="5">
        <v>2</v>
      </c>
      <c r="P107" s="7">
        <v>5.0000000012500001</v>
      </c>
      <c r="Q107" t="str">
        <f>EVALUATE_LOCATION(InputData[[#This Row],[Section]],InputData[[#This Row],[Forma de Pago]],InputData[[#This Row],[Ubic.Pretendida]],InputData[[#This Row],[Nro pag]])</f>
        <v xml:space="preserve"> </v>
      </c>
      <c r="R107">
        <f>ROUND(InputData[[#This Row],[AltoCm]],0)</f>
        <v>5</v>
      </c>
      <c r="S107" t="str">
        <f>InputData[[#This Row],[Col]]&amp;"x"&amp;IF(LEN(InputData[[#This Row],[Alto]])=2,InputData[[#This Row],[Alto]],"0"&amp;InputData[[#This Row],[Alto]])</f>
        <v>2x05</v>
      </c>
    </row>
    <row r="108" spans="1:19" x14ac:dyDescent="0.2">
      <c r="A108" t="s">
        <v>450</v>
      </c>
      <c r="B108" t="s">
        <v>462</v>
      </c>
      <c r="C108" t="s">
        <v>463</v>
      </c>
      <c r="E108" t="s">
        <v>464</v>
      </c>
      <c r="G108" t="s">
        <v>455</v>
      </c>
      <c r="H108" t="s">
        <v>45</v>
      </c>
      <c r="I108" s="9">
        <v>20.729666666666667</v>
      </c>
      <c r="J108" t="s">
        <v>26</v>
      </c>
      <c r="K108" t="s">
        <v>465</v>
      </c>
      <c r="M108" s="6">
        <v>0</v>
      </c>
      <c r="N108" t="s">
        <v>29</v>
      </c>
      <c r="O108" s="5">
        <v>2</v>
      </c>
      <c r="P108" s="7">
        <v>2.0000000005</v>
      </c>
      <c r="Q108" t="str">
        <f>EVALUATE_LOCATION(InputData[[#This Row],[Section]],InputData[[#This Row],[Forma de Pago]],InputData[[#This Row],[Ubic.Pretendida]],InputData[[#This Row],[Nro pag]])</f>
        <v xml:space="preserve"> </v>
      </c>
      <c r="R108">
        <f>ROUND(InputData[[#This Row],[AltoCm]],0)</f>
        <v>2</v>
      </c>
      <c r="S108" t="str">
        <f>InputData[[#This Row],[Col]]&amp;"x"&amp;IF(LEN(InputData[[#This Row],[Alto]])=2,InputData[[#This Row],[Alto]],"0"&amp;InputData[[#This Row],[Alto]])</f>
        <v>2x02</v>
      </c>
    </row>
    <row r="109" spans="1:19" x14ac:dyDescent="0.2">
      <c r="A109" t="s">
        <v>450</v>
      </c>
      <c r="B109" t="s">
        <v>466</v>
      </c>
      <c r="C109" t="s">
        <v>467</v>
      </c>
      <c r="E109" t="s">
        <v>468</v>
      </c>
      <c r="F109" t="s">
        <v>469</v>
      </c>
      <c r="G109" t="s">
        <v>455</v>
      </c>
      <c r="H109" t="s">
        <v>45</v>
      </c>
      <c r="I109" s="9">
        <v>51.824333333333335</v>
      </c>
      <c r="J109" t="s">
        <v>26</v>
      </c>
      <c r="K109" t="s">
        <v>470</v>
      </c>
      <c r="M109" s="6">
        <v>0</v>
      </c>
      <c r="N109" t="s">
        <v>29</v>
      </c>
      <c r="O109" s="5">
        <v>2</v>
      </c>
      <c r="P109" s="7">
        <v>5.0000000012500001</v>
      </c>
      <c r="Q109" t="str">
        <f>EVALUATE_LOCATION(InputData[[#This Row],[Section]],InputData[[#This Row],[Forma de Pago]],InputData[[#This Row],[Ubic.Pretendida]],InputData[[#This Row],[Nro pag]])</f>
        <v xml:space="preserve"> </v>
      </c>
      <c r="R109">
        <f>ROUND(InputData[[#This Row],[AltoCm]],0)</f>
        <v>5</v>
      </c>
      <c r="S109" t="str">
        <f>InputData[[#This Row],[Col]]&amp;"x"&amp;IF(LEN(InputData[[#This Row],[Alto]])=2,InputData[[#This Row],[Alto]],"0"&amp;InputData[[#This Row],[Alto]])</f>
        <v>2x05</v>
      </c>
    </row>
    <row r="110" spans="1:19" x14ac:dyDescent="0.2">
      <c r="A110" t="s">
        <v>450</v>
      </c>
      <c r="B110" t="s">
        <v>471</v>
      </c>
      <c r="C110" t="s">
        <v>472</v>
      </c>
      <c r="E110" t="s">
        <v>473</v>
      </c>
      <c r="F110" t="s">
        <v>474</v>
      </c>
      <c r="G110" t="s">
        <v>455</v>
      </c>
      <c r="H110" t="s">
        <v>45</v>
      </c>
      <c r="I110" s="9">
        <v>31.094666666666669</v>
      </c>
      <c r="J110" t="s">
        <v>26</v>
      </c>
      <c r="K110" t="s">
        <v>475</v>
      </c>
      <c r="M110" s="6">
        <v>0</v>
      </c>
      <c r="N110" t="s">
        <v>29</v>
      </c>
      <c r="O110" s="5">
        <v>2</v>
      </c>
      <c r="P110" s="7">
        <v>3.0000000007500001</v>
      </c>
      <c r="Q110" t="str">
        <f>EVALUATE_LOCATION(InputData[[#This Row],[Section]],InputData[[#This Row],[Forma de Pago]],InputData[[#This Row],[Ubic.Pretendida]],InputData[[#This Row],[Nro pag]])</f>
        <v xml:space="preserve"> </v>
      </c>
      <c r="R110">
        <f>ROUND(InputData[[#This Row],[AltoCm]],0)</f>
        <v>3</v>
      </c>
      <c r="S110" t="str">
        <f>InputData[[#This Row],[Col]]&amp;"x"&amp;IF(LEN(InputData[[#This Row],[Alto]])=2,InputData[[#This Row],[Alto]],"0"&amp;InputData[[#This Row],[Alto]])</f>
        <v>2x03</v>
      </c>
    </row>
    <row r="111" spans="1:19" x14ac:dyDescent="0.2">
      <c r="A111" t="s">
        <v>450</v>
      </c>
      <c r="B111" t="s">
        <v>476</v>
      </c>
      <c r="C111" t="s">
        <v>477</v>
      </c>
      <c r="D111" t="s">
        <v>478</v>
      </c>
      <c r="E111" t="s">
        <v>479</v>
      </c>
      <c r="G111" t="s">
        <v>455</v>
      </c>
      <c r="H111" t="s">
        <v>25</v>
      </c>
      <c r="I111" s="9">
        <v>51.02827586206898</v>
      </c>
      <c r="J111" t="s">
        <v>26</v>
      </c>
      <c r="K111" t="s">
        <v>480</v>
      </c>
      <c r="M111" s="6">
        <v>0</v>
      </c>
      <c r="N111" t="s">
        <v>29</v>
      </c>
      <c r="O111" s="5">
        <v>2</v>
      </c>
      <c r="P111" s="7">
        <v>4.0000000010000001</v>
      </c>
      <c r="Q111" t="str">
        <f>EVALUATE_LOCATION(InputData[[#This Row],[Section]],InputData[[#This Row],[Forma de Pago]],InputData[[#This Row],[Ubic.Pretendida]],InputData[[#This Row],[Nro pag]])</f>
        <v xml:space="preserve"> </v>
      </c>
      <c r="R111">
        <f>ROUND(InputData[[#This Row],[AltoCm]],0)</f>
        <v>4</v>
      </c>
      <c r="S111" t="str">
        <f>InputData[[#This Row],[Col]]&amp;"x"&amp;IF(LEN(InputData[[#This Row],[Alto]])=2,InputData[[#This Row],[Alto]],"0"&amp;InputData[[#This Row],[Alto]])</f>
        <v>2x04</v>
      </c>
    </row>
    <row r="112" spans="1:19" x14ac:dyDescent="0.2">
      <c r="A112" t="s">
        <v>450</v>
      </c>
      <c r="B112" t="s">
        <v>481</v>
      </c>
      <c r="C112" t="s">
        <v>482</v>
      </c>
      <c r="E112" t="s">
        <v>483</v>
      </c>
      <c r="F112" t="s">
        <v>484</v>
      </c>
      <c r="G112" t="s">
        <v>455</v>
      </c>
      <c r="H112" t="s">
        <v>45</v>
      </c>
      <c r="I112" s="9">
        <v>20.729666666666667</v>
      </c>
      <c r="J112" t="s">
        <v>26</v>
      </c>
      <c r="K112" t="s">
        <v>485</v>
      </c>
      <c r="M112" s="6">
        <v>0</v>
      </c>
      <c r="N112" t="s">
        <v>29</v>
      </c>
      <c r="O112" s="5">
        <v>2</v>
      </c>
      <c r="P112" s="7">
        <v>2.0000000005</v>
      </c>
      <c r="Q112" t="str">
        <f>EVALUATE_LOCATION(InputData[[#This Row],[Section]],InputData[[#This Row],[Forma de Pago]],InputData[[#This Row],[Ubic.Pretendida]],InputData[[#This Row],[Nro pag]])</f>
        <v xml:space="preserve"> </v>
      </c>
      <c r="R112">
        <f>ROUND(InputData[[#This Row],[AltoCm]],0)</f>
        <v>2</v>
      </c>
      <c r="S112" t="str">
        <f>InputData[[#This Row],[Col]]&amp;"x"&amp;IF(LEN(InputData[[#This Row],[Alto]])=2,InputData[[#This Row],[Alto]],"0"&amp;InputData[[#This Row],[Alto]])</f>
        <v>2x02</v>
      </c>
    </row>
    <row r="113" spans="1:19" x14ac:dyDescent="0.2">
      <c r="A113" t="s">
        <v>450</v>
      </c>
      <c r="B113" t="s">
        <v>486</v>
      </c>
      <c r="C113" t="s">
        <v>487</v>
      </c>
      <c r="D113" t="s">
        <v>488</v>
      </c>
      <c r="E113" t="s">
        <v>489</v>
      </c>
      <c r="G113" t="s">
        <v>455</v>
      </c>
      <c r="H113" t="s">
        <v>25</v>
      </c>
      <c r="I113" s="9">
        <v>45.033793103448282</v>
      </c>
      <c r="J113" t="s">
        <v>26</v>
      </c>
      <c r="K113" t="s">
        <v>485</v>
      </c>
      <c r="M113" s="6">
        <v>0</v>
      </c>
      <c r="N113" t="s">
        <v>29</v>
      </c>
      <c r="O113" s="5">
        <v>2</v>
      </c>
      <c r="P113" s="7">
        <v>3.0000000007500001</v>
      </c>
      <c r="Q113" t="str">
        <f>EVALUATE_LOCATION(InputData[[#This Row],[Section]],InputData[[#This Row],[Forma de Pago]],InputData[[#This Row],[Ubic.Pretendida]],InputData[[#This Row],[Nro pag]])</f>
        <v xml:space="preserve"> </v>
      </c>
      <c r="R113">
        <f>ROUND(InputData[[#This Row],[AltoCm]],0)</f>
        <v>3</v>
      </c>
      <c r="S113" t="str">
        <f>InputData[[#This Row],[Col]]&amp;"x"&amp;IF(LEN(InputData[[#This Row],[Alto]])=2,InputData[[#This Row],[Alto]],"0"&amp;InputData[[#This Row],[Alto]])</f>
        <v>2x03</v>
      </c>
    </row>
    <row r="114" spans="1:19" x14ac:dyDescent="0.2">
      <c r="A114" t="s">
        <v>450</v>
      </c>
      <c r="B114" t="s">
        <v>490</v>
      </c>
      <c r="C114" t="s">
        <v>491</v>
      </c>
      <c r="D114" t="s">
        <v>492</v>
      </c>
      <c r="E114" t="s">
        <v>493</v>
      </c>
      <c r="F114" t="s">
        <v>137</v>
      </c>
      <c r="G114" t="s">
        <v>455</v>
      </c>
      <c r="H114" t="s">
        <v>25</v>
      </c>
      <c r="I114" s="9">
        <v>30.022413793103446</v>
      </c>
      <c r="J114" t="s">
        <v>26</v>
      </c>
      <c r="K114" t="s">
        <v>494</v>
      </c>
      <c r="M114" s="6">
        <v>0</v>
      </c>
      <c r="N114" t="s">
        <v>29</v>
      </c>
      <c r="O114" s="5">
        <v>2</v>
      </c>
      <c r="P114" s="7">
        <v>2.0000000005</v>
      </c>
      <c r="Q114" t="str">
        <f>EVALUATE_LOCATION(InputData[[#This Row],[Section]],InputData[[#This Row],[Forma de Pago]],InputData[[#This Row],[Ubic.Pretendida]],InputData[[#This Row],[Nro pag]])</f>
        <v xml:space="preserve"> </v>
      </c>
      <c r="R114">
        <f>ROUND(InputData[[#This Row],[AltoCm]],0)</f>
        <v>2</v>
      </c>
      <c r="S114" t="str">
        <f>InputData[[#This Row],[Col]]&amp;"x"&amp;IF(LEN(InputData[[#This Row],[Alto]])=2,InputData[[#This Row],[Alto]],"0"&amp;InputData[[#This Row],[Alto]])</f>
        <v>2x02</v>
      </c>
    </row>
    <row r="115" spans="1:19" x14ac:dyDescent="0.2">
      <c r="A115" t="s">
        <v>450</v>
      </c>
      <c r="B115" t="s">
        <v>495</v>
      </c>
      <c r="C115" t="s">
        <v>496</v>
      </c>
      <c r="E115" t="s">
        <v>497</v>
      </c>
      <c r="F115" t="s">
        <v>498</v>
      </c>
      <c r="G115" t="s">
        <v>455</v>
      </c>
      <c r="H115" t="s">
        <v>45</v>
      </c>
      <c r="I115" s="9">
        <v>51.824333333333335</v>
      </c>
      <c r="J115" t="s">
        <v>26</v>
      </c>
      <c r="K115" t="s">
        <v>499</v>
      </c>
      <c r="M115" s="6">
        <v>0</v>
      </c>
      <c r="N115" t="s">
        <v>29</v>
      </c>
      <c r="O115" s="5">
        <v>2</v>
      </c>
      <c r="P115" s="7">
        <v>5.0000000012500001</v>
      </c>
      <c r="Q115" t="str">
        <f>EVALUATE_LOCATION(InputData[[#This Row],[Section]],InputData[[#This Row],[Forma de Pago]],InputData[[#This Row],[Ubic.Pretendida]],InputData[[#This Row],[Nro pag]])</f>
        <v xml:space="preserve"> </v>
      </c>
      <c r="R115">
        <f>ROUND(InputData[[#This Row],[AltoCm]],0)</f>
        <v>5</v>
      </c>
      <c r="S115" t="str">
        <f>InputData[[#This Row],[Col]]&amp;"x"&amp;IF(LEN(InputData[[#This Row],[Alto]])=2,InputData[[#This Row],[Alto]],"0"&amp;InputData[[#This Row],[Alto]])</f>
        <v>2x05</v>
      </c>
    </row>
    <row r="116" spans="1:19" x14ac:dyDescent="0.2">
      <c r="A116" t="s">
        <v>450</v>
      </c>
      <c r="B116" t="s">
        <v>500</v>
      </c>
      <c r="C116" t="s">
        <v>501</v>
      </c>
      <c r="E116" t="s">
        <v>502</v>
      </c>
      <c r="F116" t="s">
        <v>503</v>
      </c>
      <c r="G116" t="s">
        <v>455</v>
      </c>
      <c r="H116" t="s">
        <v>45</v>
      </c>
      <c r="I116" s="9">
        <v>36.995444444444438</v>
      </c>
      <c r="J116" t="s">
        <v>26</v>
      </c>
      <c r="K116" t="s">
        <v>504</v>
      </c>
      <c r="M116" s="6">
        <v>0</v>
      </c>
      <c r="N116" t="s">
        <v>29</v>
      </c>
      <c r="O116" s="5">
        <v>2</v>
      </c>
      <c r="P116" s="7">
        <v>4.0000000010000001</v>
      </c>
      <c r="Q116" t="str">
        <f>EVALUATE_LOCATION(InputData[[#This Row],[Section]],InputData[[#This Row],[Forma de Pago]],InputData[[#This Row],[Ubic.Pretendida]],InputData[[#This Row],[Nro pag]])</f>
        <v xml:space="preserve"> </v>
      </c>
      <c r="R116">
        <f>ROUND(InputData[[#This Row],[AltoCm]],0)</f>
        <v>4</v>
      </c>
      <c r="S116" t="str">
        <f>InputData[[#This Row],[Col]]&amp;"x"&amp;IF(LEN(InputData[[#This Row],[Alto]])=2,InputData[[#This Row],[Alto]],"0"&amp;InputData[[#This Row],[Alto]])</f>
        <v>2x04</v>
      </c>
    </row>
    <row r="117" spans="1:19" x14ac:dyDescent="0.2">
      <c r="A117" t="s">
        <v>450</v>
      </c>
      <c r="B117" t="s">
        <v>505</v>
      </c>
      <c r="C117" t="s">
        <v>506</v>
      </c>
      <c r="E117" t="s">
        <v>507</v>
      </c>
      <c r="G117" t="s">
        <v>455</v>
      </c>
      <c r="H117" t="s">
        <v>45</v>
      </c>
      <c r="I117" s="9">
        <v>20.729666666666667</v>
      </c>
      <c r="J117" t="s">
        <v>26</v>
      </c>
      <c r="K117" t="s">
        <v>504</v>
      </c>
      <c r="M117" s="6">
        <v>0</v>
      </c>
      <c r="N117" t="s">
        <v>29</v>
      </c>
      <c r="O117" s="5">
        <v>2</v>
      </c>
      <c r="P117" s="7">
        <v>2.0000000005</v>
      </c>
      <c r="Q117" t="str">
        <f>EVALUATE_LOCATION(InputData[[#This Row],[Section]],InputData[[#This Row],[Forma de Pago]],InputData[[#This Row],[Ubic.Pretendida]],InputData[[#This Row],[Nro pag]])</f>
        <v xml:space="preserve"> </v>
      </c>
      <c r="R117">
        <f>ROUND(InputData[[#This Row],[AltoCm]],0)</f>
        <v>2</v>
      </c>
      <c r="S117" t="str">
        <f>InputData[[#This Row],[Col]]&amp;"x"&amp;IF(LEN(InputData[[#This Row],[Alto]])=2,InputData[[#This Row],[Alto]],"0"&amp;InputData[[#This Row],[Alto]])</f>
        <v>2x02</v>
      </c>
    </row>
    <row r="118" spans="1:19" x14ac:dyDescent="0.2">
      <c r="A118" t="s">
        <v>450</v>
      </c>
      <c r="B118" t="s">
        <v>508</v>
      </c>
      <c r="C118" t="s">
        <v>509</v>
      </c>
      <c r="E118" t="s">
        <v>510</v>
      </c>
      <c r="G118" t="s">
        <v>455</v>
      </c>
      <c r="H118" t="s">
        <v>45</v>
      </c>
      <c r="I118" s="9">
        <v>20.729666666666667</v>
      </c>
      <c r="J118" t="s">
        <v>26</v>
      </c>
      <c r="K118" t="s">
        <v>504</v>
      </c>
      <c r="M118" s="6">
        <v>0</v>
      </c>
      <c r="N118" t="s">
        <v>29</v>
      </c>
      <c r="O118" s="5">
        <v>2</v>
      </c>
      <c r="P118" s="7">
        <v>2.0000000005</v>
      </c>
      <c r="Q118" t="str">
        <f>EVALUATE_LOCATION(InputData[[#This Row],[Section]],InputData[[#This Row],[Forma de Pago]],InputData[[#This Row],[Ubic.Pretendida]],InputData[[#This Row],[Nro pag]])</f>
        <v xml:space="preserve"> </v>
      </c>
      <c r="R118">
        <f>ROUND(InputData[[#This Row],[AltoCm]],0)</f>
        <v>2</v>
      </c>
      <c r="S118" t="str">
        <f>InputData[[#This Row],[Col]]&amp;"x"&amp;IF(LEN(InputData[[#This Row],[Alto]])=2,InputData[[#This Row],[Alto]],"0"&amp;InputData[[#This Row],[Alto]])</f>
        <v>2x02</v>
      </c>
    </row>
    <row r="119" spans="1:19" x14ac:dyDescent="0.2">
      <c r="A119" t="s">
        <v>511</v>
      </c>
      <c r="B119" t="s">
        <v>512</v>
      </c>
      <c r="C119" t="s">
        <v>513</v>
      </c>
      <c r="D119" t="s">
        <v>514</v>
      </c>
      <c r="E119" t="s">
        <v>515</v>
      </c>
      <c r="G119" t="s">
        <v>516</v>
      </c>
      <c r="H119" t="s">
        <v>25</v>
      </c>
      <c r="I119" s="9">
        <v>391.39100000000002</v>
      </c>
      <c r="J119" t="s">
        <v>9</v>
      </c>
      <c r="K119" t="s">
        <v>517</v>
      </c>
      <c r="L119" t="s">
        <v>518</v>
      </c>
      <c r="M119" s="6">
        <v>39</v>
      </c>
      <c r="N119" t="s">
        <v>29</v>
      </c>
      <c r="O119" s="5">
        <v>5</v>
      </c>
      <c r="P119" s="7">
        <v>2.7657777777777777</v>
      </c>
      <c r="Q119" t="str">
        <f>EVALUATE_LOCATION(InputData[[#This Row],[Section]],InputData[[#This Row],[Forma de Pago]],InputData[[#This Row],[Ubic.Pretendida]],InputData[[#This Row],[Nro pag]])</f>
        <v xml:space="preserve"> </v>
      </c>
      <c r="R119">
        <f>ROUND(InputData[[#This Row],[AltoCm]],0)</f>
        <v>3</v>
      </c>
      <c r="S119" t="str">
        <f>InputData[[#This Row],[Col]]&amp;"x"&amp;IF(LEN(InputData[[#This Row],[Alto]])=2,InputData[[#This Row],[Alto]],"0"&amp;InputData[[#This Row],[Alto]])</f>
        <v>5x03</v>
      </c>
    </row>
    <row r="120" spans="1:19" x14ac:dyDescent="0.2">
      <c r="A120" t="s">
        <v>519</v>
      </c>
      <c r="B120" t="s">
        <v>520</v>
      </c>
      <c r="C120" t="s">
        <v>521</v>
      </c>
      <c r="D120" t="s">
        <v>522</v>
      </c>
      <c r="E120" t="s">
        <v>523</v>
      </c>
      <c r="G120" t="s">
        <v>355</v>
      </c>
      <c r="H120" t="s">
        <v>74</v>
      </c>
      <c r="I120" s="9">
        <v>2776.25</v>
      </c>
      <c r="J120" t="s">
        <v>26</v>
      </c>
      <c r="K120" t="s">
        <v>356</v>
      </c>
      <c r="L120" t="s">
        <v>356</v>
      </c>
      <c r="M120" s="6">
        <v>4</v>
      </c>
      <c r="N120" t="s">
        <v>29</v>
      </c>
      <c r="O120" s="5">
        <v>5</v>
      </c>
      <c r="P120" s="7">
        <v>16.989777777777778</v>
      </c>
      <c r="Q120" t="str">
        <f>EVALUATE_LOCATION(InputData[[#This Row],[Section]],InputData[[#This Row],[Forma de Pago]],InputData[[#This Row],[Ubic.Pretendida]],InputData[[#This Row],[Nro pag]])</f>
        <v xml:space="preserve"> </v>
      </c>
      <c r="R120">
        <f>ROUND(InputData[[#This Row],[AltoCm]],0)</f>
        <v>17</v>
      </c>
      <c r="S120" t="str">
        <f>InputData[[#This Row],[Col]]&amp;"x"&amp;IF(LEN(InputData[[#This Row],[Alto]])=2,InputData[[#This Row],[Alto]],"0"&amp;InputData[[#This Row],[Alto]])</f>
        <v>5x17</v>
      </c>
    </row>
    <row r="121" spans="1:19" x14ac:dyDescent="0.2">
      <c r="A121" t="s">
        <v>524</v>
      </c>
      <c r="B121" t="s">
        <v>525</v>
      </c>
      <c r="C121" t="s">
        <v>477</v>
      </c>
      <c r="D121" t="s">
        <v>526</v>
      </c>
      <c r="E121" t="s">
        <v>479</v>
      </c>
      <c r="G121" t="s">
        <v>355</v>
      </c>
      <c r="H121" t="s">
        <v>25</v>
      </c>
      <c r="I121" s="9">
        <v>421.08</v>
      </c>
      <c r="J121" t="s">
        <v>9</v>
      </c>
      <c r="K121" t="s">
        <v>376</v>
      </c>
      <c r="L121" t="s">
        <v>376</v>
      </c>
      <c r="M121" s="6">
        <v>2</v>
      </c>
      <c r="N121" t="s">
        <v>29</v>
      </c>
      <c r="O121" s="5">
        <v>2</v>
      </c>
      <c r="P121" s="7">
        <v>9.8777777777777782</v>
      </c>
      <c r="Q121" t="str">
        <f>EVALUATE_LOCATION(InputData[[#This Row],[Section]],InputData[[#This Row],[Forma de Pago]],InputData[[#This Row],[Ubic.Pretendida]],InputData[[#This Row],[Nro pag]])</f>
        <v xml:space="preserve"> </v>
      </c>
      <c r="R121">
        <f>ROUND(InputData[[#This Row],[AltoCm]],0)</f>
        <v>10</v>
      </c>
      <c r="S121" t="str">
        <f>InputData[[#This Row],[Col]]&amp;"x"&amp;IF(LEN(InputData[[#This Row],[Alto]])=2,InputData[[#This Row],[Alto]],"0"&amp;InputData[[#This Row],[Alto]])</f>
        <v>2x10</v>
      </c>
    </row>
    <row r="122" spans="1:19" x14ac:dyDescent="0.2">
      <c r="A122" t="s">
        <v>524</v>
      </c>
      <c r="B122" t="s">
        <v>527</v>
      </c>
      <c r="C122" t="s">
        <v>296</v>
      </c>
      <c r="D122" t="s">
        <v>528</v>
      </c>
      <c r="E122" t="s">
        <v>529</v>
      </c>
      <c r="G122" t="s">
        <v>355</v>
      </c>
      <c r="H122" t="s">
        <v>25</v>
      </c>
      <c r="I122" s="9">
        <v>1754.5</v>
      </c>
      <c r="J122" t="s">
        <v>9</v>
      </c>
      <c r="K122" t="s">
        <v>376</v>
      </c>
      <c r="L122" t="s">
        <v>376</v>
      </c>
      <c r="M122" s="6">
        <v>4</v>
      </c>
      <c r="N122" t="s">
        <v>29</v>
      </c>
      <c r="O122" s="5">
        <v>5</v>
      </c>
      <c r="P122" s="7">
        <v>16.989777777777778</v>
      </c>
      <c r="Q122" t="str">
        <f>EVALUATE_LOCATION(InputData[[#This Row],[Section]],InputData[[#This Row],[Forma de Pago]],InputData[[#This Row],[Ubic.Pretendida]],InputData[[#This Row],[Nro pag]])</f>
        <v xml:space="preserve"> </v>
      </c>
      <c r="R122">
        <f>ROUND(InputData[[#This Row],[AltoCm]],0)</f>
        <v>17</v>
      </c>
      <c r="S122" t="str">
        <f>InputData[[#This Row],[Col]]&amp;"x"&amp;IF(LEN(InputData[[#This Row],[Alto]])=2,InputData[[#This Row],[Alto]],"0"&amp;InputData[[#This Row],[Alto]])</f>
        <v>5x17</v>
      </c>
    </row>
    <row r="123" spans="1:19" x14ac:dyDescent="0.2">
      <c r="A123" t="s">
        <v>524</v>
      </c>
      <c r="B123" t="s">
        <v>530</v>
      </c>
      <c r="C123" t="s">
        <v>531</v>
      </c>
      <c r="D123" t="s">
        <v>532</v>
      </c>
      <c r="E123" t="s">
        <v>533</v>
      </c>
      <c r="G123" t="s">
        <v>355</v>
      </c>
      <c r="H123" t="s">
        <v>25</v>
      </c>
      <c r="I123" s="9">
        <v>314.39999999999998</v>
      </c>
      <c r="J123" t="s">
        <v>9</v>
      </c>
      <c r="K123" t="s">
        <v>376</v>
      </c>
      <c r="L123" t="s">
        <v>376</v>
      </c>
      <c r="M123" s="6">
        <v>3</v>
      </c>
      <c r="N123" t="s">
        <v>29</v>
      </c>
      <c r="O123" s="5">
        <v>2</v>
      </c>
      <c r="P123" s="7">
        <v>6.3217777777777773</v>
      </c>
      <c r="Q123" t="str">
        <f>EVALUATE_LOCATION(InputData[[#This Row],[Section]],InputData[[#This Row],[Forma de Pago]],InputData[[#This Row],[Ubic.Pretendida]],InputData[[#This Row],[Nro pag]])</f>
        <v xml:space="preserve"> </v>
      </c>
      <c r="R123">
        <f>ROUND(InputData[[#This Row],[AltoCm]],0)</f>
        <v>6</v>
      </c>
      <c r="S123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454"/>
  <sheetViews>
    <sheetView tabSelected="1" zoomScaleNormal="100" workbookViewId="0">
      <selection activeCell="M1" sqref="M1"/>
    </sheetView>
  </sheetViews>
  <sheetFormatPr baseColWidth="10" defaultColWidth="11.42578125" defaultRowHeight="24" customHeight="1" x14ac:dyDescent="0.2"/>
  <cols>
    <col min="1" max="1" width="8.7109375" style="1" customWidth="1"/>
    <col min="2" max="3" width="4.7109375" style="1" customWidth="1"/>
    <col min="4" max="4" width="32.7109375" style="1" customWidth="1"/>
    <col min="5" max="8" width="4.7109375" style="1" customWidth="1"/>
    <col min="9" max="10" width="8.7109375" style="1" customWidth="1"/>
    <col min="11" max="11" width="12.7109375" style="1" customWidth="1"/>
    <col min="12" max="12" width="4.7109375" style="4" customWidth="1"/>
    <col min="13" max="16384" width="11.42578125" style="1"/>
  </cols>
  <sheetData>
    <row r="1" spans="1:12" ht="39" x14ac:dyDescent="0.2">
      <c r="A1" s="10" t="s">
        <v>0</v>
      </c>
      <c r="B1" s="10" t="s">
        <v>534</v>
      </c>
      <c r="C1" s="10" t="s">
        <v>535</v>
      </c>
      <c r="D1" s="10" t="s">
        <v>4</v>
      </c>
      <c r="E1" s="14" t="s">
        <v>536</v>
      </c>
      <c r="F1" s="14" t="s">
        <v>537</v>
      </c>
      <c r="G1" s="14" t="s">
        <v>538</v>
      </c>
      <c r="H1" s="14" t="s">
        <v>539</v>
      </c>
      <c r="I1" s="10" t="s">
        <v>540</v>
      </c>
      <c r="J1" s="10" t="s">
        <v>541</v>
      </c>
      <c r="K1" s="10" t="s">
        <v>1</v>
      </c>
      <c r="L1" s="15" t="s">
        <v>542</v>
      </c>
    </row>
    <row r="2" spans="1:12" ht="24" customHeight="1" x14ac:dyDescent="0.2">
      <c r="A2" s="11" t="s">
        <v>524</v>
      </c>
      <c r="B2" s="11">
        <v>2</v>
      </c>
      <c r="C2" s="11" t="s">
        <v>376</v>
      </c>
      <c r="D2" s="11" t="s">
        <v>479</v>
      </c>
      <c r="E2" s="11" t="s">
        <v>543</v>
      </c>
      <c r="F2" s="11" t="s">
        <v>543</v>
      </c>
      <c r="G2" s="11" t="s">
        <v>544</v>
      </c>
      <c r="H2" s="11" t="s">
        <v>9</v>
      </c>
      <c r="I2" s="11" t="s">
        <v>543</v>
      </c>
      <c r="J2" s="11" t="s">
        <v>526</v>
      </c>
      <c r="K2" s="11" t="s">
        <v>525</v>
      </c>
      <c r="L2" s="16">
        <v>1</v>
      </c>
    </row>
    <row r="3" spans="1:12" ht="12.75" x14ac:dyDescent="0.2">
      <c r="A3" s="12"/>
      <c r="B3" s="17" t="s">
        <v>545</v>
      </c>
      <c r="C3" s="18"/>
      <c r="D3" s="18"/>
      <c r="E3" s="18"/>
      <c r="F3" s="18"/>
      <c r="G3" s="18"/>
      <c r="H3" s="18"/>
      <c r="I3" s="18"/>
      <c r="J3" s="18"/>
      <c r="K3" s="18"/>
      <c r="L3" s="19">
        <v>1</v>
      </c>
    </row>
    <row r="4" spans="1:12" ht="24" customHeight="1" x14ac:dyDescent="0.2">
      <c r="A4" s="12"/>
      <c r="B4" s="11">
        <v>3</v>
      </c>
      <c r="C4" s="11" t="s">
        <v>376</v>
      </c>
      <c r="D4" s="11" t="s">
        <v>533</v>
      </c>
      <c r="E4" s="11" t="s">
        <v>543</v>
      </c>
      <c r="F4" s="11" t="s">
        <v>543</v>
      </c>
      <c r="G4" s="11" t="s">
        <v>546</v>
      </c>
      <c r="H4" s="11" t="s">
        <v>9</v>
      </c>
      <c r="I4" s="11" t="s">
        <v>543</v>
      </c>
      <c r="J4" s="11" t="s">
        <v>532</v>
      </c>
      <c r="K4" s="11" t="s">
        <v>530</v>
      </c>
      <c r="L4" s="16">
        <v>1</v>
      </c>
    </row>
    <row r="5" spans="1:12" ht="12.75" x14ac:dyDescent="0.2">
      <c r="A5" s="12"/>
      <c r="B5" s="17" t="s">
        <v>547</v>
      </c>
      <c r="C5" s="18"/>
      <c r="D5" s="18"/>
      <c r="E5" s="18"/>
      <c r="F5" s="18"/>
      <c r="G5" s="18"/>
      <c r="H5" s="18"/>
      <c r="I5" s="18"/>
      <c r="J5" s="18"/>
      <c r="K5" s="18"/>
      <c r="L5" s="19">
        <v>1</v>
      </c>
    </row>
    <row r="6" spans="1:12" ht="24" customHeight="1" x14ac:dyDescent="0.2">
      <c r="A6" s="12"/>
      <c r="B6" s="11">
        <v>4</v>
      </c>
      <c r="C6" s="11" t="s">
        <v>376</v>
      </c>
      <c r="D6" s="11" t="s">
        <v>529</v>
      </c>
      <c r="E6" s="11" t="s">
        <v>543</v>
      </c>
      <c r="F6" s="11" t="s">
        <v>543</v>
      </c>
      <c r="G6" s="11" t="s">
        <v>548</v>
      </c>
      <c r="H6" s="11" t="s">
        <v>9</v>
      </c>
      <c r="I6" s="11" t="s">
        <v>543</v>
      </c>
      <c r="J6" s="11" t="s">
        <v>528</v>
      </c>
      <c r="K6" s="11" t="s">
        <v>527</v>
      </c>
      <c r="L6" s="16">
        <v>1</v>
      </c>
    </row>
    <row r="7" spans="1:12" ht="12.75" x14ac:dyDescent="0.2">
      <c r="A7" s="12"/>
      <c r="B7" s="17" t="s">
        <v>549</v>
      </c>
      <c r="C7" s="18"/>
      <c r="D7" s="18"/>
      <c r="E7" s="18"/>
      <c r="F7" s="18"/>
      <c r="G7" s="18"/>
      <c r="H7" s="18"/>
      <c r="I7" s="18"/>
      <c r="J7" s="18"/>
      <c r="K7" s="18"/>
      <c r="L7" s="19">
        <v>1</v>
      </c>
    </row>
    <row r="8" spans="1:12" ht="24" customHeight="1" x14ac:dyDescent="0.2">
      <c r="A8" s="11" t="s">
        <v>519</v>
      </c>
      <c r="B8" s="11">
        <v>4</v>
      </c>
      <c r="C8" s="11" t="s">
        <v>356</v>
      </c>
      <c r="D8" s="11" t="s">
        <v>523</v>
      </c>
      <c r="E8" s="11" t="s">
        <v>543</v>
      </c>
      <c r="F8" s="11" t="s">
        <v>543</v>
      </c>
      <c r="G8" s="11" t="s">
        <v>548</v>
      </c>
      <c r="H8" s="11" t="s">
        <v>26</v>
      </c>
      <c r="I8" s="11" t="s">
        <v>74</v>
      </c>
      <c r="J8" s="11" t="s">
        <v>522</v>
      </c>
      <c r="K8" s="11" t="s">
        <v>520</v>
      </c>
      <c r="L8" s="16">
        <v>1</v>
      </c>
    </row>
    <row r="9" spans="1:12" ht="12.75" x14ac:dyDescent="0.2">
      <c r="A9" s="12"/>
      <c r="B9" s="17" t="s">
        <v>549</v>
      </c>
      <c r="C9" s="18"/>
      <c r="D9" s="18"/>
      <c r="E9" s="18"/>
      <c r="F9" s="18"/>
      <c r="G9" s="18"/>
      <c r="H9" s="18"/>
      <c r="I9" s="18"/>
      <c r="J9" s="18"/>
      <c r="K9" s="18"/>
      <c r="L9" s="19">
        <v>1</v>
      </c>
    </row>
    <row r="10" spans="1:12" ht="24" customHeight="1" x14ac:dyDescent="0.2">
      <c r="A10" s="11" t="s">
        <v>511</v>
      </c>
      <c r="B10" s="11">
        <v>39</v>
      </c>
      <c r="C10" s="11" t="s">
        <v>517</v>
      </c>
      <c r="D10" s="11" t="s">
        <v>515</v>
      </c>
      <c r="E10" s="11" t="s">
        <v>543</v>
      </c>
      <c r="F10" s="11" t="s">
        <v>543</v>
      </c>
      <c r="G10" s="11" t="s">
        <v>550</v>
      </c>
      <c r="H10" s="11" t="s">
        <v>9</v>
      </c>
      <c r="I10" s="11" t="s">
        <v>543</v>
      </c>
      <c r="J10" s="11" t="s">
        <v>514</v>
      </c>
      <c r="K10" s="11" t="s">
        <v>512</v>
      </c>
      <c r="L10" s="16">
        <v>1</v>
      </c>
    </row>
    <row r="11" spans="1:12" ht="12.75" x14ac:dyDescent="0.2">
      <c r="A11" s="12"/>
      <c r="B11" s="17" t="s">
        <v>551</v>
      </c>
      <c r="C11" s="18"/>
      <c r="D11" s="18"/>
      <c r="E11" s="18"/>
      <c r="F11" s="18"/>
      <c r="G11" s="18"/>
      <c r="H11" s="18"/>
      <c r="I11" s="18"/>
      <c r="J11" s="18"/>
      <c r="K11" s="18"/>
      <c r="L11" s="19">
        <v>1</v>
      </c>
    </row>
    <row r="12" spans="1:12" ht="24" customHeight="1" x14ac:dyDescent="0.2">
      <c r="A12" s="11" t="s">
        <v>450</v>
      </c>
      <c r="B12" s="11">
        <v>0</v>
      </c>
      <c r="C12" s="11" t="s">
        <v>504</v>
      </c>
      <c r="D12" s="11" t="s">
        <v>502</v>
      </c>
      <c r="E12" s="11" t="s">
        <v>543</v>
      </c>
      <c r="F12" s="11" t="s">
        <v>543</v>
      </c>
      <c r="G12" s="11" t="s">
        <v>552</v>
      </c>
      <c r="H12" s="11" t="s">
        <v>26</v>
      </c>
      <c r="I12" s="11" t="s">
        <v>45</v>
      </c>
      <c r="J12" s="11" t="s">
        <v>543</v>
      </c>
      <c r="K12" s="11" t="s">
        <v>500</v>
      </c>
      <c r="L12" s="16">
        <v>1</v>
      </c>
    </row>
    <row r="13" spans="1:12" ht="24" customHeight="1" x14ac:dyDescent="0.2">
      <c r="A13" s="12"/>
      <c r="B13" s="12"/>
      <c r="C13" s="12"/>
      <c r="D13" s="11" t="s">
        <v>507</v>
      </c>
      <c r="E13" s="11" t="s">
        <v>543</v>
      </c>
      <c r="F13" s="11" t="s">
        <v>543</v>
      </c>
      <c r="G13" s="11" t="s">
        <v>553</v>
      </c>
      <c r="H13" s="11" t="s">
        <v>26</v>
      </c>
      <c r="I13" s="11" t="s">
        <v>45</v>
      </c>
      <c r="J13" s="11" t="s">
        <v>543</v>
      </c>
      <c r="K13" s="11" t="s">
        <v>505</v>
      </c>
      <c r="L13" s="16">
        <v>1</v>
      </c>
    </row>
    <row r="14" spans="1:12" ht="24" customHeight="1" x14ac:dyDescent="0.2">
      <c r="A14" s="12"/>
      <c r="B14" s="12"/>
      <c r="C14" s="12"/>
      <c r="D14" s="11" t="s">
        <v>510</v>
      </c>
      <c r="E14" s="11" t="s">
        <v>543</v>
      </c>
      <c r="F14" s="11" t="s">
        <v>543</v>
      </c>
      <c r="G14" s="11" t="s">
        <v>553</v>
      </c>
      <c r="H14" s="11" t="s">
        <v>26</v>
      </c>
      <c r="I14" s="11" t="s">
        <v>45</v>
      </c>
      <c r="J14" s="11" t="s">
        <v>543</v>
      </c>
      <c r="K14" s="11" t="s">
        <v>508</v>
      </c>
      <c r="L14" s="16">
        <v>1</v>
      </c>
    </row>
    <row r="15" spans="1:12" ht="24" customHeight="1" x14ac:dyDescent="0.2">
      <c r="A15" s="12"/>
      <c r="B15" s="12"/>
      <c r="C15" s="11" t="s">
        <v>485</v>
      </c>
      <c r="D15" s="11" t="s">
        <v>489</v>
      </c>
      <c r="E15" s="11" t="s">
        <v>543</v>
      </c>
      <c r="F15" s="11" t="s">
        <v>543</v>
      </c>
      <c r="G15" s="11" t="s">
        <v>554</v>
      </c>
      <c r="H15" s="11" t="s">
        <v>26</v>
      </c>
      <c r="I15" s="11" t="s">
        <v>543</v>
      </c>
      <c r="J15" s="11" t="s">
        <v>488</v>
      </c>
      <c r="K15" s="11" t="s">
        <v>486</v>
      </c>
      <c r="L15" s="16">
        <v>1</v>
      </c>
    </row>
    <row r="16" spans="1:12" ht="24" customHeight="1" x14ac:dyDescent="0.2">
      <c r="A16" s="12"/>
      <c r="B16" s="12"/>
      <c r="C16" s="12"/>
      <c r="D16" s="11" t="s">
        <v>483</v>
      </c>
      <c r="E16" s="11" t="s">
        <v>543</v>
      </c>
      <c r="F16" s="11" t="s">
        <v>543</v>
      </c>
      <c r="G16" s="11" t="s">
        <v>553</v>
      </c>
      <c r="H16" s="11" t="s">
        <v>26</v>
      </c>
      <c r="I16" s="11" t="s">
        <v>45</v>
      </c>
      <c r="J16" s="11" t="s">
        <v>543</v>
      </c>
      <c r="K16" s="11" t="s">
        <v>481</v>
      </c>
      <c r="L16" s="16">
        <v>1</v>
      </c>
    </row>
    <row r="17" spans="1:12" ht="24" customHeight="1" x14ac:dyDescent="0.2">
      <c r="A17" s="12"/>
      <c r="B17" s="12"/>
      <c r="C17" s="11" t="s">
        <v>480</v>
      </c>
      <c r="D17" s="11" t="s">
        <v>479</v>
      </c>
      <c r="E17" s="11" t="s">
        <v>543</v>
      </c>
      <c r="F17" s="11" t="s">
        <v>543</v>
      </c>
      <c r="G17" s="11" t="s">
        <v>552</v>
      </c>
      <c r="H17" s="11" t="s">
        <v>26</v>
      </c>
      <c r="I17" s="11" t="s">
        <v>543</v>
      </c>
      <c r="J17" s="11" t="s">
        <v>478</v>
      </c>
      <c r="K17" s="11" t="s">
        <v>476</v>
      </c>
      <c r="L17" s="16">
        <v>1</v>
      </c>
    </row>
    <row r="18" spans="1:12" ht="24" customHeight="1" x14ac:dyDescent="0.2">
      <c r="A18" s="12"/>
      <c r="B18" s="12"/>
      <c r="C18" s="11" t="s">
        <v>475</v>
      </c>
      <c r="D18" s="11" t="s">
        <v>473</v>
      </c>
      <c r="E18" s="11" t="s">
        <v>543</v>
      </c>
      <c r="F18" s="11" t="s">
        <v>543</v>
      </c>
      <c r="G18" s="11" t="s">
        <v>554</v>
      </c>
      <c r="H18" s="11" t="s">
        <v>26</v>
      </c>
      <c r="I18" s="11" t="s">
        <v>45</v>
      </c>
      <c r="J18" s="11" t="s">
        <v>543</v>
      </c>
      <c r="K18" s="11" t="s">
        <v>471</v>
      </c>
      <c r="L18" s="16">
        <v>1</v>
      </c>
    </row>
    <row r="19" spans="1:12" ht="24" customHeight="1" x14ac:dyDescent="0.2">
      <c r="A19" s="12"/>
      <c r="B19" s="12"/>
      <c r="C19" s="11" t="s">
        <v>494</v>
      </c>
      <c r="D19" s="11" t="s">
        <v>493</v>
      </c>
      <c r="E19" s="11" t="s">
        <v>543</v>
      </c>
      <c r="F19" s="11" t="s">
        <v>543</v>
      </c>
      <c r="G19" s="11" t="s">
        <v>553</v>
      </c>
      <c r="H19" s="11" t="s">
        <v>26</v>
      </c>
      <c r="I19" s="11" t="s">
        <v>543</v>
      </c>
      <c r="J19" s="11" t="s">
        <v>492</v>
      </c>
      <c r="K19" s="11" t="s">
        <v>490</v>
      </c>
      <c r="L19" s="16">
        <v>1</v>
      </c>
    </row>
    <row r="20" spans="1:12" ht="24" customHeight="1" x14ac:dyDescent="0.2">
      <c r="A20" s="12"/>
      <c r="B20" s="12"/>
      <c r="C20" s="11" t="s">
        <v>456</v>
      </c>
      <c r="D20" s="11" t="s">
        <v>453</v>
      </c>
      <c r="E20" s="11" t="s">
        <v>543</v>
      </c>
      <c r="F20" s="11" t="s">
        <v>543</v>
      </c>
      <c r="G20" s="11" t="s">
        <v>554</v>
      </c>
      <c r="H20" s="11" t="s">
        <v>26</v>
      </c>
      <c r="I20" s="11" t="s">
        <v>45</v>
      </c>
      <c r="J20" s="11" t="s">
        <v>543</v>
      </c>
      <c r="K20" s="11" t="s">
        <v>451</v>
      </c>
      <c r="L20" s="16">
        <v>1</v>
      </c>
    </row>
    <row r="21" spans="1:12" ht="24" customHeight="1" x14ac:dyDescent="0.2">
      <c r="A21" s="12"/>
      <c r="B21" s="12"/>
      <c r="C21" s="11" t="s">
        <v>461</v>
      </c>
      <c r="D21" s="11" t="s">
        <v>459</v>
      </c>
      <c r="E21" s="11" t="s">
        <v>543</v>
      </c>
      <c r="F21" s="11" t="s">
        <v>543</v>
      </c>
      <c r="G21" s="11" t="s">
        <v>555</v>
      </c>
      <c r="H21" s="11" t="s">
        <v>9</v>
      </c>
      <c r="I21" s="11" t="s">
        <v>45</v>
      </c>
      <c r="J21" s="11" t="s">
        <v>543</v>
      </c>
      <c r="K21" s="11" t="s">
        <v>457</v>
      </c>
      <c r="L21" s="16">
        <v>1</v>
      </c>
    </row>
    <row r="22" spans="1:12" ht="24" customHeight="1" x14ac:dyDescent="0.2">
      <c r="A22" s="12"/>
      <c r="B22" s="12"/>
      <c r="C22" s="11" t="s">
        <v>499</v>
      </c>
      <c r="D22" s="11" t="s">
        <v>497</v>
      </c>
      <c r="E22" s="11" t="s">
        <v>543</v>
      </c>
      <c r="F22" s="11" t="s">
        <v>543</v>
      </c>
      <c r="G22" s="11" t="s">
        <v>555</v>
      </c>
      <c r="H22" s="11" t="s">
        <v>26</v>
      </c>
      <c r="I22" s="11" t="s">
        <v>45</v>
      </c>
      <c r="J22" s="11" t="s">
        <v>543</v>
      </c>
      <c r="K22" s="11" t="s">
        <v>495</v>
      </c>
      <c r="L22" s="16">
        <v>1</v>
      </c>
    </row>
    <row r="23" spans="1:12" ht="24" customHeight="1" x14ac:dyDescent="0.2">
      <c r="A23" s="12"/>
      <c r="B23" s="12"/>
      <c r="C23" s="11" t="s">
        <v>465</v>
      </c>
      <c r="D23" s="11" t="s">
        <v>464</v>
      </c>
      <c r="E23" s="11" t="s">
        <v>543</v>
      </c>
      <c r="F23" s="11" t="s">
        <v>543</v>
      </c>
      <c r="G23" s="11" t="s">
        <v>553</v>
      </c>
      <c r="H23" s="11" t="s">
        <v>26</v>
      </c>
      <c r="I23" s="11" t="s">
        <v>45</v>
      </c>
      <c r="J23" s="11" t="s">
        <v>543</v>
      </c>
      <c r="K23" s="11" t="s">
        <v>462</v>
      </c>
      <c r="L23" s="16">
        <v>1</v>
      </c>
    </row>
    <row r="24" spans="1:12" ht="24" customHeight="1" x14ac:dyDescent="0.2">
      <c r="A24" s="12"/>
      <c r="B24" s="12"/>
      <c r="C24" s="11" t="s">
        <v>470</v>
      </c>
      <c r="D24" s="11" t="s">
        <v>468</v>
      </c>
      <c r="E24" s="11" t="s">
        <v>543</v>
      </c>
      <c r="F24" s="11" t="s">
        <v>543</v>
      </c>
      <c r="G24" s="11" t="s">
        <v>555</v>
      </c>
      <c r="H24" s="11" t="s">
        <v>26</v>
      </c>
      <c r="I24" s="11" t="s">
        <v>45</v>
      </c>
      <c r="J24" s="11" t="s">
        <v>543</v>
      </c>
      <c r="K24" s="11" t="s">
        <v>466</v>
      </c>
      <c r="L24" s="16">
        <v>1</v>
      </c>
    </row>
    <row r="25" spans="1:12" ht="12.75" x14ac:dyDescent="0.2">
      <c r="A25" s="12"/>
      <c r="B25" s="17" t="s">
        <v>556</v>
      </c>
      <c r="C25" s="18"/>
      <c r="D25" s="18"/>
      <c r="E25" s="18"/>
      <c r="F25" s="18"/>
      <c r="G25" s="18"/>
      <c r="H25" s="18"/>
      <c r="I25" s="18"/>
      <c r="J25" s="18"/>
      <c r="K25" s="18"/>
      <c r="L25" s="19">
        <v>13</v>
      </c>
    </row>
    <row r="26" spans="1:12" ht="24" customHeight="1" x14ac:dyDescent="0.2">
      <c r="A26" s="11" t="s">
        <v>350</v>
      </c>
      <c r="B26" s="11">
        <v>0</v>
      </c>
      <c r="C26" s="11" t="s">
        <v>381</v>
      </c>
      <c r="D26" s="11" t="s">
        <v>385</v>
      </c>
      <c r="E26" s="11" t="s">
        <v>543</v>
      </c>
      <c r="F26" s="11" t="s">
        <v>543</v>
      </c>
      <c r="G26" s="11" t="s">
        <v>554</v>
      </c>
      <c r="H26" s="11" t="s">
        <v>9</v>
      </c>
      <c r="I26" s="11" t="s">
        <v>543</v>
      </c>
      <c r="J26" s="11" t="s">
        <v>384</v>
      </c>
      <c r="K26" s="11" t="s">
        <v>382</v>
      </c>
      <c r="L26" s="16">
        <v>1</v>
      </c>
    </row>
    <row r="27" spans="1:12" ht="24" customHeight="1" x14ac:dyDescent="0.2">
      <c r="A27" s="12"/>
      <c r="B27" s="12"/>
      <c r="C27" s="12"/>
      <c r="D27" s="11" t="s">
        <v>389</v>
      </c>
      <c r="E27" s="11" t="s">
        <v>543</v>
      </c>
      <c r="F27" s="11" t="s">
        <v>543</v>
      </c>
      <c r="G27" s="11" t="s">
        <v>554</v>
      </c>
      <c r="H27" s="11" t="s">
        <v>9</v>
      </c>
      <c r="I27" s="11" t="s">
        <v>543</v>
      </c>
      <c r="J27" s="11" t="s">
        <v>388</v>
      </c>
      <c r="K27" s="11" t="s">
        <v>386</v>
      </c>
      <c r="L27" s="16">
        <v>1</v>
      </c>
    </row>
    <row r="28" spans="1:12" ht="12.75" x14ac:dyDescent="0.2">
      <c r="A28" s="12"/>
      <c r="B28" s="17" t="s">
        <v>556</v>
      </c>
      <c r="C28" s="18"/>
      <c r="D28" s="18"/>
      <c r="E28" s="18"/>
      <c r="F28" s="18"/>
      <c r="G28" s="18"/>
      <c r="H28" s="18"/>
      <c r="I28" s="18"/>
      <c r="J28" s="18"/>
      <c r="K28" s="18"/>
      <c r="L28" s="19">
        <v>2</v>
      </c>
    </row>
    <row r="29" spans="1:12" ht="24" customHeight="1" x14ac:dyDescent="0.2">
      <c r="A29" s="12"/>
      <c r="B29" s="11">
        <v>5</v>
      </c>
      <c r="C29" s="11" t="s">
        <v>429</v>
      </c>
      <c r="D29" s="11" t="s">
        <v>441</v>
      </c>
      <c r="E29" s="11" t="s">
        <v>543</v>
      </c>
      <c r="F29" s="11" t="s">
        <v>543</v>
      </c>
      <c r="G29" s="11" t="s">
        <v>548</v>
      </c>
      <c r="H29" s="11" t="s">
        <v>9</v>
      </c>
      <c r="I29" s="11" t="s">
        <v>543</v>
      </c>
      <c r="J29" s="11" t="s">
        <v>426</v>
      </c>
      <c r="K29" s="11" t="s">
        <v>439</v>
      </c>
      <c r="L29" s="16">
        <v>1</v>
      </c>
    </row>
    <row r="30" spans="1:12" ht="12.75" x14ac:dyDescent="0.2">
      <c r="A30" s="12"/>
      <c r="B30" s="17" t="s">
        <v>557</v>
      </c>
      <c r="C30" s="18"/>
      <c r="D30" s="18"/>
      <c r="E30" s="18"/>
      <c r="F30" s="18"/>
      <c r="G30" s="18"/>
      <c r="H30" s="18"/>
      <c r="I30" s="18"/>
      <c r="J30" s="18"/>
      <c r="K30" s="18"/>
      <c r="L30" s="19">
        <v>1</v>
      </c>
    </row>
    <row r="31" spans="1:12" ht="24" customHeight="1" x14ac:dyDescent="0.2">
      <c r="A31" s="12"/>
      <c r="B31" s="11">
        <v>7</v>
      </c>
      <c r="C31" s="11" t="s">
        <v>429</v>
      </c>
      <c r="D31" s="11" t="s">
        <v>445</v>
      </c>
      <c r="E31" s="11" t="s">
        <v>543</v>
      </c>
      <c r="F31" s="11" t="s">
        <v>543</v>
      </c>
      <c r="G31" s="11" t="s">
        <v>548</v>
      </c>
      <c r="H31" s="11" t="s">
        <v>26</v>
      </c>
      <c r="I31" s="11" t="s">
        <v>543</v>
      </c>
      <c r="J31" s="11" t="s">
        <v>444</v>
      </c>
      <c r="K31" s="11" t="s">
        <v>442</v>
      </c>
      <c r="L31" s="16">
        <v>1</v>
      </c>
    </row>
    <row r="32" spans="1:12" ht="12.75" x14ac:dyDescent="0.2">
      <c r="A32" s="12"/>
      <c r="B32" s="17" t="s">
        <v>558</v>
      </c>
      <c r="C32" s="18"/>
      <c r="D32" s="18"/>
      <c r="E32" s="18"/>
      <c r="F32" s="18"/>
      <c r="G32" s="18"/>
      <c r="H32" s="18"/>
      <c r="I32" s="18"/>
      <c r="J32" s="18"/>
      <c r="K32" s="18"/>
      <c r="L32" s="19">
        <v>1</v>
      </c>
    </row>
    <row r="33" spans="1:12" ht="24" customHeight="1" x14ac:dyDescent="0.2">
      <c r="A33" s="12"/>
      <c r="B33" s="11">
        <v>8</v>
      </c>
      <c r="C33" s="11" t="s">
        <v>399</v>
      </c>
      <c r="D33" s="11" t="s">
        <v>402</v>
      </c>
      <c r="E33" s="11" t="s">
        <v>543</v>
      </c>
      <c r="F33" s="11" t="s">
        <v>543</v>
      </c>
      <c r="G33" s="11" t="s">
        <v>559</v>
      </c>
      <c r="H33" s="11" t="s">
        <v>9</v>
      </c>
      <c r="I33" s="11" t="s">
        <v>543</v>
      </c>
      <c r="J33" s="11" t="s">
        <v>401</v>
      </c>
      <c r="K33" s="11" t="s">
        <v>400</v>
      </c>
      <c r="L33" s="16">
        <v>1</v>
      </c>
    </row>
    <row r="34" spans="1:12" ht="12.75" x14ac:dyDescent="0.2">
      <c r="A34" s="12"/>
      <c r="B34" s="17" t="s">
        <v>560</v>
      </c>
      <c r="C34" s="18"/>
      <c r="D34" s="18"/>
      <c r="E34" s="18"/>
      <c r="F34" s="18"/>
      <c r="G34" s="18"/>
      <c r="H34" s="18"/>
      <c r="I34" s="18"/>
      <c r="J34" s="18"/>
      <c r="K34" s="18"/>
      <c r="L34" s="19">
        <v>1</v>
      </c>
    </row>
    <row r="35" spans="1:12" ht="24" customHeight="1" x14ac:dyDescent="0.2">
      <c r="A35" s="12"/>
      <c r="B35" s="11">
        <v>9</v>
      </c>
      <c r="C35" s="11" t="s">
        <v>429</v>
      </c>
      <c r="D35" s="11" t="s">
        <v>449</v>
      </c>
      <c r="E35" s="11" t="s">
        <v>543</v>
      </c>
      <c r="F35" s="11" t="s">
        <v>543</v>
      </c>
      <c r="G35" s="11" t="s">
        <v>561</v>
      </c>
      <c r="H35" s="11" t="s">
        <v>26</v>
      </c>
      <c r="I35" s="11" t="s">
        <v>543</v>
      </c>
      <c r="J35" s="11" t="s">
        <v>448</v>
      </c>
      <c r="K35" s="11" t="s">
        <v>446</v>
      </c>
      <c r="L35" s="16">
        <v>1</v>
      </c>
    </row>
    <row r="36" spans="1:12" ht="12.75" x14ac:dyDescent="0.2">
      <c r="A36" s="12"/>
      <c r="B36" s="17" t="s">
        <v>562</v>
      </c>
      <c r="C36" s="18"/>
      <c r="D36" s="18"/>
      <c r="E36" s="18"/>
      <c r="F36" s="18"/>
      <c r="G36" s="18"/>
      <c r="H36" s="18"/>
      <c r="I36" s="18"/>
      <c r="J36" s="18"/>
      <c r="K36" s="18"/>
      <c r="L36" s="19">
        <v>1</v>
      </c>
    </row>
    <row r="37" spans="1:12" ht="24" customHeight="1" x14ac:dyDescent="0.2">
      <c r="A37" s="12"/>
      <c r="B37" s="11">
        <v>10</v>
      </c>
      <c r="C37" s="11" t="s">
        <v>399</v>
      </c>
      <c r="D37" s="11" t="s">
        <v>409</v>
      </c>
      <c r="E37" s="11" t="s">
        <v>543</v>
      </c>
      <c r="F37" s="11" t="s">
        <v>543</v>
      </c>
      <c r="G37" s="11" t="s">
        <v>563</v>
      </c>
      <c r="H37" s="11" t="s">
        <v>26</v>
      </c>
      <c r="I37" s="11" t="s">
        <v>543</v>
      </c>
      <c r="J37" s="11" t="s">
        <v>408</v>
      </c>
      <c r="K37" s="11" t="s">
        <v>406</v>
      </c>
      <c r="L37" s="16">
        <v>1</v>
      </c>
    </row>
    <row r="38" spans="1:12" ht="12.75" x14ac:dyDescent="0.2">
      <c r="A38" s="12"/>
      <c r="B38" s="17" t="s">
        <v>564</v>
      </c>
      <c r="C38" s="18"/>
      <c r="D38" s="18"/>
      <c r="E38" s="18"/>
      <c r="F38" s="18"/>
      <c r="G38" s="18"/>
      <c r="H38" s="18"/>
      <c r="I38" s="18"/>
      <c r="J38" s="18"/>
      <c r="K38" s="18"/>
      <c r="L38" s="19">
        <v>1</v>
      </c>
    </row>
    <row r="39" spans="1:12" ht="24" customHeight="1" x14ac:dyDescent="0.2">
      <c r="A39" s="12"/>
      <c r="B39" s="11">
        <v>11</v>
      </c>
      <c r="C39" s="11" t="s">
        <v>429</v>
      </c>
      <c r="D39" s="11" t="s">
        <v>438</v>
      </c>
      <c r="E39" s="11" t="s">
        <v>543</v>
      </c>
      <c r="F39" s="11" t="s">
        <v>543</v>
      </c>
      <c r="G39" s="11" t="s">
        <v>548</v>
      </c>
      <c r="H39" s="11" t="s">
        <v>9</v>
      </c>
      <c r="I39" s="11" t="s">
        <v>543</v>
      </c>
      <c r="J39" s="11" t="s">
        <v>437</v>
      </c>
      <c r="K39" s="11" t="s">
        <v>435</v>
      </c>
      <c r="L39" s="16">
        <v>1</v>
      </c>
    </row>
    <row r="40" spans="1:12" ht="12.75" x14ac:dyDescent="0.2">
      <c r="A40" s="12"/>
      <c r="B40" s="17" t="s">
        <v>565</v>
      </c>
      <c r="C40" s="18"/>
      <c r="D40" s="18"/>
      <c r="E40" s="18"/>
      <c r="F40" s="18"/>
      <c r="G40" s="18"/>
      <c r="H40" s="18"/>
      <c r="I40" s="18"/>
      <c r="J40" s="18"/>
      <c r="K40" s="18"/>
      <c r="L40" s="19">
        <v>1</v>
      </c>
    </row>
    <row r="41" spans="1:12" ht="24" customHeight="1" x14ac:dyDescent="0.2">
      <c r="A41" s="12"/>
      <c r="B41" s="11">
        <v>12</v>
      </c>
      <c r="C41" s="11" t="s">
        <v>399</v>
      </c>
      <c r="D41" s="11" t="s">
        <v>405</v>
      </c>
      <c r="E41" s="11" t="s">
        <v>543</v>
      </c>
      <c r="F41" s="11" t="s">
        <v>543</v>
      </c>
      <c r="G41" s="11" t="s">
        <v>566</v>
      </c>
      <c r="H41" s="11" t="s">
        <v>9</v>
      </c>
      <c r="I41" s="11" t="s">
        <v>543</v>
      </c>
      <c r="J41" s="11" t="s">
        <v>404</v>
      </c>
      <c r="K41" s="11" t="s">
        <v>403</v>
      </c>
      <c r="L41" s="16">
        <v>1</v>
      </c>
    </row>
    <row r="42" spans="1:12" ht="12.75" x14ac:dyDescent="0.2">
      <c r="A42" s="12"/>
      <c r="B42" s="17" t="s">
        <v>567</v>
      </c>
      <c r="C42" s="18"/>
      <c r="D42" s="18"/>
      <c r="E42" s="18"/>
      <c r="F42" s="18"/>
      <c r="G42" s="18"/>
      <c r="H42" s="18"/>
      <c r="I42" s="18"/>
      <c r="J42" s="18"/>
      <c r="K42" s="18"/>
      <c r="L42" s="19">
        <v>1</v>
      </c>
    </row>
    <row r="43" spans="1:12" ht="24" customHeight="1" x14ac:dyDescent="0.2">
      <c r="A43" s="12"/>
      <c r="B43" s="11">
        <v>13</v>
      </c>
      <c r="C43" s="11" t="s">
        <v>356</v>
      </c>
      <c r="D43" s="11" t="s">
        <v>371</v>
      </c>
      <c r="E43" s="11" t="s">
        <v>543</v>
      </c>
      <c r="F43" s="11" t="s">
        <v>568</v>
      </c>
      <c r="G43" s="11" t="s">
        <v>569</v>
      </c>
      <c r="H43" s="11" t="s">
        <v>9</v>
      </c>
      <c r="I43" s="11" t="s">
        <v>543</v>
      </c>
      <c r="J43" s="11" t="s">
        <v>370</v>
      </c>
      <c r="K43" s="11" t="s">
        <v>368</v>
      </c>
      <c r="L43" s="16">
        <v>1</v>
      </c>
    </row>
    <row r="44" spans="1:12" ht="12.75" x14ac:dyDescent="0.2">
      <c r="A44" s="12"/>
      <c r="B44" s="17" t="s">
        <v>570</v>
      </c>
      <c r="C44" s="18"/>
      <c r="D44" s="18"/>
      <c r="E44" s="18"/>
      <c r="F44" s="18"/>
      <c r="G44" s="18"/>
      <c r="H44" s="18"/>
      <c r="I44" s="18"/>
      <c r="J44" s="18"/>
      <c r="K44" s="18"/>
      <c r="L44" s="19">
        <v>1</v>
      </c>
    </row>
    <row r="45" spans="1:12" ht="24" customHeight="1" x14ac:dyDescent="0.2">
      <c r="A45" s="12"/>
      <c r="B45" s="11">
        <v>15</v>
      </c>
      <c r="C45" s="11" t="s">
        <v>429</v>
      </c>
      <c r="D45" s="11" t="s">
        <v>434</v>
      </c>
      <c r="E45" s="11" t="s">
        <v>543</v>
      </c>
      <c r="F45" s="11" t="s">
        <v>543</v>
      </c>
      <c r="G45" s="11" t="s">
        <v>548</v>
      </c>
      <c r="H45" s="11" t="s">
        <v>26</v>
      </c>
      <c r="I45" s="11" t="s">
        <v>543</v>
      </c>
      <c r="J45" s="11" t="s">
        <v>433</v>
      </c>
      <c r="K45" s="11" t="s">
        <v>431</v>
      </c>
      <c r="L45" s="16">
        <v>1</v>
      </c>
    </row>
    <row r="46" spans="1:12" ht="12.75" x14ac:dyDescent="0.2">
      <c r="A46" s="12"/>
      <c r="B46" s="17" t="s">
        <v>571</v>
      </c>
      <c r="C46" s="18"/>
      <c r="D46" s="18"/>
      <c r="E46" s="18"/>
      <c r="F46" s="18"/>
      <c r="G46" s="18"/>
      <c r="H46" s="18"/>
      <c r="I46" s="18"/>
      <c r="J46" s="18"/>
      <c r="K46" s="18"/>
      <c r="L46" s="19">
        <v>1</v>
      </c>
    </row>
    <row r="47" spans="1:12" ht="24" customHeight="1" x14ac:dyDescent="0.2">
      <c r="A47" s="12"/>
      <c r="B47" s="11">
        <v>16</v>
      </c>
      <c r="C47" s="11" t="s">
        <v>399</v>
      </c>
      <c r="D47" s="11" t="s">
        <v>398</v>
      </c>
      <c r="E47" s="11" t="s">
        <v>543</v>
      </c>
      <c r="F47" s="11" t="s">
        <v>543</v>
      </c>
      <c r="G47" s="11" t="s">
        <v>546</v>
      </c>
      <c r="H47" s="11" t="s">
        <v>26</v>
      </c>
      <c r="I47" s="11" t="s">
        <v>543</v>
      </c>
      <c r="J47" s="11" t="s">
        <v>397</v>
      </c>
      <c r="K47" s="11" t="s">
        <v>395</v>
      </c>
      <c r="L47" s="16">
        <v>1</v>
      </c>
    </row>
    <row r="48" spans="1:12" ht="12.75" x14ac:dyDescent="0.2">
      <c r="A48" s="12"/>
      <c r="B48" s="17" t="s">
        <v>572</v>
      </c>
      <c r="C48" s="18"/>
      <c r="D48" s="18"/>
      <c r="E48" s="18"/>
      <c r="F48" s="18"/>
      <c r="G48" s="18"/>
      <c r="H48" s="18"/>
      <c r="I48" s="18"/>
      <c r="J48" s="18"/>
      <c r="K48" s="18"/>
      <c r="L48" s="19">
        <v>1</v>
      </c>
    </row>
    <row r="49" spans="1:12" ht="24" customHeight="1" x14ac:dyDescent="0.2">
      <c r="A49" s="12"/>
      <c r="B49" s="11">
        <v>25</v>
      </c>
      <c r="C49" s="11" t="s">
        <v>419</v>
      </c>
      <c r="D49" s="11" t="s">
        <v>423</v>
      </c>
      <c r="E49" s="11" t="s">
        <v>543</v>
      </c>
      <c r="F49" s="11" t="s">
        <v>543</v>
      </c>
      <c r="G49" s="11" t="s">
        <v>563</v>
      </c>
      <c r="H49" s="11" t="s">
        <v>9</v>
      </c>
      <c r="I49" s="11" t="s">
        <v>543</v>
      </c>
      <c r="J49" s="11" t="s">
        <v>422</v>
      </c>
      <c r="K49" s="11" t="s">
        <v>420</v>
      </c>
      <c r="L49" s="16">
        <v>1</v>
      </c>
    </row>
    <row r="50" spans="1:12" ht="12.75" x14ac:dyDescent="0.2">
      <c r="A50" s="12"/>
      <c r="B50" s="17" t="s">
        <v>573</v>
      </c>
      <c r="C50" s="18"/>
      <c r="D50" s="18"/>
      <c r="E50" s="18"/>
      <c r="F50" s="18"/>
      <c r="G50" s="18"/>
      <c r="H50" s="18"/>
      <c r="I50" s="18"/>
      <c r="J50" s="18"/>
      <c r="K50" s="18"/>
      <c r="L50" s="19">
        <v>1</v>
      </c>
    </row>
    <row r="51" spans="1:12" ht="24" customHeight="1" x14ac:dyDescent="0.2">
      <c r="A51" s="12"/>
      <c r="B51" s="11">
        <v>31</v>
      </c>
      <c r="C51" s="11" t="s">
        <v>419</v>
      </c>
      <c r="D51" s="11" t="s">
        <v>418</v>
      </c>
      <c r="E51" s="11" t="s">
        <v>543</v>
      </c>
      <c r="F51" s="11" t="s">
        <v>543</v>
      </c>
      <c r="G51" s="11" t="s">
        <v>563</v>
      </c>
      <c r="H51" s="11" t="s">
        <v>9</v>
      </c>
      <c r="I51" s="11" t="s">
        <v>74</v>
      </c>
      <c r="J51" s="11" t="s">
        <v>417</v>
      </c>
      <c r="K51" s="11" t="s">
        <v>415</v>
      </c>
      <c r="L51" s="16">
        <v>1</v>
      </c>
    </row>
    <row r="52" spans="1:12" ht="12.75" x14ac:dyDescent="0.2">
      <c r="A52" s="12"/>
      <c r="B52" s="17" t="s">
        <v>574</v>
      </c>
      <c r="C52" s="18"/>
      <c r="D52" s="18"/>
      <c r="E52" s="18"/>
      <c r="F52" s="18"/>
      <c r="G52" s="18"/>
      <c r="H52" s="18"/>
      <c r="I52" s="18"/>
      <c r="J52" s="18"/>
      <c r="K52" s="18"/>
      <c r="L52" s="19">
        <v>1</v>
      </c>
    </row>
    <row r="53" spans="1:12" ht="24" customHeight="1" x14ac:dyDescent="0.2">
      <c r="A53" s="12"/>
      <c r="B53" s="11">
        <v>32</v>
      </c>
      <c r="C53" s="11" t="s">
        <v>356</v>
      </c>
      <c r="D53" s="11" t="s">
        <v>360</v>
      </c>
      <c r="E53" s="11" t="s">
        <v>543</v>
      </c>
      <c r="F53" s="11" t="s">
        <v>543</v>
      </c>
      <c r="G53" s="11" t="s">
        <v>566</v>
      </c>
      <c r="H53" s="11" t="s">
        <v>9</v>
      </c>
      <c r="I53" s="11" t="s">
        <v>74</v>
      </c>
      <c r="J53" s="11" t="s">
        <v>359</v>
      </c>
      <c r="K53" s="11" t="s">
        <v>357</v>
      </c>
      <c r="L53" s="16">
        <v>1</v>
      </c>
    </row>
    <row r="54" spans="1:12" ht="24" customHeight="1" x14ac:dyDescent="0.2">
      <c r="A54" s="12"/>
      <c r="B54" s="12"/>
      <c r="C54" s="12"/>
      <c r="D54" s="11" t="s">
        <v>367</v>
      </c>
      <c r="E54" s="11" t="s">
        <v>543</v>
      </c>
      <c r="F54" s="11" t="s">
        <v>543</v>
      </c>
      <c r="G54" s="11" t="s">
        <v>569</v>
      </c>
      <c r="H54" s="11" t="s">
        <v>9</v>
      </c>
      <c r="I54" s="11" t="s">
        <v>45</v>
      </c>
      <c r="J54" s="11" t="s">
        <v>543</v>
      </c>
      <c r="K54" s="11" t="s">
        <v>365</v>
      </c>
      <c r="L54" s="16">
        <v>1</v>
      </c>
    </row>
    <row r="55" spans="1:12" ht="24" customHeight="1" x14ac:dyDescent="0.2">
      <c r="A55" s="12"/>
      <c r="B55" s="12"/>
      <c r="C55" s="12"/>
      <c r="D55" s="11" t="s">
        <v>353</v>
      </c>
      <c r="E55" s="11" t="s">
        <v>543</v>
      </c>
      <c r="F55" s="11" t="s">
        <v>543</v>
      </c>
      <c r="G55" s="11" t="s">
        <v>544</v>
      </c>
      <c r="H55" s="11" t="s">
        <v>9</v>
      </c>
      <c r="I55" s="11" t="s">
        <v>543</v>
      </c>
      <c r="J55" s="11" t="s">
        <v>352</v>
      </c>
      <c r="K55" s="11" t="s">
        <v>351</v>
      </c>
      <c r="L55" s="16">
        <v>1</v>
      </c>
    </row>
    <row r="56" spans="1:12" ht="12.75" x14ac:dyDescent="0.2">
      <c r="A56" s="12"/>
      <c r="B56" s="17" t="s">
        <v>575</v>
      </c>
      <c r="C56" s="18"/>
      <c r="D56" s="18"/>
      <c r="E56" s="18"/>
      <c r="F56" s="18"/>
      <c r="G56" s="18"/>
      <c r="H56" s="18"/>
      <c r="I56" s="18"/>
      <c r="J56" s="18"/>
      <c r="K56" s="18"/>
      <c r="L56" s="19">
        <v>3</v>
      </c>
    </row>
    <row r="57" spans="1:12" ht="24" customHeight="1" x14ac:dyDescent="0.2">
      <c r="A57" s="12"/>
      <c r="B57" s="11">
        <v>33</v>
      </c>
      <c r="C57" s="11" t="s">
        <v>394</v>
      </c>
      <c r="D57" s="11" t="s">
        <v>393</v>
      </c>
      <c r="E57" s="11" t="s">
        <v>543</v>
      </c>
      <c r="F57" s="11" t="s">
        <v>543</v>
      </c>
      <c r="G57" s="11" t="s">
        <v>548</v>
      </c>
      <c r="H57" s="11" t="s">
        <v>9</v>
      </c>
      <c r="I57" s="11" t="s">
        <v>543</v>
      </c>
      <c r="J57" s="11" t="s">
        <v>392</v>
      </c>
      <c r="K57" s="11" t="s">
        <v>390</v>
      </c>
      <c r="L57" s="16">
        <v>1</v>
      </c>
    </row>
    <row r="58" spans="1:12" ht="12.75" x14ac:dyDescent="0.2">
      <c r="A58" s="12"/>
      <c r="B58" s="17" t="s">
        <v>576</v>
      </c>
      <c r="C58" s="18"/>
      <c r="D58" s="18"/>
      <c r="E58" s="18"/>
      <c r="F58" s="18"/>
      <c r="G58" s="18"/>
      <c r="H58" s="18"/>
      <c r="I58" s="18"/>
      <c r="J58" s="18"/>
      <c r="K58" s="18"/>
      <c r="L58" s="19">
        <v>1</v>
      </c>
    </row>
    <row r="59" spans="1:12" ht="24" customHeight="1" x14ac:dyDescent="0.2">
      <c r="A59" s="12"/>
      <c r="B59" s="11">
        <v>37</v>
      </c>
      <c r="C59" s="11" t="s">
        <v>356</v>
      </c>
      <c r="D59" s="11" t="s">
        <v>364</v>
      </c>
      <c r="E59" s="11" t="s">
        <v>543</v>
      </c>
      <c r="F59" s="11" t="s">
        <v>543</v>
      </c>
      <c r="G59" s="11" t="s">
        <v>577</v>
      </c>
      <c r="H59" s="11" t="s">
        <v>9</v>
      </c>
      <c r="I59" s="11" t="s">
        <v>74</v>
      </c>
      <c r="J59" s="11" t="s">
        <v>363</v>
      </c>
      <c r="K59" s="11" t="s">
        <v>361</v>
      </c>
      <c r="L59" s="16">
        <v>1</v>
      </c>
    </row>
    <row r="60" spans="1:12" ht="12.75" x14ac:dyDescent="0.2">
      <c r="A60" s="12"/>
      <c r="B60" s="17" t="s">
        <v>578</v>
      </c>
      <c r="C60" s="18"/>
      <c r="D60" s="18"/>
      <c r="E60" s="18"/>
      <c r="F60" s="18"/>
      <c r="G60" s="18"/>
      <c r="H60" s="18"/>
      <c r="I60" s="18"/>
      <c r="J60" s="18"/>
      <c r="K60" s="18"/>
      <c r="L60" s="19">
        <v>1</v>
      </c>
    </row>
    <row r="61" spans="1:12" ht="24" customHeight="1" x14ac:dyDescent="0.2">
      <c r="A61" s="12"/>
      <c r="B61" s="11">
        <v>40</v>
      </c>
      <c r="C61" s="11" t="s">
        <v>429</v>
      </c>
      <c r="D61" s="11" t="s">
        <v>427</v>
      </c>
      <c r="E61" s="11" t="s">
        <v>430</v>
      </c>
      <c r="F61" s="11" t="s">
        <v>568</v>
      </c>
      <c r="G61" s="11" t="s">
        <v>548</v>
      </c>
      <c r="H61" s="11" t="s">
        <v>9</v>
      </c>
      <c r="I61" s="11" t="s">
        <v>543</v>
      </c>
      <c r="J61" s="11" t="s">
        <v>426</v>
      </c>
      <c r="K61" s="11" t="s">
        <v>424</v>
      </c>
      <c r="L61" s="16">
        <v>1</v>
      </c>
    </row>
    <row r="62" spans="1:12" ht="12.75" x14ac:dyDescent="0.2">
      <c r="A62" s="12"/>
      <c r="B62" s="17" t="s">
        <v>579</v>
      </c>
      <c r="C62" s="18"/>
      <c r="D62" s="18"/>
      <c r="E62" s="18"/>
      <c r="F62" s="18"/>
      <c r="G62" s="18"/>
      <c r="H62" s="18"/>
      <c r="I62" s="18"/>
      <c r="J62" s="18"/>
      <c r="K62" s="18"/>
      <c r="L62" s="19">
        <v>1</v>
      </c>
    </row>
    <row r="63" spans="1:12" ht="24" customHeight="1" x14ac:dyDescent="0.2">
      <c r="A63" s="12"/>
      <c r="B63" s="11">
        <v>43</v>
      </c>
      <c r="C63" s="11" t="s">
        <v>381</v>
      </c>
      <c r="D63" s="11" t="s">
        <v>380</v>
      </c>
      <c r="E63" s="11" t="s">
        <v>543</v>
      </c>
      <c r="F63" s="11" t="s">
        <v>543</v>
      </c>
      <c r="G63" s="11" t="s">
        <v>550</v>
      </c>
      <c r="H63" s="11" t="s">
        <v>9</v>
      </c>
      <c r="I63" s="11" t="s">
        <v>543</v>
      </c>
      <c r="J63" s="11" t="s">
        <v>379</v>
      </c>
      <c r="K63" s="11" t="s">
        <v>377</v>
      </c>
      <c r="L63" s="16">
        <v>1</v>
      </c>
    </row>
    <row r="64" spans="1:12" ht="24" customHeight="1" x14ac:dyDescent="0.2">
      <c r="A64" s="12"/>
      <c r="B64" s="12"/>
      <c r="C64" s="11" t="s">
        <v>376</v>
      </c>
      <c r="D64" s="11" t="s">
        <v>375</v>
      </c>
      <c r="E64" s="11" t="s">
        <v>543</v>
      </c>
      <c r="F64" s="11" t="s">
        <v>543</v>
      </c>
      <c r="G64" s="11" t="s">
        <v>580</v>
      </c>
      <c r="H64" s="11" t="s">
        <v>9</v>
      </c>
      <c r="I64" s="11" t="s">
        <v>543</v>
      </c>
      <c r="J64" s="11" t="s">
        <v>374</v>
      </c>
      <c r="K64" s="11" t="s">
        <v>372</v>
      </c>
      <c r="L64" s="16">
        <v>1</v>
      </c>
    </row>
    <row r="65" spans="1:12" ht="24" customHeight="1" x14ac:dyDescent="0.2">
      <c r="A65" s="12"/>
      <c r="B65" s="12"/>
      <c r="C65" s="11" t="s">
        <v>414</v>
      </c>
      <c r="D65" s="11" t="s">
        <v>413</v>
      </c>
      <c r="E65" s="11" t="s">
        <v>543</v>
      </c>
      <c r="F65" s="11" t="s">
        <v>543</v>
      </c>
      <c r="G65" s="11" t="s">
        <v>580</v>
      </c>
      <c r="H65" s="11" t="s">
        <v>9</v>
      </c>
      <c r="I65" s="11" t="s">
        <v>543</v>
      </c>
      <c r="J65" s="11" t="s">
        <v>412</v>
      </c>
      <c r="K65" s="11" t="s">
        <v>410</v>
      </c>
      <c r="L65" s="16">
        <v>1</v>
      </c>
    </row>
    <row r="66" spans="1:12" ht="12.75" x14ac:dyDescent="0.2">
      <c r="A66" s="12"/>
      <c r="B66" s="17" t="s">
        <v>581</v>
      </c>
      <c r="C66" s="18"/>
      <c r="D66" s="18"/>
      <c r="E66" s="18"/>
      <c r="F66" s="18"/>
      <c r="G66" s="18"/>
      <c r="H66" s="18"/>
      <c r="I66" s="18"/>
      <c r="J66" s="18"/>
      <c r="K66" s="18"/>
      <c r="L66" s="19">
        <v>3</v>
      </c>
    </row>
    <row r="67" spans="1:12" ht="24" customHeight="1" x14ac:dyDescent="0.2">
      <c r="A67" s="11" t="s">
        <v>19</v>
      </c>
      <c r="B67" s="11">
        <v>0</v>
      </c>
      <c r="C67" s="11" t="s">
        <v>244</v>
      </c>
      <c r="D67" s="11" t="s">
        <v>253</v>
      </c>
      <c r="E67" s="11" t="s">
        <v>543</v>
      </c>
      <c r="F67" s="11" t="s">
        <v>543</v>
      </c>
      <c r="G67" s="11" t="s">
        <v>582</v>
      </c>
      <c r="H67" s="11" t="s">
        <v>26</v>
      </c>
      <c r="I67" s="11" t="s">
        <v>543</v>
      </c>
      <c r="J67" s="11" t="s">
        <v>252</v>
      </c>
      <c r="K67" s="11" t="s">
        <v>250</v>
      </c>
      <c r="L67" s="16">
        <v>1</v>
      </c>
    </row>
    <row r="68" spans="1:12" ht="24" customHeight="1" x14ac:dyDescent="0.2">
      <c r="A68" s="12"/>
      <c r="B68" s="12"/>
      <c r="C68" s="12"/>
      <c r="D68" s="11" t="s">
        <v>248</v>
      </c>
      <c r="E68" s="11" t="s">
        <v>543</v>
      </c>
      <c r="F68" s="11" t="s">
        <v>543</v>
      </c>
      <c r="G68" s="11" t="s">
        <v>561</v>
      </c>
      <c r="H68" s="11" t="s">
        <v>26</v>
      </c>
      <c r="I68" s="11" t="s">
        <v>543</v>
      </c>
      <c r="J68" s="11" t="s">
        <v>247</v>
      </c>
      <c r="K68" s="11" t="s">
        <v>245</v>
      </c>
      <c r="L68" s="16">
        <v>1</v>
      </c>
    </row>
    <row r="69" spans="1:12" ht="24" customHeight="1" x14ac:dyDescent="0.2">
      <c r="A69" s="12"/>
      <c r="B69" s="12"/>
      <c r="C69" s="12"/>
      <c r="D69" s="11" t="s">
        <v>243</v>
      </c>
      <c r="E69" s="11" t="s">
        <v>543</v>
      </c>
      <c r="F69" s="11" t="s">
        <v>543</v>
      </c>
      <c r="G69" s="11" t="s">
        <v>583</v>
      </c>
      <c r="H69" s="11" t="s">
        <v>26</v>
      </c>
      <c r="I69" s="11" t="s">
        <v>45</v>
      </c>
      <c r="J69" s="11" t="s">
        <v>543</v>
      </c>
      <c r="K69" s="11" t="s">
        <v>241</v>
      </c>
      <c r="L69" s="16">
        <v>1</v>
      </c>
    </row>
    <row r="70" spans="1:12" ht="24" customHeight="1" x14ac:dyDescent="0.2">
      <c r="A70" s="12"/>
      <c r="B70" s="12"/>
      <c r="C70" s="12"/>
      <c r="D70" s="11" t="s">
        <v>256</v>
      </c>
      <c r="E70" s="11" t="s">
        <v>543</v>
      </c>
      <c r="F70" s="11" t="s">
        <v>543</v>
      </c>
      <c r="G70" s="11" t="s">
        <v>584</v>
      </c>
      <c r="H70" s="11" t="s">
        <v>26</v>
      </c>
      <c r="I70" s="11" t="s">
        <v>45</v>
      </c>
      <c r="J70" s="11" t="s">
        <v>543</v>
      </c>
      <c r="K70" s="11" t="s">
        <v>254</v>
      </c>
      <c r="L70" s="16">
        <v>1</v>
      </c>
    </row>
    <row r="71" spans="1:12" ht="24" customHeight="1" x14ac:dyDescent="0.2">
      <c r="A71" s="12"/>
      <c r="B71" s="12"/>
      <c r="C71" s="12"/>
      <c r="D71" s="11" t="s">
        <v>263</v>
      </c>
      <c r="E71" s="11" t="s">
        <v>543</v>
      </c>
      <c r="F71" s="11" t="s">
        <v>543</v>
      </c>
      <c r="G71" s="11" t="s">
        <v>585</v>
      </c>
      <c r="H71" s="11" t="s">
        <v>26</v>
      </c>
      <c r="I71" s="11" t="s">
        <v>45</v>
      </c>
      <c r="J71" s="11" t="s">
        <v>543</v>
      </c>
      <c r="K71" s="11" t="s">
        <v>261</v>
      </c>
      <c r="L71" s="16">
        <v>1</v>
      </c>
    </row>
    <row r="72" spans="1:12" ht="24" customHeight="1" x14ac:dyDescent="0.2">
      <c r="A72" s="12"/>
      <c r="B72" s="12"/>
      <c r="C72" s="11" t="s">
        <v>40</v>
      </c>
      <c r="D72" s="11" t="s">
        <v>38</v>
      </c>
      <c r="E72" s="11" t="s">
        <v>543</v>
      </c>
      <c r="F72" s="11" t="s">
        <v>543</v>
      </c>
      <c r="G72" s="11" t="s">
        <v>586</v>
      </c>
      <c r="H72" s="11" t="s">
        <v>26</v>
      </c>
      <c r="I72" s="11" t="s">
        <v>543</v>
      </c>
      <c r="J72" s="11" t="s">
        <v>37</v>
      </c>
      <c r="K72" s="11" t="s">
        <v>35</v>
      </c>
      <c r="L72" s="16">
        <v>1</v>
      </c>
    </row>
    <row r="73" spans="1:12" ht="24" customHeight="1" x14ac:dyDescent="0.2">
      <c r="A73" s="12"/>
      <c r="B73" s="12"/>
      <c r="C73" s="12"/>
      <c r="D73" s="11" t="s">
        <v>43</v>
      </c>
      <c r="E73" s="11" t="s">
        <v>543</v>
      </c>
      <c r="F73" s="11" t="s">
        <v>543</v>
      </c>
      <c r="G73" s="11" t="s">
        <v>587</v>
      </c>
      <c r="H73" s="11" t="s">
        <v>26</v>
      </c>
      <c r="I73" s="11" t="s">
        <v>45</v>
      </c>
      <c r="J73" s="11" t="s">
        <v>543</v>
      </c>
      <c r="K73" s="11" t="s">
        <v>41</v>
      </c>
      <c r="L73" s="16">
        <v>1</v>
      </c>
    </row>
    <row r="74" spans="1:12" ht="24" customHeight="1" x14ac:dyDescent="0.2">
      <c r="A74" s="12"/>
      <c r="B74" s="12"/>
      <c r="C74" s="11" t="s">
        <v>331</v>
      </c>
      <c r="D74" s="11" t="s">
        <v>335</v>
      </c>
      <c r="E74" s="11" t="s">
        <v>543</v>
      </c>
      <c r="F74" s="11" t="s">
        <v>543</v>
      </c>
      <c r="G74" s="11" t="s">
        <v>555</v>
      </c>
      <c r="H74" s="11" t="s">
        <v>26</v>
      </c>
      <c r="I74" s="11" t="s">
        <v>45</v>
      </c>
      <c r="J74" s="11" t="s">
        <v>543</v>
      </c>
      <c r="K74" s="11" t="s">
        <v>333</v>
      </c>
      <c r="L74" s="16">
        <v>1</v>
      </c>
    </row>
    <row r="75" spans="1:12" ht="24" customHeight="1" x14ac:dyDescent="0.2">
      <c r="A75" s="12"/>
      <c r="B75" s="12"/>
      <c r="C75" s="12"/>
      <c r="D75" s="11" t="s">
        <v>348</v>
      </c>
      <c r="E75" s="11" t="s">
        <v>543</v>
      </c>
      <c r="F75" s="11" t="s">
        <v>543</v>
      </c>
      <c r="G75" s="11" t="s">
        <v>544</v>
      </c>
      <c r="H75" s="11" t="s">
        <v>26</v>
      </c>
      <c r="I75" s="11" t="s">
        <v>543</v>
      </c>
      <c r="J75" s="11" t="s">
        <v>347</v>
      </c>
      <c r="K75" s="11" t="s">
        <v>345</v>
      </c>
      <c r="L75" s="16">
        <v>1</v>
      </c>
    </row>
    <row r="76" spans="1:12" ht="24" customHeight="1" x14ac:dyDescent="0.2">
      <c r="A76" s="12"/>
      <c r="B76" s="12"/>
      <c r="C76" s="11" t="s">
        <v>199</v>
      </c>
      <c r="D76" s="11" t="s">
        <v>198</v>
      </c>
      <c r="E76" s="11" t="s">
        <v>543</v>
      </c>
      <c r="F76" s="11" t="s">
        <v>543</v>
      </c>
      <c r="G76" s="11" t="s">
        <v>588</v>
      </c>
      <c r="H76" s="11" t="s">
        <v>26</v>
      </c>
      <c r="I76" s="11" t="s">
        <v>543</v>
      </c>
      <c r="J76" s="11" t="s">
        <v>197</v>
      </c>
      <c r="K76" s="11" t="s">
        <v>196</v>
      </c>
      <c r="L76" s="16">
        <v>1</v>
      </c>
    </row>
    <row r="77" spans="1:12" ht="12.75" x14ac:dyDescent="0.2">
      <c r="A77" s="12"/>
      <c r="B77" s="17" t="s">
        <v>556</v>
      </c>
      <c r="C77" s="18"/>
      <c r="D77" s="18"/>
      <c r="E77" s="18"/>
      <c r="F77" s="18"/>
      <c r="G77" s="18"/>
      <c r="H77" s="18"/>
      <c r="I77" s="18"/>
      <c r="J77" s="18"/>
      <c r="K77" s="18"/>
      <c r="L77" s="19">
        <v>10</v>
      </c>
    </row>
    <row r="78" spans="1:12" ht="24" customHeight="1" x14ac:dyDescent="0.2">
      <c r="A78" s="12"/>
      <c r="B78" s="11">
        <v>1</v>
      </c>
      <c r="C78" s="11" t="s">
        <v>272</v>
      </c>
      <c r="D78" s="11" t="s">
        <v>271</v>
      </c>
      <c r="E78" s="11" t="s">
        <v>543</v>
      </c>
      <c r="F78" s="11" t="s">
        <v>543</v>
      </c>
      <c r="G78" s="11" t="s">
        <v>584</v>
      </c>
      <c r="H78" s="11" t="s">
        <v>9</v>
      </c>
      <c r="I78" s="11" t="s">
        <v>45</v>
      </c>
      <c r="J78" s="11" t="s">
        <v>543</v>
      </c>
      <c r="K78" s="11" t="s">
        <v>269</v>
      </c>
      <c r="L78" s="16">
        <v>1</v>
      </c>
    </row>
    <row r="79" spans="1:12" ht="24" customHeight="1" x14ac:dyDescent="0.2">
      <c r="A79" s="12"/>
      <c r="B79" s="12"/>
      <c r="C79" s="12"/>
      <c r="D79" s="11" t="s">
        <v>276</v>
      </c>
      <c r="E79" s="11" t="s">
        <v>543</v>
      </c>
      <c r="F79" s="11" t="s">
        <v>543</v>
      </c>
      <c r="G79" s="11" t="s">
        <v>584</v>
      </c>
      <c r="H79" s="11" t="s">
        <v>26</v>
      </c>
      <c r="I79" s="11" t="s">
        <v>543</v>
      </c>
      <c r="J79" s="11" t="s">
        <v>275</v>
      </c>
      <c r="K79" s="11" t="s">
        <v>273</v>
      </c>
      <c r="L79" s="16">
        <v>1</v>
      </c>
    </row>
    <row r="80" spans="1:12" ht="24" customHeight="1" x14ac:dyDescent="0.2">
      <c r="A80" s="12"/>
      <c r="B80" s="12"/>
      <c r="C80" s="11" t="s">
        <v>125</v>
      </c>
      <c r="D80" s="11" t="s">
        <v>124</v>
      </c>
      <c r="E80" s="11" t="s">
        <v>543</v>
      </c>
      <c r="F80" s="11" t="s">
        <v>543</v>
      </c>
      <c r="G80" s="11" t="s">
        <v>582</v>
      </c>
      <c r="H80" s="11" t="s">
        <v>26</v>
      </c>
      <c r="I80" s="11" t="s">
        <v>543</v>
      </c>
      <c r="J80" s="11" t="s">
        <v>123</v>
      </c>
      <c r="K80" s="11" t="s">
        <v>122</v>
      </c>
      <c r="L80" s="16">
        <v>1</v>
      </c>
    </row>
    <row r="81" spans="1:12" ht="24" customHeight="1" x14ac:dyDescent="0.2">
      <c r="A81" s="12"/>
      <c r="B81" s="12"/>
      <c r="C81" s="12"/>
      <c r="D81" s="11" t="s">
        <v>132</v>
      </c>
      <c r="E81" s="11" t="s">
        <v>543</v>
      </c>
      <c r="F81" s="11" t="s">
        <v>543</v>
      </c>
      <c r="G81" s="11" t="s">
        <v>584</v>
      </c>
      <c r="H81" s="11" t="s">
        <v>26</v>
      </c>
      <c r="I81" s="11" t="s">
        <v>45</v>
      </c>
      <c r="J81" s="11" t="s">
        <v>543</v>
      </c>
      <c r="K81" s="11" t="s">
        <v>130</v>
      </c>
      <c r="L81" s="16">
        <v>1</v>
      </c>
    </row>
    <row r="82" spans="1:12" ht="24" customHeight="1" x14ac:dyDescent="0.2">
      <c r="A82" s="12"/>
      <c r="B82" s="12"/>
      <c r="C82" s="12"/>
      <c r="D82" s="11" t="s">
        <v>149</v>
      </c>
      <c r="E82" s="11" t="s">
        <v>543</v>
      </c>
      <c r="F82" s="11" t="s">
        <v>543</v>
      </c>
      <c r="G82" s="11" t="s">
        <v>584</v>
      </c>
      <c r="H82" s="11" t="s">
        <v>26</v>
      </c>
      <c r="I82" s="11" t="s">
        <v>45</v>
      </c>
      <c r="J82" s="11" t="s">
        <v>543</v>
      </c>
      <c r="K82" s="11" t="s">
        <v>147</v>
      </c>
      <c r="L82" s="16">
        <v>1</v>
      </c>
    </row>
    <row r="83" spans="1:12" ht="24" customHeight="1" x14ac:dyDescent="0.2">
      <c r="A83" s="12"/>
      <c r="B83" s="12"/>
      <c r="C83" s="12"/>
      <c r="D83" s="11" t="s">
        <v>152</v>
      </c>
      <c r="E83" s="11" t="s">
        <v>543</v>
      </c>
      <c r="F83" s="11" t="s">
        <v>543</v>
      </c>
      <c r="G83" s="11" t="s">
        <v>585</v>
      </c>
      <c r="H83" s="11" t="s">
        <v>26</v>
      </c>
      <c r="I83" s="11" t="s">
        <v>45</v>
      </c>
      <c r="J83" s="11" t="s">
        <v>543</v>
      </c>
      <c r="K83" s="11" t="s">
        <v>150</v>
      </c>
      <c r="L83" s="16">
        <v>1</v>
      </c>
    </row>
    <row r="84" spans="1:12" ht="24" customHeight="1" x14ac:dyDescent="0.2">
      <c r="A84" s="12"/>
      <c r="B84" s="12"/>
      <c r="C84" s="12"/>
      <c r="D84" s="11" t="s">
        <v>155</v>
      </c>
      <c r="E84" s="11" t="s">
        <v>543</v>
      </c>
      <c r="F84" s="11" t="s">
        <v>543</v>
      </c>
      <c r="G84" s="11" t="s">
        <v>585</v>
      </c>
      <c r="H84" s="11" t="s">
        <v>26</v>
      </c>
      <c r="I84" s="11" t="s">
        <v>45</v>
      </c>
      <c r="J84" s="11" t="s">
        <v>543</v>
      </c>
      <c r="K84" s="11" t="s">
        <v>153</v>
      </c>
      <c r="L84" s="16">
        <v>1</v>
      </c>
    </row>
    <row r="85" spans="1:12" ht="24" customHeight="1" x14ac:dyDescent="0.2">
      <c r="A85" s="12"/>
      <c r="B85" s="12"/>
      <c r="C85" s="12"/>
      <c r="D85" s="11" t="s">
        <v>158</v>
      </c>
      <c r="E85" s="11" t="s">
        <v>543</v>
      </c>
      <c r="F85" s="11" t="s">
        <v>543</v>
      </c>
      <c r="G85" s="11" t="s">
        <v>584</v>
      </c>
      <c r="H85" s="11" t="s">
        <v>26</v>
      </c>
      <c r="I85" s="11" t="s">
        <v>45</v>
      </c>
      <c r="J85" s="11" t="s">
        <v>543</v>
      </c>
      <c r="K85" s="11" t="s">
        <v>156</v>
      </c>
      <c r="L85" s="16">
        <v>1</v>
      </c>
    </row>
    <row r="86" spans="1:12" ht="24" customHeight="1" x14ac:dyDescent="0.2">
      <c r="A86" s="12"/>
      <c r="B86" s="12"/>
      <c r="C86" s="11" t="s">
        <v>34</v>
      </c>
      <c r="D86" s="11" t="s">
        <v>32</v>
      </c>
      <c r="E86" s="11" t="s">
        <v>543</v>
      </c>
      <c r="F86" s="11" t="s">
        <v>543</v>
      </c>
      <c r="G86" s="11" t="s">
        <v>589</v>
      </c>
      <c r="H86" s="11" t="s">
        <v>26</v>
      </c>
      <c r="I86" s="11" t="s">
        <v>543</v>
      </c>
      <c r="J86" s="11" t="s">
        <v>31</v>
      </c>
      <c r="K86" s="11" t="s">
        <v>30</v>
      </c>
      <c r="L86" s="16">
        <v>1</v>
      </c>
    </row>
    <row r="87" spans="1:12" ht="24" customHeight="1" x14ac:dyDescent="0.2">
      <c r="A87" s="12"/>
      <c r="B87" s="12"/>
      <c r="C87" s="11" t="s">
        <v>27</v>
      </c>
      <c r="D87" s="11" t="s">
        <v>23</v>
      </c>
      <c r="E87" s="11" t="s">
        <v>543</v>
      </c>
      <c r="F87" s="11" t="s">
        <v>543</v>
      </c>
      <c r="G87" s="11" t="s">
        <v>589</v>
      </c>
      <c r="H87" s="11" t="s">
        <v>26</v>
      </c>
      <c r="I87" s="11" t="s">
        <v>543</v>
      </c>
      <c r="J87" s="11" t="s">
        <v>22</v>
      </c>
      <c r="K87" s="11" t="s">
        <v>20</v>
      </c>
      <c r="L87" s="16">
        <v>1</v>
      </c>
    </row>
    <row r="88" spans="1:12" ht="12.75" x14ac:dyDescent="0.2">
      <c r="A88" s="12"/>
      <c r="B88" s="17" t="s">
        <v>590</v>
      </c>
      <c r="C88" s="18"/>
      <c r="D88" s="18"/>
      <c r="E88" s="18"/>
      <c r="F88" s="18"/>
      <c r="G88" s="18"/>
      <c r="H88" s="18"/>
      <c r="I88" s="18"/>
      <c r="J88" s="18"/>
      <c r="K88" s="18"/>
      <c r="L88" s="19">
        <v>10</v>
      </c>
    </row>
    <row r="89" spans="1:12" ht="24" customHeight="1" x14ac:dyDescent="0.2">
      <c r="A89" s="12"/>
      <c r="B89" s="11">
        <v>2</v>
      </c>
      <c r="C89" s="11" t="s">
        <v>306</v>
      </c>
      <c r="D89" s="11" t="s">
        <v>309</v>
      </c>
      <c r="E89" s="11" t="s">
        <v>543</v>
      </c>
      <c r="F89" s="11" t="s">
        <v>543</v>
      </c>
      <c r="G89" s="11" t="s">
        <v>582</v>
      </c>
      <c r="H89" s="11" t="s">
        <v>26</v>
      </c>
      <c r="I89" s="11" t="s">
        <v>543</v>
      </c>
      <c r="J89" s="11" t="s">
        <v>308</v>
      </c>
      <c r="K89" s="11" t="s">
        <v>307</v>
      </c>
      <c r="L89" s="16">
        <v>1</v>
      </c>
    </row>
    <row r="90" spans="1:12" ht="24" customHeight="1" x14ac:dyDescent="0.2">
      <c r="A90" s="12"/>
      <c r="B90" s="12"/>
      <c r="C90" s="12"/>
      <c r="D90" s="11" t="s">
        <v>305</v>
      </c>
      <c r="E90" s="11" t="s">
        <v>543</v>
      </c>
      <c r="F90" s="11" t="s">
        <v>543</v>
      </c>
      <c r="G90" s="11" t="s">
        <v>589</v>
      </c>
      <c r="H90" s="11" t="s">
        <v>26</v>
      </c>
      <c r="I90" s="11" t="s">
        <v>543</v>
      </c>
      <c r="J90" s="11" t="s">
        <v>304</v>
      </c>
      <c r="K90" s="11" t="s">
        <v>302</v>
      </c>
      <c r="L90" s="16">
        <v>1</v>
      </c>
    </row>
    <row r="91" spans="1:12" ht="24" customHeight="1" x14ac:dyDescent="0.2">
      <c r="A91" s="12"/>
      <c r="B91" s="12"/>
      <c r="C91" s="12"/>
      <c r="D91" s="11" t="s">
        <v>313</v>
      </c>
      <c r="E91" s="11" t="s">
        <v>543</v>
      </c>
      <c r="F91" s="11" t="s">
        <v>543</v>
      </c>
      <c r="G91" s="11" t="s">
        <v>585</v>
      </c>
      <c r="H91" s="11" t="s">
        <v>26</v>
      </c>
      <c r="I91" s="11" t="s">
        <v>45</v>
      </c>
      <c r="J91" s="11" t="s">
        <v>543</v>
      </c>
      <c r="K91" s="11" t="s">
        <v>311</v>
      </c>
      <c r="L91" s="16">
        <v>1</v>
      </c>
    </row>
    <row r="92" spans="1:12" ht="24" customHeight="1" x14ac:dyDescent="0.2">
      <c r="A92" s="12"/>
      <c r="B92" s="12"/>
      <c r="C92" s="12"/>
      <c r="D92" s="11" t="s">
        <v>316</v>
      </c>
      <c r="E92" s="11" t="s">
        <v>543</v>
      </c>
      <c r="F92" s="11" t="s">
        <v>543</v>
      </c>
      <c r="G92" s="11" t="s">
        <v>584</v>
      </c>
      <c r="H92" s="11" t="s">
        <v>26</v>
      </c>
      <c r="I92" s="11" t="s">
        <v>45</v>
      </c>
      <c r="J92" s="11" t="s">
        <v>543</v>
      </c>
      <c r="K92" s="11" t="s">
        <v>314</v>
      </c>
      <c r="L92" s="16">
        <v>1</v>
      </c>
    </row>
    <row r="93" spans="1:12" ht="24" customHeight="1" x14ac:dyDescent="0.2">
      <c r="A93" s="12"/>
      <c r="B93" s="12"/>
      <c r="C93" s="12"/>
      <c r="D93" s="11" t="s">
        <v>319</v>
      </c>
      <c r="E93" s="11" t="s">
        <v>543</v>
      </c>
      <c r="F93" s="11" t="s">
        <v>543</v>
      </c>
      <c r="G93" s="11" t="s">
        <v>585</v>
      </c>
      <c r="H93" s="11" t="s">
        <v>26</v>
      </c>
      <c r="I93" s="11" t="s">
        <v>45</v>
      </c>
      <c r="J93" s="11" t="s">
        <v>543</v>
      </c>
      <c r="K93" s="11" t="s">
        <v>317</v>
      </c>
      <c r="L93" s="16">
        <v>1</v>
      </c>
    </row>
    <row r="94" spans="1:12" ht="24" customHeight="1" x14ac:dyDescent="0.2">
      <c r="A94" s="12"/>
      <c r="B94" s="12"/>
      <c r="C94" s="12"/>
      <c r="D94" s="11" t="s">
        <v>322</v>
      </c>
      <c r="E94" s="11" t="s">
        <v>543</v>
      </c>
      <c r="F94" s="11" t="s">
        <v>543</v>
      </c>
      <c r="G94" s="11" t="s">
        <v>589</v>
      </c>
      <c r="H94" s="11" t="s">
        <v>26</v>
      </c>
      <c r="I94" s="11" t="s">
        <v>45</v>
      </c>
      <c r="J94" s="11" t="s">
        <v>543</v>
      </c>
      <c r="K94" s="11" t="s">
        <v>320</v>
      </c>
      <c r="L94" s="16">
        <v>1</v>
      </c>
    </row>
    <row r="95" spans="1:12" ht="24" customHeight="1" x14ac:dyDescent="0.2">
      <c r="A95" s="12"/>
      <c r="B95" s="12"/>
      <c r="C95" s="12"/>
      <c r="D95" s="11" t="s">
        <v>324</v>
      </c>
      <c r="E95" s="11" t="s">
        <v>543</v>
      </c>
      <c r="F95" s="11" t="s">
        <v>543</v>
      </c>
      <c r="G95" s="11" t="s">
        <v>586</v>
      </c>
      <c r="H95" s="11" t="s">
        <v>26</v>
      </c>
      <c r="I95" s="11" t="s">
        <v>45</v>
      </c>
      <c r="J95" s="11" t="s">
        <v>543</v>
      </c>
      <c r="K95" s="11" t="s">
        <v>323</v>
      </c>
      <c r="L95" s="16">
        <v>1</v>
      </c>
    </row>
    <row r="96" spans="1:12" ht="24" customHeight="1" x14ac:dyDescent="0.2">
      <c r="A96" s="12"/>
      <c r="B96" s="12"/>
      <c r="C96" s="11" t="s">
        <v>125</v>
      </c>
      <c r="D96" s="11" t="s">
        <v>136</v>
      </c>
      <c r="E96" s="11" t="s">
        <v>543</v>
      </c>
      <c r="F96" s="11" t="s">
        <v>543</v>
      </c>
      <c r="G96" s="11" t="s">
        <v>582</v>
      </c>
      <c r="H96" s="11" t="s">
        <v>26</v>
      </c>
      <c r="I96" s="11" t="s">
        <v>543</v>
      </c>
      <c r="J96" s="11" t="s">
        <v>135</v>
      </c>
      <c r="K96" s="11" t="s">
        <v>133</v>
      </c>
      <c r="L96" s="16">
        <v>1</v>
      </c>
    </row>
    <row r="97" spans="1:12" ht="24" customHeight="1" x14ac:dyDescent="0.2">
      <c r="A97" s="12"/>
      <c r="B97" s="12"/>
      <c r="C97" s="12"/>
      <c r="D97" s="11" t="s">
        <v>128</v>
      </c>
      <c r="E97" s="11" t="s">
        <v>543</v>
      </c>
      <c r="F97" s="11" t="s">
        <v>543</v>
      </c>
      <c r="G97" s="11" t="s">
        <v>591</v>
      </c>
      <c r="H97" s="11" t="s">
        <v>26</v>
      </c>
      <c r="I97" s="11" t="s">
        <v>543</v>
      </c>
      <c r="J97" s="11" t="s">
        <v>127</v>
      </c>
      <c r="K97" s="11" t="s">
        <v>126</v>
      </c>
      <c r="L97" s="16">
        <v>1</v>
      </c>
    </row>
    <row r="98" spans="1:12" ht="24" customHeight="1" x14ac:dyDescent="0.2">
      <c r="A98" s="12"/>
      <c r="B98" s="12"/>
      <c r="C98" s="12"/>
      <c r="D98" s="11" t="s">
        <v>140</v>
      </c>
      <c r="E98" s="11" t="s">
        <v>543</v>
      </c>
      <c r="F98" s="11" t="s">
        <v>543</v>
      </c>
      <c r="G98" s="11" t="s">
        <v>587</v>
      </c>
      <c r="H98" s="11" t="s">
        <v>26</v>
      </c>
      <c r="I98" s="11" t="s">
        <v>543</v>
      </c>
      <c r="J98" s="11" t="s">
        <v>139</v>
      </c>
      <c r="K98" s="11" t="s">
        <v>138</v>
      </c>
      <c r="L98" s="16">
        <v>1</v>
      </c>
    </row>
    <row r="99" spans="1:12" ht="24" customHeight="1" x14ac:dyDescent="0.2">
      <c r="A99" s="12"/>
      <c r="B99" s="12"/>
      <c r="C99" s="12"/>
      <c r="D99" s="11" t="s">
        <v>146</v>
      </c>
      <c r="E99" s="11" t="s">
        <v>543</v>
      </c>
      <c r="F99" s="11" t="s">
        <v>543</v>
      </c>
      <c r="G99" s="11" t="s">
        <v>592</v>
      </c>
      <c r="H99" s="11" t="s">
        <v>26</v>
      </c>
      <c r="I99" s="11" t="s">
        <v>45</v>
      </c>
      <c r="J99" s="11" t="s">
        <v>543</v>
      </c>
      <c r="K99" s="11" t="s">
        <v>144</v>
      </c>
      <c r="L99" s="16">
        <v>1</v>
      </c>
    </row>
    <row r="100" spans="1:12" ht="24" customHeight="1" x14ac:dyDescent="0.2">
      <c r="A100" s="12"/>
      <c r="B100" s="12"/>
      <c r="C100" s="12"/>
      <c r="D100" s="11" t="s">
        <v>143</v>
      </c>
      <c r="E100" s="11" t="s">
        <v>543</v>
      </c>
      <c r="F100" s="11" t="s">
        <v>543</v>
      </c>
      <c r="G100" s="11" t="s">
        <v>582</v>
      </c>
      <c r="H100" s="11" t="s">
        <v>26</v>
      </c>
      <c r="I100" s="11" t="s">
        <v>74</v>
      </c>
      <c r="J100" s="11" t="s">
        <v>142</v>
      </c>
      <c r="K100" s="11" t="s">
        <v>141</v>
      </c>
      <c r="L100" s="16">
        <v>1</v>
      </c>
    </row>
    <row r="101" spans="1:12" ht="12.75" x14ac:dyDescent="0.2">
      <c r="A101" s="12"/>
      <c r="B101" s="17" t="s">
        <v>545</v>
      </c>
      <c r="C101" s="18"/>
      <c r="D101" s="18"/>
      <c r="E101" s="18"/>
      <c r="F101" s="18"/>
      <c r="G101" s="18"/>
      <c r="H101" s="18"/>
      <c r="I101" s="18"/>
      <c r="J101" s="18"/>
      <c r="K101" s="18"/>
      <c r="L101" s="19">
        <v>12</v>
      </c>
    </row>
    <row r="102" spans="1:12" ht="24" customHeight="1" x14ac:dyDescent="0.2">
      <c r="A102" s="12"/>
      <c r="B102" s="11">
        <v>3</v>
      </c>
      <c r="C102" s="11" t="s">
        <v>232</v>
      </c>
      <c r="D102" s="11" t="s">
        <v>231</v>
      </c>
      <c r="E102" s="11" t="s">
        <v>543</v>
      </c>
      <c r="F102" s="11" t="s">
        <v>543</v>
      </c>
      <c r="G102" s="11" t="s">
        <v>589</v>
      </c>
      <c r="H102" s="11" t="s">
        <v>26</v>
      </c>
      <c r="I102" s="11" t="s">
        <v>543</v>
      </c>
      <c r="J102" s="11" t="s">
        <v>230</v>
      </c>
      <c r="K102" s="11" t="s">
        <v>228</v>
      </c>
      <c r="L102" s="16">
        <v>1</v>
      </c>
    </row>
    <row r="103" spans="1:12" ht="24" customHeight="1" x14ac:dyDescent="0.2">
      <c r="A103" s="12"/>
      <c r="B103" s="12"/>
      <c r="C103" s="12"/>
      <c r="D103" s="11" t="s">
        <v>239</v>
      </c>
      <c r="E103" s="11" t="s">
        <v>543</v>
      </c>
      <c r="F103" s="11" t="s">
        <v>543</v>
      </c>
      <c r="G103" s="11" t="s">
        <v>589</v>
      </c>
      <c r="H103" s="11" t="s">
        <v>26</v>
      </c>
      <c r="I103" s="11" t="s">
        <v>543</v>
      </c>
      <c r="J103" s="11" t="s">
        <v>238</v>
      </c>
      <c r="K103" s="11" t="s">
        <v>236</v>
      </c>
      <c r="L103" s="16">
        <v>1</v>
      </c>
    </row>
    <row r="104" spans="1:12" ht="24" customHeight="1" x14ac:dyDescent="0.2">
      <c r="A104" s="12"/>
      <c r="B104" s="12"/>
      <c r="C104" s="12"/>
      <c r="D104" s="11" t="s">
        <v>235</v>
      </c>
      <c r="E104" s="11" t="s">
        <v>543</v>
      </c>
      <c r="F104" s="11" t="s">
        <v>543</v>
      </c>
      <c r="G104" s="11" t="s">
        <v>589</v>
      </c>
      <c r="H104" s="11" t="s">
        <v>26</v>
      </c>
      <c r="I104" s="11" t="s">
        <v>543</v>
      </c>
      <c r="J104" s="11" t="s">
        <v>234</v>
      </c>
      <c r="K104" s="11" t="s">
        <v>233</v>
      </c>
      <c r="L104" s="16">
        <v>1</v>
      </c>
    </row>
    <row r="105" spans="1:12" ht="24" customHeight="1" x14ac:dyDescent="0.2">
      <c r="A105" s="12"/>
      <c r="B105" s="12"/>
      <c r="C105" s="11" t="s">
        <v>87</v>
      </c>
      <c r="D105" s="11" t="s">
        <v>95</v>
      </c>
      <c r="E105" s="11" t="s">
        <v>543</v>
      </c>
      <c r="F105" s="11" t="s">
        <v>543</v>
      </c>
      <c r="G105" s="11" t="s">
        <v>583</v>
      </c>
      <c r="H105" s="11" t="s">
        <v>26</v>
      </c>
      <c r="I105" s="11" t="s">
        <v>543</v>
      </c>
      <c r="J105" s="11" t="s">
        <v>94</v>
      </c>
      <c r="K105" s="11" t="s">
        <v>93</v>
      </c>
      <c r="L105" s="16">
        <v>1</v>
      </c>
    </row>
    <row r="106" spans="1:12" ht="24" customHeight="1" x14ac:dyDescent="0.2">
      <c r="A106" s="12"/>
      <c r="B106" s="12"/>
      <c r="C106" s="12"/>
      <c r="D106" s="11" t="s">
        <v>98</v>
      </c>
      <c r="E106" s="11" t="s">
        <v>543</v>
      </c>
      <c r="F106" s="11" t="s">
        <v>543</v>
      </c>
      <c r="G106" s="11" t="s">
        <v>584</v>
      </c>
      <c r="H106" s="11" t="s">
        <v>26</v>
      </c>
      <c r="I106" s="11" t="s">
        <v>45</v>
      </c>
      <c r="J106" s="11" t="s">
        <v>543</v>
      </c>
      <c r="K106" s="11" t="s">
        <v>96</v>
      </c>
      <c r="L106" s="16">
        <v>1</v>
      </c>
    </row>
    <row r="107" spans="1:12" ht="24" customHeight="1" x14ac:dyDescent="0.2">
      <c r="A107" s="12"/>
      <c r="B107" s="12"/>
      <c r="C107" s="12"/>
      <c r="D107" s="11" t="s">
        <v>86</v>
      </c>
      <c r="E107" s="11" t="s">
        <v>543</v>
      </c>
      <c r="F107" s="11" t="s">
        <v>543</v>
      </c>
      <c r="G107" s="11" t="s">
        <v>586</v>
      </c>
      <c r="H107" s="11" t="s">
        <v>26</v>
      </c>
      <c r="I107" s="11" t="s">
        <v>543</v>
      </c>
      <c r="J107" s="11" t="s">
        <v>85</v>
      </c>
      <c r="K107" s="11" t="s">
        <v>83</v>
      </c>
      <c r="L107" s="16">
        <v>1</v>
      </c>
    </row>
    <row r="108" spans="1:12" ht="24" customHeight="1" x14ac:dyDescent="0.2">
      <c r="A108" s="12"/>
      <c r="B108" s="12"/>
      <c r="C108" s="12"/>
      <c r="D108" s="11" t="s">
        <v>106</v>
      </c>
      <c r="E108" s="11" t="s">
        <v>543</v>
      </c>
      <c r="F108" s="11" t="s">
        <v>543</v>
      </c>
      <c r="G108" s="11" t="s">
        <v>588</v>
      </c>
      <c r="H108" s="11" t="s">
        <v>26</v>
      </c>
      <c r="I108" s="11" t="s">
        <v>45</v>
      </c>
      <c r="J108" s="11" t="s">
        <v>543</v>
      </c>
      <c r="K108" s="11" t="s">
        <v>104</v>
      </c>
      <c r="L108" s="16">
        <v>1</v>
      </c>
    </row>
    <row r="109" spans="1:12" ht="24" customHeight="1" x14ac:dyDescent="0.2">
      <c r="A109" s="12"/>
      <c r="B109" s="12"/>
      <c r="C109" s="12"/>
      <c r="D109" s="11" t="s">
        <v>109</v>
      </c>
      <c r="E109" s="11" t="s">
        <v>543</v>
      </c>
      <c r="F109" s="11" t="s">
        <v>543</v>
      </c>
      <c r="G109" s="11" t="s">
        <v>589</v>
      </c>
      <c r="H109" s="11" t="s">
        <v>26</v>
      </c>
      <c r="I109" s="11" t="s">
        <v>45</v>
      </c>
      <c r="J109" s="11" t="s">
        <v>543</v>
      </c>
      <c r="K109" s="11" t="s">
        <v>107</v>
      </c>
      <c r="L109" s="16">
        <v>1</v>
      </c>
    </row>
    <row r="110" spans="1:12" ht="24" customHeight="1" x14ac:dyDescent="0.2">
      <c r="A110" s="12"/>
      <c r="B110" s="12"/>
      <c r="C110" s="12"/>
      <c r="D110" s="11" t="s">
        <v>112</v>
      </c>
      <c r="E110" s="11" t="s">
        <v>543</v>
      </c>
      <c r="F110" s="11" t="s">
        <v>543</v>
      </c>
      <c r="G110" s="11" t="s">
        <v>585</v>
      </c>
      <c r="H110" s="11" t="s">
        <v>26</v>
      </c>
      <c r="I110" s="11" t="s">
        <v>45</v>
      </c>
      <c r="J110" s="11" t="s">
        <v>543</v>
      </c>
      <c r="K110" s="11" t="s">
        <v>110</v>
      </c>
      <c r="L110" s="16">
        <v>1</v>
      </c>
    </row>
    <row r="111" spans="1:12" ht="24" customHeight="1" x14ac:dyDescent="0.2">
      <c r="A111" s="12"/>
      <c r="B111" s="12"/>
      <c r="C111" s="12"/>
      <c r="D111" s="11" t="s">
        <v>116</v>
      </c>
      <c r="E111" s="11" t="s">
        <v>543</v>
      </c>
      <c r="F111" s="11" t="s">
        <v>543</v>
      </c>
      <c r="G111" s="11" t="s">
        <v>589</v>
      </c>
      <c r="H111" s="11" t="s">
        <v>26</v>
      </c>
      <c r="I111" s="11" t="s">
        <v>45</v>
      </c>
      <c r="J111" s="11" t="s">
        <v>543</v>
      </c>
      <c r="K111" s="11" t="s">
        <v>114</v>
      </c>
      <c r="L111" s="16">
        <v>1</v>
      </c>
    </row>
    <row r="112" spans="1:12" ht="24" customHeight="1" x14ac:dyDescent="0.2">
      <c r="A112" s="12"/>
      <c r="B112" s="12"/>
      <c r="C112" s="12"/>
      <c r="D112" s="11" t="s">
        <v>91</v>
      </c>
      <c r="E112" s="11" t="s">
        <v>543</v>
      </c>
      <c r="F112" s="11" t="s">
        <v>543</v>
      </c>
      <c r="G112" s="11" t="s">
        <v>586</v>
      </c>
      <c r="H112" s="11" t="s">
        <v>26</v>
      </c>
      <c r="I112" s="11" t="s">
        <v>543</v>
      </c>
      <c r="J112" s="11" t="s">
        <v>90</v>
      </c>
      <c r="K112" s="11" t="s">
        <v>88</v>
      </c>
      <c r="L112" s="16">
        <v>1</v>
      </c>
    </row>
    <row r="113" spans="1:12" ht="24" customHeight="1" x14ac:dyDescent="0.2">
      <c r="A113" s="12"/>
      <c r="B113" s="12"/>
      <c r="C113" s="12"/>
      <c r="D113" s="11" t="s">
        <v>103</v>
      </c>
      <c r="E113" s="11" t="s">
        <v>543</v>
      </c>
      <c r="F113" s="11" t="s">
        <v>543</v>
      </c>
      <c r="G113" s="11" t="s">
        <v>593</v>
      </c>
      <c r="H113" s="11" t="s">
        <v>26</v>
      </c>
      <c r="I113" s="11" t="s">
        <v>543</v>
      </c>
      <c r="J113" s="11" t="s">
        <v>102</v>
      </c>
      <c r="K113" s="11" t="s">
        <v>100</v>
      </c>
      <c r="L113" s="16">
        <v>1</v>
      </c>
    </row>
    <row r="114" spans="1:12" ht="24" customHeight="1" x14ac:dyDescent="0.2">
      <c r="A114" s="12"/>
      <c r="B114" s="12"/>
      <c r="C114" s="12"/>
      <c r="D114" s="11" t="s">
        <v>119</v>
      </c>
      <c r="E114" s="11" t="s">
        <v>543</v>
      </c>
      <c r="F114" s="11" t="s">
        <v>543</v>
      </c>
      <c r="G114" s="11" t="s">
        <v>588</v>
      </c>
      <c r="H114" s="11" t="s">
        <v>26</v>
      </c>
      <c r="I114" s="11" t="s">
        <v>45</v>
      </c>
      <c r="J114" s="11" t="s">
        <v>543</v>
      </c>
      <c r="K114" s="11" t="s">
        <v>117</v>
      </c>
      <c r="L114" s="16">
        <v>1</v>
      </c>
    </row>
    <row r="115" spans="1:12" ht="24" customHeight="1" x14ac:dyDescent="0.2">
      <c r="A115" s="12"/>
      <c r="B115" s="12"/>
      <c r="C115" s="12"/>
      <c r="D115" s="11" t="s">
        <v>121</v>
      </c>
      <c r="E115" s="11" t="s">
        <v>543</v>
      </c>
      <c r="F115" s="11" t="s">
        <v>543</v>
      </c>
      <c r="G115" s="11" t="s">
        <v>588</v>
      </c>
      <c r="H115" s="11" t="s">
        <v>26</v>
      </c>
      <c r="I115" s="11" t="s">
        <v>45</v>
      </c>
      <c r="J115" s="11" t="s">
        <v>543</v>
      </c>
      <c r="K115" s="11" t="s">
        <v>120</v>
      </c>
      <c r="L115" s="16">
        <v>1</v>
      </c>
    </row>
    <row r="116" spans="1:12" ht="24" customHeight="1" x14ac:dyDescent="0.2">
      <c r="A116" s="12"/>
      <c r="B116" s="12"/>
      <c r="C116" s="11" t="s">
        <v>292</v>
      </c>
      <c r="D116" s="11" t="s">
        <v>294</v>
      </c>
      <c r="E116" s="11" t="s">
        <v>543</v>
      </c>
      <c r="F116" s="11" t="s">
        <v>543</v>
      </c>
      <c r="G116" s="11" t="s">
        <v>589</v>
      </c>
      <c r="H116" s="11" t="s">
        <v>26</v>
      </c>
      <c r="I116" s="11" t="s">
        <v>45</v>
      </c>
      <c r="J116" s="11" t="s">
        <v>543</v>
      </c>
      <c r="K116" s="11" t="s">
        <v>293</v>
      </c>
      <c r="L116" s="16">
        <v>1</v>
      </c>
    </row>
    <row r="117" spans="1:12" ht="24" customHeight="1" x14ac:dyDescent="0.2">
      <c r="A117" s="12"/>
      <c r="B117" s="12"/>
      <c r="C117" s="12"/>
      <c r="D117" s="11" t="s">
        <v>298</v>
      </c>
      <c r="E117" s="11" t="s">
        <v>543</v>
      </c>
      <c r="F117" s="11" t="s">
        <v>543</v>
      </c>
      <c r="G117" s="11" t="s">
        <v>585</v>
      </c>
      <c r="H117" s="11" t="s">
        <v>26</v>
      </c>
      <c r="I117" s="11" t="s">
        <v>543</v>
      </c>
      <c r="J117" s="11" t="s">
        <v>297</v>
      </c>
      <c r="K117" s="11" t="s">
        <v>295</v>
      </c>
      <c r="L117" s="16">
        <v>1</v>
      </c>
    </row>
    <row r="118" spans="1:12" ht="24" customHeight="1" x14ac:dyDescent="0.2">
      <c r="A118" s="12"/>
      <c r="B118" s="12"/>
      <c r="C118" s="12"/>
      <c r="D118" s="11" t="s">
        <v>291</v>
      </c>
      <c r="E118" s="11" t="s">
        <v>543</v>
      </c>
      <c r="F118" s="11" t="s">
        <v>543</v>
      </c>
      <c r="G118" s="11" t="s">
        <v>585</v>
      </c>
      <c r="H118" s="11" t="s">
        <v>26</v>
      </c>
      <c r="I118" s="11" t="s">
        <v>45</v>
      </c>
      <c r="J118" s="11" t="s">
        <v>543</v>
      </c>
      <c r="K118" s="11" t="s">
        <v>289</v>
      </c>
      <c r="L118" s="16">
        <v>1</v>
      </c>
    </row>
    <row r="119" spans="1:12" ht="24" customHeight="1" x14ac:dyDescent="0.2">
      <c r="A119" s="12"/>
      <c r="B119" s="12"/>
      <c r="C119" s="12"/>
      <c r="D119" s="11" t="s">
        <v>301</v>
      </c>
      <c r="E119" s="11" t="s">
        <v>543</v>
      </c>
      <c r="F119" s="11" t="s">
        <v>543</v>
      </c>
      <c r="G119" s="11" t="s">
        <v>588</v>
      </c>
      <c r="H119" s="11" t="s">
        <v>26</v>
      </c>
      <c r="I119" s="11" t="s">
        <v>45</v>
      </c>
      <c r="J119" s="11" t="s">
        <v>543</v>
      </c>
      <c r="K119" s="11" t="s">
        <v>299</v>
      </c>
      <c r="L119" s="16">
        <v>1</v>
      </c>
    </row>
    <row r="120" spans="1:12" ht="24" customHeight="1" x14ac:dyDescent="0.2">
      <c r="A120" s="12"/>
      <c r="B120" s="12"/>
      <c r="C120" s="11" t="s">
        <v>75</v>
      </c>
      <c r="D120" s="11" t="s">
        <v>72</v>
      </c>
      <c r="E120" s="11" t="s">
        <v>543</v>
      </c>
      <c r="F120" s="11" t="s">
        <v>543</v>
      </c>
      <c r="G120" s="11" t="s">
        <v>592</v>
      </c>
      <c r="H120" s="11" t="s">
        <v>26</v>
      </c>
      <c r="I120" s="11" t="s">
        <v>74</v>
      </c>
      <c r="J120" s="11" t="s">
        <v>71</v>
      </c>
      <c r="K120" s="11" t="s">
        <v>69</v>
      </c>
      <c r="L120" s="16">
        <v>1</v>
      </c>
    </row>
    <row r="121" spans="1:12" ht="24" customHeight="1" x14ac:dyDescent="0.2">
      <c r="A121" s="12"/>
      <c r="B121" s="12"/>
      <c r="C121" s="11" t="s">
        <v>82</v>
      </c>
      <c r="D121" s="11" t="s">
        <v>80</v>
      </c>
      <c r="E121" s="11" t="s">
        <v>543</v>
      </c>
      <c r="F121" s="11" t="s">
        <v>543</v>
      </c>
      <c r="G121" s="11" t="s">
        <v>589</v>
      </c>
      <c r="H121" s="11" t="s">
        <v>26</v>
      </c>
      <c r="I121" s="11" t="s">
        <v>543</v>
      </c>
      <c r="J121" s="11" t="s">
        <v>79</v>
      </c>
      <c r="K121" s="11" t="s">
        <v>77</v>
      </c>
      <c r="L121" s="16">
        <v>1</v>
      </c>
    </row>
    <row r="122" spans="1:12" ht="12.75" x14ac:dyDescent="0.2">
      <c r="A122" s="12"/>
      <c r="B122" s="17" t="s">
        <v>547</v>
      </c>
      <c r="C122" s="18"/>
      <c r="D122" s="18"/>
      <c r="E122" s="18"/>
      <c r="F122" s="18"/>
      <c r="G122" s="18"/>
      <c r="H122" s="18"/>
      <c r="I122" s="18"/>
      <c r="J122" s="18"/>
      <c r="K122" s="18"/>
      <c r="L122" s="19">
        <v>20</v>
      </c>
    </row>
    <row r="123" spans="1:12" ht="24" customHeight="1" x14ac:dyDescent="0.2">
      <c r="A123" s="12"/>
      <c r="B123" s="11">
        <v>4</v>
      </c>
      <c r="C123" s="11" t="s">
        <v>214</v>
      </c>
      <c r="D123" s="11" t="s">
        <v>213</v>
      </c>
      <c r="E123" s="11" t="s">
        <v>543</v>
      </c>
      <c r="F123" s="11" t="s">
        <v>543</v>
      </c>
      <c r="G123" s="11" t="s">
        <v>594</v>
      </c>
      <c r="H123" s="11" t="s">
        <v>26</v>
      </c>
      <c r="I123" s="11" t="s">
        <v>543</v>
      </c>
      <c r="J123" s="11" t="s">
        <v>212</v>
      </c>
      <c r="K123" s="11" t="s">
        <v>210</v>
      </c>
      <c r="L123" s="16">
        <v>1</v>
      </c>
    </row>
    <row r="124" spans="1:12" ht="24" customHeight="1" x14ac:dyDescent="0.2">
      <c r="A124" s="12"/>
      <c r="B124" s="12"/>
      <c r="C124" s="11" t="s">
        <v>177</v>
      </c>
      <c r="D124" s="11" t="s">
        <v>176</v>
      </c>
      <c r="E124" s="11" t="s">
        <v>543</v>
      </c>
      <c r="F124" s="11" t="s">
        <v>543</v>
      </c>
      <c r="G124" s="11" t="s">
        <v>589</v>
      </c>
      <c r="H124" s="11" t="s">
        <v>26</v>
      </c>
      <c r="I124" s="11" t="s">
        <v>45</v>
      </c>
      <c r="J124" s="11" t="s">
        <v>543</v>
      </c>
      <c r="K124" s="11" t="s">
        <v>174</v>
      </c>
      <c r="L124" s="16">
        <v>1</v>
      </c>
    </row>
    <row r="125" spans="1:12" ht="24" customHeight="1" x14ac:dyDescent="0.2">
      <c r="A125" s="12"/>
      <c r="B125" s="12"/>
      <c r="C125" s="12"/>
      <c r="D125" s="11" t="s">
        <v>181</v>
      </c>
      <c r="E125" s="11" t="s">
        <v>543</v>
      </c>
      <c r="F125" s="11" t="s">
        <v>543</v>
      </c>
      <c r="G125" s="11" t="s">
        <v>585</v>
      </c>
      <c r="H125" s="11" t="s">
        <v>26</v>
      </c>
      <c r="I125" s="11" t="s">
        <v>543</v>
      </c>
      <c r="J125" s="11" t="s">
        <v>180</v>
      </c>
      <c r="K125" s="11" t="s">
        <v>178</v>
      </c>
      <c r="L125" s="16">
        <v>1</v>
      </c>
    </row>
    <row r="126" spans="1:12" ht="24" customHeight="1" x14ac:dyDescent="0.2">
      <c r="A126" s="12"/>
      <c r="B126" s="12"/>
      <c r="C126" s="12"/>
      <c r="D126" s="11" t="s">
        <v>185</v>
      </c>
      <c r="E126" s="11" t="s">
        <v>543</v>
      </c>
      <c r="F126" s="11" t="s">
        <v>543</v>
      </c>
      <c r="G126" s="11" t="s">
        <v>585</v>
      </c>
      <c r="H126" s="11" t="s">
        <v>26</v>
      </c>
      <c r="I126" s="11" t="s">
        <v>543</v>
      </c>
      <c r="J126" s="11" t="s">
        <v>184</v>
      </c>
      <c r="K126" s="11" t="s">
        <v>182</v>
      </c>
      <c r="L126" s="16">
        <v>1</v>
      </c>
    </row>
    <row r="127" spans="1:12" ht="24" customHeight="1" x14ac:dyDescent="0.2">
      <c r="A127" s="12"/>
      <c r="B127" s="12"/>
      <c r="C127" s="12"/>
      <c r="D127" s="11" t="s">
        <v>189</v>
      </c>
      <c r="E127" s="11" t="s">
        <v>543</v>
      </c>
      <c r="F127" s="11" t="s">
        <v>543</v>
      </c>
      <c r="G127" s="11" t="s">
        <v>589</v>
      </c>
      <c r="H127" s="11" t="s">
        <v>26</v>
      </c>
      <c r="I127" s="11" t="s">
        <v>543</v>
      </c>
      <c r="J127" s="11" t="s">
        <v>188</v>
      </c>
      <c r="K127" s="11" t="s">
        <v>186</v>
      </c>
      <c r="L127" s="16">
        <v>1</v>
      </c>
    </row>
    <row r="128" spans="1:12" ht="24" customHeight="1" x14ac:dyDescent="0.2">
      <c r="A128" s="12"/>
      <c r="B128" s="12"/>
      <c r="C128" s="12"/>
      <c r="D128" s="11" t="s">
        <v>192</v>
      </c>
      <c r="E128" s="11" t="s">
        <v>543</v>
      </c>
      <c r="F128" s="11" t="s">
        <v>543</v>
      </c>
      <c r="G128" s="11" t="s">
        <v>588</v>
      </c>
      <c r="H128" s="11" t="s">
        <v>26</v>
      </c>
      <c r="I128" s="11" t="s">
        <v>45</v>
      </c>
      <c r="J128" s="11" t="s">
        <v>543</v>
      </c>
      <c r="K128" s="11" t="s">
        <v>190</v>
      </c>
      <c r="L128" s="16">
        <v>1</v>
      </c>
    </row>
    <row r="129" spans="1:12" ht="24" customHeight="1" x14ac:dyDescent="0.2">
      <c r="A129" s="12"/>
      <c r="B129" s="12"/>
      <c r="C129" s="12"/>
      <c r="D129" s="11" t="s">
        <v>195</v>
      </c>
      <c r="E129" s="11" t="s">
        <v>543</v>
      </c>
      <c r="F129" s="11" t="s">
        <v>543</v>
      </c>
      <c r="G129" s="11" t="s">
        <v>588</v>
      </c>
      <c r="H129" s="11" t="s">
        <v>26</v>
      </c>
      <c r="I129" s="11" t="s">
        <v>45</v>
      </c>
      <c r="J129" s="11" t="s">
        <v>543</v>
      </c>
      <c r="K129" s="11" t="s">
        <v>193</v>
      </c>
      <c r="L129" s="16">
        <v>1</v>
      </c>
    </row>
    <row r="130" spans="1:12" ht="24" customHeight="1" x14ac:dyDescent="0.2">
      <c r="A130" s="12"/>
      <c r="B130" s="12"/>
      <c r="C130" s="11" t="s">
        <v>164</v>
      </c>
      <c r="D130" s="11" t="s">
        <v>173</v>
      </c>
      <c r="E130" s="11" t="s">
        <v>543</v>
      </c>
      <c r="F130" s="11" t="s">
        <v>543</v>
      </c>
      <c r="G130" s="11" t="s">
        <v>592</v>
      </c>
      <c r="H130" s="11" t="s">
        <v>26</v>
      </c>
      <c r="I130" s="11" t="s">
        <v>543</v>
      </c>
      <c r="J130" s="11" t="s">
        <v>172</v>
      </c>
      <c r="K130" s="11" t="s">
        <v>170</v>
      </c>
      <c r="L130" s="16">
        <v>1</v>
      </c>
    </row>
    <row r="131" spans="1:12" ht="24" customHeight="1" x14ac:dyDescent="0.2">
      <c r="A131" s="12"/>
      <c r="B131" s="12"/>
      <c r="C131" s="12"/>
      <c r="D131" s="11" t="s">
        <v>162</v>
      </c>
      <c r="E131" s="11" t="s">
        <v>543</v>
      </c>
      <c r="F131" s="11" t="s">
        <v>543</v>
      </c>
      <c r="G131" s="11" t="s">
        <v>561</v>
      </c>
      <c r="H131" s="11" t="s">
        <v>26</v>
      </c>
      <c r="I131" s="11" t="s">
        <v>543</v>
      </c>
      <c r="J131" s="11" t="s">
        <v>161</v>
      </c>
      <c r="K131" s="11" t="s">
        <v>159</v>
      </c>
      <c r="L131" s="16">
        <v>1</v>
      </c>
    </row>
    <row r="132" spans="1:12" ht="24" customHeight="1" x14ac:dyDescent="0.2">
      <c r="A132" s="12"/>
      <c r="B132" s="12"/>
      <c r="C132" s="12"/>
      <c r="D132" s="11" t="s">
        <v>169</v>
      </c>
      <c r="E132" s="11" t="s">
        <v>543</v>
      </c>
      <c r="F132" s="11" t="s">
        <v>543</v>
      </c>
      <c r="G132" s="11" t="s">
        <v>582</v>
      </c>
      <c r="H132" s="11" t="s">
        <v>26</v>
      </c>
      <c r="I132" s="11" t="s">
        <v>543</v>
      </c>
      <c r="J132" s="11" t="s">
        <v>168</v>
      </c>
      <c r="K132" s="11" t="s">
        <v>166</v>
      </c>
      <c r="L132" s="16">
        <v>1</v>
      </c>
    </row>
    <row r="133" spans="1:12" ht="24" customHeight="1" x14ac:dyDescent="0.2">
      <c r="A133" s="12"/>
      <c r="B133" s="12"/>
      <c r="C133" s="11" t="s">
        <v>219</v>
      </c>
      <c r="D133" s="11" t="s">
        <v>217</v>
      </c>
      <c r="E133" s="11" t="s">
        <v>543</v>
      </c>
      <c r="F133" s="11" t="s">
        <v>543</v>
      </c>
      <c r="G133" s="11" t="s">
        <v>561</v>
      </c>
      <c r="H133" s="11" t="s">
        <v>26</v>
      </c>
      <c r="I133" s="11" t="s">
        <v>45</v>
      </c>
      <c r="J133" s="11" t="s">
        <v>543</v>
      </c>
      <c r="K133" s="11" t="s">
        <v>215</v>
      </c>
      <c r="L133" s="16">
        <v>1</v>
      </c>
    </row>
    <row r="134" spans="1:12" ht="24" customHeight="1" x14ac:dyDescent="0.2">
      <c r="A134" s="12"/>
      <c r="B134" s="12"/>
      <c r="C134" s="12"/>
      <c r="D134" s="11" t="s">
        <v>221</v>
      </c>
      <c r="E134" s="11" t="s">
        <v>543</v>
      </c>
      <c r="F134" s="11" t="s">
        <v>543</v>
      </c>
      <c r="G134" s="11" t="s">
        <v>584</v>
      </c>
      <c r="H134" s="11" t="s">
        <v>26</v>
      </c>
      <c r="I134" s="11" t="s">
        <v>45</v>
      </c>
      <c r="J134" s="11" t="s">
        <v>543</v>
      </c>
      <c r="K134" s="11" t="s">
        <v>220</v>
      </c>
      <c r="L134" s="16">
        <v>1</v>
      </c>
    </row>
    <row r="135" spans="1:12" ht="12.75" x14ac:dyDescent="0.2">
      <c r="A135" s="12"/>
      <c r="B135" s="17" t="s">
        <v>549</v>
      </c>
      <c r="C135" s="18"/>
      <c r="D135" s="18"/>
      <c r="E135" s="18"/>
      <c r="F135" s="18"/>
      <c r="G135" s="18"/>
      <c r="H135" s="18"/>
      <c r="I135" s="18"/>
      <c r="J135" s="18"/>
      <c r="K135" s="18"/>
      <c r="L135" s="19">
        <v>12</v>
      </c>
    </row>
    <row r="136" spans="1:12" ht="24" customHeight="1" x14ac:dyDescent="0.2">
      <c r="A136" s="12"/>
      <c r="B136" s="11">
        <v>5</v>
      </c>
      <c r="C136" s="11" t="s">
        <v>244</v>
      </c>
      <c r="D136" s="11" t="s">
        <v>267</v>
      </c>
      <c r="E136" s="11" t="s">
        <v>543</v>
      </c>
      <c r="F136" s="11" t="s">
        <v>543</v>
      </c>
      <c r="G136" s="11" t="s">
        <v>582</v>
      </c>
      <c r="H136" s="11" t="s">
        <v>26</v>
      </c>
      <c r="I136" s="11" t="s">
        <v>45</v>
      </c>
      <c r="J136" s="11" t="s">
        <v>543</v>
      </c>
      <c r="K136" s="11" t="s">
        <v>265</v>
      </c>
      <c r="L136" s="16">
        <v>1</v>
      </c>
    </row>
    <row r="137" spans="1:12" ht="24" customHeight="1" x14ac:dyDescent="0.2">
      <c r="A137" s="12"/>
      <c r="B137" s="12"/>
      <c r="C137" s="12"/>
      <c r="D137" s="11" t="s">
        <v>259</v>
      </c>
      <c r="E137" s="11" t="s">
        <v>543</v>
      </c>
      <c r="F137" s="11" t="s">
        <v>543</v>
      </c>
      <c r="G137" s="11" t="s">
        <v>586</v>
      </c>
      <c r="H137" s="11" t="s">
        <v>26</v>
      </c>
      <c r="I137" s="11" t="s">
        <v>45</v>
      </c>
      <c r="J137" s="11" t="s">
        <v>543</v>
      </c>
      <c r="K137" s="11" t="s">
        <v>257</v>
      </c>
      <c r="L137" s="16">
        <v>1</v>
      </c>
    </row>
    <row r="138" spans="1:12" ht="24" customHeight="1" x14ac:dyDescent="0.2">
      <c r="A138" s="12"/>
      <c r="B138" s="12"/>
      <c r="C138" s="11" t="s">
        <v>205</v>
      </c>
      <c r="D138" s="11" t="s">
        <v>203</v>
      </c>
      <c r="E138" s="11" t="s">
        <v>543</v>
      </c>
      <c r="F138" s="11" t="s">
        <v>543</v>
      </c>
      <c r="G138" s="11" t="s">
        <v>583</v>
      </c>
      <c r="H138" s="11" t="s">
        <v>26</v>
      </c>
      <c r="I138" s="11" t="s">
        <v>543</v>
      </c>
      <c r="J138" s="11" t="s">
        <v>202</v>
      </c>
      <c r="K138" s="11" t="s">
        <v>200</v>
      </c>
      <c r="L138" s="16">
        <v>1</v>
      </c>
    </row>
    <row r="139" spans="1:12" ht="24" customHeight="1" x14ac:dyDescent="0.2">
      <c r="A139" s="12"/>
      <c r="B139" s="12"/>
      <c r="C139" s="12"/>
      <c r="D139" s="11" t="s">
        <v>208</v>
      </c>
      <c r="E139" s="11" t="s">
        <v>543</v>
      </c>
      <c r="F139" s="11" t="s">
        <v>543</v>
      </c>
      <c r="G139" s="11" t="s">
        <v>589</v>
      </c>
      <c r="H139" s="11" t="s">
        <v>26</v>
      </c>
      <c r="I139" s="11" t="s">
        <v>45</v>
      </c>
      <c r="J139" s="11" t="s">
        <v>543</v>
      </c>
      <c r="K139" s="11" t="s">
        <v>206</v>
      </c>
      <c r="L139" s="16">
        <v>1</v>
      </c>
    </row>
    <row r="140" spans="1:12" ht="24" customHeight="1" x14ac:dyDescent="0.2">
      <c r="A140" s="12"/>
      <c r="B140" s="12"/>
      <c r="C140" s="11" t="s">
        <v>58</v>
      </c>
      <c r="D140" s="11" t="s">
        <v>57</v>
      </c>
      <c r="E140" s="11" t="s">
        <v>543</v>
      </c>
      <c r="F140" s="11" t="s">
        <v>543</v>
      </c>
      <c r="G140" s="11" t="s">
        <v>586</v>
      </c>
      <c r="H140" s="11" t="s">
        <v>9</v>
      </c>
      <c r="I140" s="11" t="s">
        <v>543</v>
      </c>
      <c r="J140" s="11" t="s">
        <v>56</v>
      </c>
      <c r="K140" s="11" t="s">
        <v>54</v>
      </c>
      <c r="L140" s="16">
        <v>1</v>
      </c>
    </row>
    <row r="141" spans="1:12" ht="24" customHeight="1" x14ac:dyDescent="0.2">
      <c r="A141" s="12"/>
      <c r="B141" s="12"/>
      <c r="C141" s="12"/>
      <c r="D141" s="11" t="s">
        <v>62</v>
      </c>
      <c r="E141" s="11" t="s">
        <v>543</v>
      </c>
      <c r="F141" s="11" t="s">
        <v>543</v>
      </c>
      <c r="G141" s="11" t="s">
        <v>586</v>
      </c>
      <c r="H141" s="11" t="s">
        <v>26</v>
      </c>
      <c r="I141" s="11" t="s">
        <v>543</v>
      </c>
      <c r="J141" s="11" t="s">
        <v>61</v>
      </c>
      <c r="K141" s="11" t="s">
        <v>59</v>
      </c>
      <c r="L141" s="16">
        <v>1</v>
      </c>
    </row>
    <row r="142" spans="1:12" ht="24" customHeight="1" x14ac:dyDescent="0.2">
      <c r="A142" s="12"/>
      <c r="B142" s="12"/>
      <c r="C142" s="12"/>
      <c r="D142" s="11" t="s">
        <v>65</v>
      </c>
      <c r="E142" s="11" t="s">
        <v>543</v>
      </c>
      <c r="F142" s="11" t="s">
        <v>543</v>
      </c>
      <c r="G142" s="11" t="s">
        <v>561</v>
      </c>
      <c r="H142" s="11" t="s">
        <v>26</v>
      </c>
      <c r="I142" s="11" t="s">
        <v>45</v>
      </c>
      <c r="J142" s="11" t="s">
        <v>543</v>
      </c>
      <c r="K142" s="11" t="s">
        <v>63</v>
      </c>
      <c r="L142" s="16">
        <v>1</v>
      </c>
    </row>
    <row r="143" spans="1:12" ht="24" customHeight="1" x14ac:dyDescent="0.2">
      <c r="A143" s="12"/>
      <c r="B143" s="12"/>
      <c r="C143" s="12"/>
      <c r="D143" s="11" t="s">
        <v>68</v>
      </c>
      <c r="E143" s="11" t="s">
        <v>543</v>
      </c>
      <c r="F143" s="11" t="s">
        <v>543</v>
      </c>
      <c r="G143" s="11" t="s">
        <v>584</v>
      </c>
      <c r="H143" s="11" t="s">
        <v>26</v>
      </c>
      <c r="I143" s="11" t="s">
        <v>45</v>
      </c>
      <c r="J143" s="11" t="s">
        <v>543</v>
      </c>
      <c r="K143" s="11" t="s">
        <v>66</v>
      </c>
      <c r="L143" s="16">
        <v>1</v>
      </c>
    </row>
    <row r="144" spans="1:12" ht="24" customHeight="1" x14ac:dyDescent="0.2">
      <c r="A144" s="12"/>
      <c r="B144" s="12"/>
      <c r="C144" s="11" t="s">
        <v>49</v>
      </c>
      <c r="D144" s="11" t="s">
        <v>48</v>
      </c>
      <c r="E144" s="11" t="s">
        <v>543</v>
      </c>
      <c r="F144" s="11" t="s">
        <v>543</v>
      </c>
      <c r="G144" s="11" t="s">
        <v>584</v>
      </c>
      <c r="H144" s="11" t="s">
        <v>26</v>
      </c>
      <c r="I144" s="11" t="s">
        <v>45</v>
      </c>
      <c r="J144" s="11" t="s">
        <v>543</v>
      </c>
      <c r="K144" s="11" t="s">
        <v>46</v>
      </c>
      <c r="L144" s="16">
        <v>1</v>
      </c>
    </row>
    <row r="145" spans="1:12" ht="24" customHeight="1" x14ac:dyDescent="0.2">
      <c r="A145" s="12"/>
      <c r="B145" s="12"/>
      <c r="C145" s="12"/>
      <c r="D145" s="11" t="s">
        <v>53</v>
      </c>
      <c r="E145" s="11" t="s">
        <v>543</v>
      </c>
      <c r="F145" s="11" t="s">
        <v>543</v>
      </c>
      <c r="G145" s="11" t="s">
        <v>585</v>
      </c>
      <c r="H145" s="11" t="s">
        <v>26</v>
      </c>
      <c r="I145" s="11" t="s">
        <v>45</v>
      </c>
      <c r="J145" s="11" t="s">
        <v>543</v>
      </c>
      <c r="K145" s="11" t="s">
        <v>51</v>
      </c>
      <c r="L145" s="16">
        <v>1</v>
      </c>
    </row>
    <row r="146" spans="1:12" ht="24" customHeight="1" x14ac:dyDescent="0.2">
      <c r="A146" s="12"/>
      <c r="B146" s="12"/>
      <c r="C146" s="11" t="s">
        <v>227</v>
      </c>
      <c r="D146" s="11" t="s">
        <v>225</v>
      </c>
      <c r="E146" s="11" t="s">
        <v>543</v>
      </c>
      <c r="F146" s="11" t="s">
        <v>543</v>
      </c>
      <c r="G146" s="11" t="s">
        <v>584</v>
      </c>
      <c r="H146" s="11" t="s">
        <v>26</v>
      </c>
      <c r="I146" s="11" t="s">
        <v>45</v>
      </c>
      <c r="J146" s="11" t="s">
        <v>543</v>
      </c>
      <c r="K146" s="11" t="s">
        <v>223</v>
      </c>
      <c r="L146" s="16">
        <v>1</v>
      </c>
    </row>
    <row r="147" spans="1:12" ht="12.75" x14ac:dyDescent="0.2">
      <c r="A147" s="12"/>
      <c r="B147" s="17" t="s">
        <v>557</v>
      </c>
      <c r="C147" s="18"/>
      <c r="D147" s="18"/>
      <c r="E147" s="18"/>
      <c r="F147" s="18"/>
      <c r="G147" s="18"/>
      <c r="H147" s="18"/>
      <c r="I147" s="18"/>
      <c r="J147" s="18"/>
      <c r="K147" s="18"/>
      <c r="L147" s="19">
        <v>11</v>
      </c>
    </row>
    <row r="148" spans="1:12" ht="24" customHeight="1" x14ac:dyDescent="0.2">
      <c r="A148" s="12"/>
      <c r="B148" s="11">
        <v>7</v>
      </c>
      <c r="C148" s="11" t="s">
        <v>331</v>
      </c>
      <c r="D148" s="11" t="s">
        <v>328</v>
      </c>
      <c r="E148" s="11" t="s">
        <v>543</v>
      </c>
      <c r="F148" s="11" t="s">
        <v>543</v>
      </c>
      <c r="G148" s="11" t="s">
        <v>595</v>
      </c>
      <c r="H148" s="11" t="s">
        <v>26</v>
      </c>
      <c r="I148" s="11" t="s">
        <v>45</v>
      </c>
      <c r="J148" s="11" t="s">
        <v>543</v>
      </c>
      <c r="K148" s="11" t="s">
        <v>326</v>
      </c>
      <c r="L148" s="16">
        <v>1</v>
      </c>
    </row>
    <row r="149" spans="1:12" ht="24" customHeight="1" x14ac:dyDescent="0.2">
      <c r="A149" s="12"/>
      <c r="B149" s="12"/>
      <c r="C149" s="12"/>
      <c r="D149" s="11" t="s">
        <v>339</v>
      </c>
      <c r="E149" s="11" t="s">
        <v>543</v>
      </c>
      <c r="F149" s="11" t="s">
        <v>543</v>
      </c>
      <c r="G149" s="11" t="s">
        <v>596</v>
      </c>
      <c r="H149" s="11" t="s">
        <v>26</v>
      </c>
      <c r="I149" s="11" t="s">
        <v>45</v>
      </c>
      <c r="J149" s="11" t="s">
        <v>543</v>
      </c>
      <c r="K149" s="11" t="s">
        <v>337</v>
      </c>
      <c r="L149" s="16">
        <v>1</v>
      </c>
    </row>
    <row r="150" spans="1:12" ht="24" customHeight="1" x14ac:dyDescent="0.2">
      <c r="A150" s="12"/>
      <c r="B150" s="12"/>
      <c r="C150" s="12"/>
      <c r="D150" s="11" t="s">
        <v>343</v>
      </c>
      <c r="E150" s="11" t="s">
        <v>543</v>
      </c>
      <c r="F150" s="11" t="s">
        <v>543</v>
      </c>
      <c r="G150" s="11" t="s">
        <v>597</v>
      </c>
      <c r="H150" s="11" t="s">
        <v>9</v>
      </c>
      <c r="I150" s="11" t="s">
        <v>543</v>
      </c>
      <c r="J150" s="11" t="s">
        <v>342</v>
      </c>
      <c r="K150" s="11" t="s">
        <v>341</v>
      </c>
      <c r="L150" s="16">
        <v>1</v>
      </c>
    </row>
    <row r="151" spans="1:12" ht="12.75" x14ac:dyDescent="0.2">
      <c r="A151" s="12"/>
      <c r="B151" s="17" t="s">
        <v>558</v>
      </c>
      <c r="C151" s="18"/>
      <c r="D151" s="18"/>
      <c r="E151" s="18"/>
      <c r="F151" s="18"/>
      <c r="G151" s="18"/>
      <c r="H151" s="18"/>
      <c r="I151" s="18"/>
      <c r="J151" s="18"/>
      <c r="K151" s="18"/>
      <c r="L151" s="19">
        <v>3</v>
      </c>
    </row>
    <row r="152" spans="1:12" ht="24" customHeight="1" x14ac:dyDescent="0.2">
      <c r="A152" s="12"/>
      <c r="B152" s="11">
        <v>8</v>
      </c>
      <c r="C152" s="11" t="s">
        <v>281</v>
      </c>
      <c r="D152" s="11" t="s">
        <v>279</v>
      </c>
      <c r="E152" s="11" t="s">
        <v>543</v>
      </c>
      <c r="F152" s="11" t="s">
        <v>543</v>
      </c>
      <c r="G152" s="11" t="s">
        <v>544</v>
      </c>
      <c r="H152" s="11" t="s">
        <v>26</v>
      </c>
      <c r="I152" s="11" t="s">
        <v>45</v>
      </c>
      <c r="J152" s="11" t="s">
        <v>543</v>
      </c>
      <c r="K152" s="11" t="s">
        <v>277</v>
      </c>
      <c r="L152" s="16">
        <v>1</v>
      </c>
    </row>
    <row r="153" spans="1:12" ht="24" customHeight="1" x14ac:dyDescent="0.2">
      <c r="A153" s="12"/>
      <c r="B153" s="12"/>
      <c r="C153" s="12"/>
      <c r="D153" s="11" t="s">
        <v>285</v>
      </c>
      <c r="E153" s="11" t="s">
        <v>543</v>
      </c>
      <c r="F153" s="11" t="s">
        <v>543</v>
      </c>
      <c r="G153" s="11" t="s">
        <v>544</v>
      </c>
      <c r="H153" s="11" t="s">
        <v>26</v>
      </c>
      <c r="I153" s="11" t="s">
        <v>45</v>
      </c>
      <c r="J153" s="11" t="s">
        <v>543</v>
      </c>
      <c r="K153" s="11" t="s">
        <v>283</v>
      </c>
      <c r="L153" s="16">
        <v>1</v>
      </c>
    </row>
    <row r="154" spans="1:12" ht="24" customHeight="1" x14ac:dyDescent="0.2">
      <c r="A154" s="12"/>
      <c r="B154" s="12"/>
      <c r="C154" s="12"/>
      <c r="D154" s="11" t="s">
        <v>288</v>
      </c>
      <c r="E154" s="11" t="s">
        <v>543</v>
      </c>
      <c r="F154" s="11" t="s">
        <v>543</v>
      </c>
      <c r="G154" s="11" t="s">
        <v>544</v>
      </c>
      <c r="H154" s="11" t="s">
        <v>26</v>
      </c>
      <c r="I154" s="11" t="s">
        <v>45</v>
      </c>
      <c r="J154" s="11" t="s">
        <v>543</v>
      </c>
      <c r="K154" s="11" t="s">
        <v>286</v>
      </c>
      <c r="L154" s="16">
        <v>1</v>
      </c>
    </row>
    <row r="155" spans="1:12" ht="12.75" x14ac:dyDescent="0.2">
      <c r="A155" s="13"/>
      <c r="B155" s="20" t="s">
        <v>560</v>
      </c>
      <c r="C155" s="21"/>
      <c r="D155" s="21"/>
      <c r="E155" s="21"/>
      <c r="F155" s="21"/>
      <c r="G155" s="21"/>
      <c r="H155" s="21"/>
      <c r="I155" s="21"/>
      <c r="J155" s="21"/>
      <c r="K155" s="21"/>
      <c r="L155" s="22">
        <v>3</v>
      </c>
    </row>
    <row r="156" spans="1:12" ht="24" customHeight="1" x14ac:dyDescent="0.2">
      <c r="A156"/>
      <c r="B156"/>
      <c r="C156"/>
      <c r="D156"/>
      <c r="E156"/>
      <c r="F156"/>
      <c r="G156"/>
      <c r="H156"/>
      <c r="I156"/>
      <c r="J156"/>
      <c r="K156"/>
      <c r="L156" s="8"/>
    </row>
    <row r="157" spans="1:12" ht="24" customHeight="1" x14ac:dyDescent="0.2">
      <c r="A157"/>
      <c r="B157"/>
      <c r="C157"/>
      <c r="D157"/>
      <c r="E157"/>
      <c r="F157"/>
      <c r="G157"/>
      <c r="H157"/>
      <c r="I157"/>
      <c r="J157"/>
      <c r="K157"/>
      <c r="L157" s="8"/>
    </row>
    <row r="158" spans="1:12" ht="24" customHeight="1" x14ac:dyDescent="0.2">
      <c r="A158"/>
      <c r="B158"/>
      <c r="C158"/>
      <c r="D158"/>
      <c r="E158"/>
      <c r="F158"/>
      <c r="G158"/>
      <c r="H158"/>
      <c r="I158"/>
      <c r="J158"/>
      <c r="K158"/>
      <c r="L158" s="8"/>
    </row>
    <row r="159" spans="1:12" ht="24" customHeight="1" x14ac:dyDescent="0.2">
      <c r="A159"/>
      <c r="B159"/>
      <c r="C159"/>
      <c r="D159"/>
      <c r="E159"/>
      <c r="F159"/>
      <c r="G159"/>
      <c r="H159"/>
      <c r="I159"/>
      <c r="J159"/>
      <c r="K159"/>
      <c r="L159" s="8"/>
    </row>
    <row r="160" spans="1:12" ht="24" customHeight="1" x14ac:dyDescent="0.2">
      <c r="A160"/>
      <c r="B160"/>
      <c r="C160"/>
      <c r="D160"/>
      <c r="E160"/>
      <c r="F160"/>
      <c r="G160"/>
      <c r="H160"/>
      <c r="I160"/>
      <c r="J160"/>
      <c r="K160"/>
      <c r="L160" s="8"/>
    </row>
    <row r="161" spans="1:12" ht="24" customHeight="1" x14ac:dyDescent="0.2">
      <c r="A161"/>
      <c r="B161"/>
      <c r="C161"/>
      <c r="D161"/>
      <c r="E161"/>
      <c r="F161"/>
      <c r="G161"/>
      <c r="H161"/>
      <c r="I161"/>
      <c r="J161"/>
      <c r="K161"/>
      <c r="L161" s="8"/>
    </row>
    <row r="162" spans="1:12" ht="24" customHeight="1" x14ac:dyDescent="0.2">
      <c r="A162"/>
      <c r="B162"/>
      <c r="C162"/>
      <c r="D162"/>
      <c r="E162"/>
      <c r="F162"/>
      <c r="G162"/>
      <c r="H162"/>
      <c r="I162"/>
      <c r="J162"/>
      <c r="K162"/>
      <c r="L162" s="8"/>
    </row>
    <row r="163" spans="1:12" ht="24" customHeight="1" x14ac:dyDescent="0.2">
      <c r="A163"/>
      <c r="B163"/>
      <c r="C163"/>
      <c r="D163"/>
      <c r="E163"/>
      <c r="F163"/>
      <c r="G163"/>
      <c r="H163"/>
      <c r="I163"/>
      <c r="J163"/>
      <c r="K163"/>
      <c r="L163" s="8"/>
    </row>
    <row r="164" spans="1:12" ht="24" customHeight="1" x14ac:dyDescent="0.2">
      <c r="A164"/>
      <c r="B164"/>
      <c r="C164"/>
      <c r="D164"/>
      <c r="E164"/>
      <c r="F164"/>
      <c r="G164"/>
      <c r="H164"/>
      <c r="I164"/>
      <c r="J164"/>
      <c r="K164"/>
      <c r="L164" s="8"/>
    </row>
    <row r="165" spans="1:12" ht="24" customHeight="1" x14ac:dyDescent="0.2">
      <c r="A165"/>
      <c r="B165"/>
      <c r="C165"/>
      <c r="D165"/>
      <c r="E165"/>
      <c r="F165"/>
      <c r="G165"/>
      <c r="H165"/>
      <c r="I165"/>
      <c r="J165"/>
      <c r="K165"/>
      <c r="L165" s="8"/>
    </row>
    <row r="166" spans="1:12" ht="24" customHeight="1" x14ac:dyDescent="0.2">
      <c r="A166"/>
      <c r="B166"/>
      <c r="C166"/>
      <c r="D166"/>
      <c r="E166"/>
      <c r="F166"/>
      <c r="G166"/>
      <c r="H166"/>
      <c r="I166"/>
      <c r="J166"/>
      <c r="K166"/>
      <c r="L166" s="8"/>
    </row>
    <row r="167" spans="1:12" ht="24" customHeight="1" x14ac:dyDescent="0.2">
      <c r="A167"/>
      <c r="B167"/>
      <c r="C167"/>
      <c r="D167"/>
      <c r="E167"/>
      <c r="F167"/>
      <c r="G167"/>
      <c r="H167"/>
      <c r="I167"/>
      <c r="J167"/>
      <c r="K167"/>
      <c r="L167" s="8"/>
    </row>
    <row r="168" spans="1:12" ht="24" customHeight="1" x14ac:dyDescent="0.2">
      <c r="A168"/>
      <c r="B168"/>
      <c r="C168"/>
      <c r="D168"/>
      <c r="E168"/>
      <c r="F168"/>
      <c r="G168"/>
      <c r="H168"/>
      <c r="I168"/>
      <c r="J168"/>
      <c r="K168"/>
      <c r="L168" s="8"/>
    </row>
    <row r="169" spans="1:12" ht="24" customHeight="1" x14ac:dyDescent="0.2">
      <c r="A169"/>
      <c r="B169"/>
      <c r="C169"/>
      <c r="D169"/>
      <c r="E169"/>
      <c r="F169"/>
      <c r="G169"/>
      <c r="H169"/>
      <c r="I169"/>
      <c r="J169"/>
      <c r="K169"/>
      <c r="L169" s="8"/>
    </row>
    <row r="170" spans="1:12" ht="24" customHeight="1" x14ac:dyDescent="0.2">
      <c r="A170"/>
      <c r="B170"/>
      <c r="C170"/>
      <c r="D170"/>
      <c r="E170"/>
      <c r="F170"/>
      <c r="G170"/>
      <c r="H170"/>
      <c r="I170"/>
      <c r="J170"/>
      <c r="K170"/>
      <c r="L170" s="8"/>
    </row>
    <row r="171" spans="1:12" ht="24" customHeight="1" x14ac:dyDescent="0.2">
      <c r="A171"/>
      <c r="B171"/>
      <c r="C171"/>
      <c r="D171"/>
      <c r="E171"/>
      <c r="F171"/>
      <c r="G171"/>
      <c r="H171"/>
      <c r="I171"/>
      <c r="J171"/>
      <c r="K171"/>
      <c r="L171" s="8"/>
    </row>
    <row r="172" spans="1:12" ht="24" customHeight="1" x14ac:dyDescent="0.2">
      <c r="A172"/>
      <c r="B172"/>
      <c r="C172"/>
      <c r="D172"/>
      <c r="E172"/>
      <c r="F172"/>
      <c r="G172"/>
      <c r="H172"/>
      <c r="I172"/>
      <c r="J172"/>
      <c r="K172"/>
      <c r="L172" s="8"/>
    </row>
    <row r="173" spans="1:12" ht="24" customHeight="1" x14ac:dyDescent="0.2">
      <c r="A173"/>
      <c r="B173"/>
      <c r="C173"/>
      <c r="D173"/>
      <c r="E173"/>
      <c r="F173"/>
      <c r="G173"/>
      <c r="H173"/>
      <c r="I173"/>
      <c r="J173"/>
      <c r="K173"/>
      <c r="L173" s="8"/>
    </row>
    <row r="174" spans="1:12" ht="24" customHeight="1" x14ac:dyDescent="0.2">
      <c r="A174"/>
      <c r="B174"/>
      <c r="C174"/>
      <c r="D174"/>
      <c r="E174"/>
      <c r="F174"/>
      <c r="G174"/>
      <c r="H174"/>
      <c r="I174"/>
      <c r="J174"/>
      <c r="K174"/>
      <c r="L174" s="8"/>
    </row>
    <row r="175" spans="1:12" ht="24" customHeight="1" x14ac:dyDescent="0.2">
      <c r="A175"/>
      <c r="B175"/>
      <c r="C175"/>
      <c r="D175"/>
      <c r="E175"/>
      <c r="F175"/>
      <c r="G175"/>
      <c r="H175"/>
      <c r="I175"/>
      <c r="J175"/>
      <c r="K175"/>
      <c r="L175" s="8"/>
    </row>
    <row r="176" spans="1:12" ht="24" customHeight="1" x14ac:dyDescent="0.2">
      <c r="A176"/>
      <c r="B176"/>
      <c r="C176"/>
      <c r="D176"/>
      <c r="E176"/>
      <c r="F176"/>
      <c r="G176"/>
      <c r="H176"/>
      <c r="I176"/>
      <c r="J176"/>
      <c r="K176"/>
      <c r="L176" s="8"/>
    </row>
    <row r="177" spans="1:12" ht="24" customHeight="1" x14ac:dyDescent="0.2">
      <c r="A177"/>
      <c r="B177"/>
      <c r="C177"/>
      <c r="D177"/>
      <c r="E177"/>
      <c r="F177"/>
      <c r="G177"/>
      <c r="H177"/>
      <c r="I177"/>
      <c r="J177"/>
      <c r="K177"/>
      <c r="L177" s="8"/>
    </row>
    <row r="178" spans="1:12" ht="24" customHeight="1" x14ac:dyDescent="0.2">
      <c r="A178"/>
      <c r="B178"/>
      <c r="C178"/>
      <c r="D178"/>
      <c r="E178"/>
      <c r="F178"/>
      <c r="G178"/>
      <c r="H178"/>
      <c r="I178"/>
      <c r="J178"/>
      <c r="K178"/>
      <c r="L178" s="8"/>
    </row>
    <row r="179" spans="1:12" ht="24" customHeight="1" x14ac:dyDescent="0.2">
      <c r="A179"/>
      <c r="B179"/>
      <c r="C179"/>
      <c r="D179"/>
      <c r="E179"/>
      <c r="F179"/>
      <c r="G179"/>
      <c r="H179"/>
      <c r="I179"/>
      <c r="J179"/>
      <c r="K179"/>
      <c r="L179" s="8"/>
    </row>
    <row r="180" spans="1:12" ht="24" customHeight="1" x14ac:dyDescent="0.2">
      <c r="A180"/>
      <c r="B180"/>
      <c r="C180"/>
      <c r="D180"/>
      <c r="E180"/>
      <c r="F180"/>
      <c r="G180"/>
      <c r="H180"/>
      <c r="I180"/>
      <c r="J180"/>
      <c r="K180"/>
      <c r="L180" s="8"/>
    </row>
    <row r="181" spans="1:12" ht="24" customHeight="1" x14ac:dyDescent="0.2">
      <c r="A181"/>
      <c r="B181"/>
      <c r="C181"/>
      <c r="D181"/>
      <c r="E181"/>
      <c r="F181"/>
      <c r="G181"/>
      <c r="H181"/>
      <c r="I181"/>
      <c r="J181"/>
      <c r="K181"/>
      <c r="L181" s="8"/>
    </row>
    <row r="182" spans="1:12" ht="24" customHeight="1" x14ac:dyDescent="0.2">
      <c r="A182"/>
      <c r="B182"/>
      <c r="C182"/>
      <c r="D182"/>
      <c r="E182"/>
      <c r="F182"/>
      <c r="G182"/>
      <c r="H182"/>
      <c r="I182"/>
      <c r="J182"/>
      <c r="K182"/>
      <c r="L182" s="8"/>
    </row>
    <row r="183" spans="1:12" ht="24" customHeight="1" x14ac:dyDescent="0.2">
      <c r="A183"/>
      <c r="B183"/>
      <c r="C183"/>
      <c r="D183"/>
      <c r="E183"/>
      <c r="F183"/>
      <c r="G183"/>
      <c r="H183"/>
      <c r="I183"/>
      <c r="J183"/>
      <c r="K183"/>
      <c r="L183" s="8"/>
    </row>
    <row r="184" spans="1:12" ht="24" customHeight="1" x14ac:dyDescent="0.2">
      <c r="A184"/>
      <c r="B184"/>
      <c r="C184"/>
      <c r="D184"/>
      <c r="E184"/>
      <c r="F184"/>
      <c r="G184"/>
      <c r="H184"/>
      <c r="I184"/>
      <c r="J184"/>
      <c r="K184"/>
      <c r="L184" s="8"/>
    </row>
    <row r="185" spans="1:12" ht="24" customHeight="1" x14ac:dyDescent="0.2">
      <c r="A185"/>
      <c r="B185"/>
      <c r="C185"/>
      <c r="D185"/>
      <c r="E185"/>
      <c r="F185"/>
      <c r="G185"/>
      <c r="H185"/>
      <c r="I185"/>
      <c r="J185"/>
      <c r="K185"/>
      <c r="L185" s="8"/>
    </row>
    <row r="186" spans="1:12" ht="24" customHeight="1" x14ac:dyDescent="0.2">
      <c r="A186"/>
      <c r="B186"/>
      <c r="C186"/>
      <c r="D186"/>
      <c r="E186"/>
      <c r="F186"/>
      <c r="G186"/>
      <c r="H186"/>
      <c r="I186"/>
      <c r="J186"/>
      <c r="K186"/>
      <c r="L186" s="8"/>
    </row>
    <row r="187" spans="1:12" ht="24" customHeight="1" x14ac:dyDescent="0.2">
      <c r="A187"/>
      <c r="B187"/>
      <c r="C187"/>
      <c r="D187"/>
      <c r="E187"/>
      <c r="F187"/>
      <c r="G187"/>
      <c r="H187"/>
      <c r="I187"/>
      <c r="J187"/>
      <c r="K187"/>
      <c r="L187" s="8"/>
    </row>
    <row r="188" spans="1:12" ht="24" customHeight="1" x14ac:dyDescent="0.2">
      <c r="A188"/>
      <c r="B188"/>
      <c r="C188"/>
      <c r="D188"/>
      <c r="E188"/>
      <c r="F188"/>
      <c r="G188"/>
      <c r="H188"/>
      <c r="I188"/>
      <c r="J188"/>
      <c r="K188"/>
      <c r="L188" s="8"/>
    </row>
    <row r="189" spans="1:12" ht="24" customHeight="1" x14ac:dyDescent="0.2">
      <c r="A189"/>
      <c r="B189"/>
      <c r="C189"/>
      <c r="D189"/>
      <c r="E189"/>
      <c r="F189"/>
      <c r="G189"/>
      <c r="H189"/>
      <c r="I189"/>
      <c r="J189"/>
      <c r="K189"/>
      <c r="L189" s="8"/>
    </row>
    <row r="190" spans="1:12" ht="24" customHeight="1" x14ac:dyDescent="0.2">
      <c r="A190"/>
      <c r="B190"/>
      <c r="C190"/>
      <c r="D190"/>
      <c r="E190"/>
      <c r="F190"/>
      <c r="G190"/>
      <c r="H190"/>
      <c r="I190"/>
      <c r="J190"/>
      <c r="K190"/>
      <c r="L190" s="8"/>
    </row>
    <row r="191" spans="1:12" ht="24" customHeight="1" x14ac:dyDescent="0.2">
      <c r="A191"/>
      <c r="B191"/>
      <c r="C191"/>
      <c r="D191"/>
      <c r="E191"/>
      <c r="F191"/>
      <c r="G191"/>
      <c r="H191"/>
      <c r="I191"/>
      <c r="J191"/>
      <c r="K191"/>
      <c r="L191" s="8"/>
    </row>
    <row r="192" spans="1:12" ht="24" customHeight="1" x14ac:dyDescent="0.2">
      <c r="A192"/>
      <c r="B192"/>
      <c r="C192"/>
      <c r="D192"/>
      <c r="E192"/>
      <c r="F192"/>
      <c r="G192"/>
      <c r="H192"/>
      <c r="I192"/>
      <c r="J192"/>
      <c r="K192"/>
      <c r="L192" s="8"/>
    </row>
    <row r="193" spans="1:12" ht="24" customHeight="1" x14ac:dyDescent="0.2">
      <c r="A193"/>
      <c r="B193"/>
      <c r="C193"/>
      <c r="D193"/>
      <c r="E193"/>
      <c r="F193"/>
      <c r="G193"/>
      <c r="H193"/>
      <c r="I193"/>
      <c r="J193"/>
      <c r="K193"/>
      <c r="L193" s="8"/>
    </row>
    <row r="194" spans="1:12" ht="24" customHeight="1" x14ac:dyDescent="0.2">
      <c r="A194"/>
      <c r="B194"/>
      <c r="C194"/>
      <c r="D194"/>
      <c r="E194"/>
      <c r="F194"/>
      <c r="G194"/>
      <c r="H194"/>
      <c r="I194"/>
      <c r="J194"/>
      <c r="K194"/>
      <c r="L194" s="8"/>
    </row>
    <row r="195" spans="1:12" ht="24" customHeight="1" x14ac:dyDescent="0.2">
      <c r="A195"/>
      <c r="B195"/>
      <c r="C195"/>
      <c r="D195"/>
      <c r="E195"/>
      <c r="F195"/>
      <c r="G195"/>
      <c r="H195"/>
      <c r="I195"/>
      <c r="J195"/>
      <c r="K195"/>
      <c r="L195" s="8"/>
    </row>
    <row r="196" spans="1:12" ht="24" customHeight="1" x14ac:dyDescent="0.2">
      <c r="A196"/>
      <c r="B196"/>
      <c r="C196"/>
      <c r="D196"/>
      <c r="E196"/>
      <c r="F196"/>
      <c r="G196"/>
      <c r="H196"/>
      <c r="I196"/>
      <c r="J196"/>
      <c r="K196"/>
      <c r="L196" s="8"/>
    </row>
    <row r="197" spans="1:12" ht="24" customHeight="1" x14ac:dyDescent="0.2">
      <c r="A197"/>
      <c r="B197"/>
      <c r="C197"/>
      <c r="D197"/>
      <c r="E197"/>
      <c r="F197"/>
      <c r="G197"/>
      <c r="H197"/>
      <c r="I197"/>
      <c r="J197"/>
      <c r="K197"/>
      <c r="L197" s="8"/>
    </row>
    <row r="198" spans="1:12" ht="24" customHeight="1" x14ac:dyDescent="0.2">
      <c r="A198"/>
      <c r="B198"/>
      <c r="C198"/>
      <c r="D198"/>
      <c r="E198"/>
      <c r="F198"/>
      <c r="G198"/>
      <c r="H198"/>
      <c r="I198"/>
      <c r="J198"/>
      <c r="K198"/>
      <c r="L198" s="8"/>
    </row>
    <row r="199" spans="1:12" ht="24" customHeight="1" x14ac:dyDescent="0.2">
      <c r="A199"/>
      <c r="B199"/>
      <c r="C199"/>
      <c r="D199"/>
      <c r="E199"/>
      <c r="F199"/>
      <c r="G199"/>
      <c r="H199"/>
      <c r="I199"/>
      <c r="J199"/>
      <c r="K199"/>
      <c r="L199" s="8"/>
    </row>
    <row r="200" spans="1:12" ht="24" customHeight="1" x14ac:dyDescent="0.2">
      <c r="A200"/>
      <c r="B200"/>
      <c r="C200"/>
      <c r="D200"/>
      <c r="E200"/>
      <c r="F200"/>
      <c r="G200"/>
      <c r="H200"/>
      <c r="I200"/>
      <c r="J200"/>
      <c r="K200"/>
      <c r="L200" s="8"/>
    </row>
    <row r="201" spans="1:12" ht="24" customHeight="1" x14ac:dyDescent="0.2">
      <c r="A201"/>
      <c r="B201"/>
      <c r="C201"/>
      <c r="D201"/>
      <c r="E201"/>
      <c r="F201"/>
      <c r="G201"/>
      <c r="H201"/>
      <c r="I201"/>
      <c r="J201"/>
      <c r="K201"/>
      <c r="L201" s="8"/>
    </row>
    <row r="202" spans="1:12" ht="24" customHeight="1" x14ac:dyDescent="0.2">
      <c r="A202"/>
      <c r="B202"/>
      <c r="C202"/>
      <c r="D202"/>
      <c r="E202"/>
      <c r="F202"/>
      <c r="G202"/>
      <c r="H202"/>
      <c r="I202"/>
      <c r="J202"/>
      <c r="K202"/>
      <c r="L202" s="8"/>
    </row>
    <row r="203" spans="1:12" ht="24" customHeight="1" x14ac:dyDescent="0.2">
      <c r="A203"/>
      <c r="B203"/>
      <c r="C203"/>
      <c r="D203"/>
      <c r="E203"/>
      <c r="F203"/>
      <c r="G203"/>
      <c r="H203"/>
      <c r="I203"/>
      <c r="J203"/>
      <c r="K203"/>
      <c r="L203" s="8"/>
    </row>
    <row r="204" spans="1:12" ht="24" customHeight="1" x14ac:dyDescent="0.2">
      <c r="A204"/>
      <c r="B204"/>
      <c r="C204"/>
      <c r="D204"/>
      <c r="E204"/>
      <c r="F204"/>
      <c r="G204"/>
      <c r="H204"/>
      <c r="I204"/>
      <c r="J204"/>
      <c r="K204"/>
      <c r="L204" s="8"/>
    </row>
    <row r="205" spans="1:12" ht="24" customHeight="1" x14ac:dyDescent="0.2">
      <c r="A205"/>
      <c r="B205"/>
      <c r="C205"/>
      <c r="D205"/>
      <c r="E205"/>
      <c r="F205"/>
      <c r="G205"/>
      <c r="H205"/>
      <c r="I205"/>
      <c r="J205"/>
      <c r="K205"/>
      <c r="L205" s="8"/>
    </row>
    <row r="206" spans="1:12" ht="24" customHeight="1" x14ac:dyDescent="0.2">
      <c r="A206"/>
      <c r="B206"/>
      <c r="C206"/>
      <c r="D206"/>
      <c r="E206"/>
      <c r="F206"/>
      <c r="G206"/>
      <c r="H206"/>
      <c r="I206"/>
      <c r="J206"/>
      <c r="K206"/>
      <c r="L206" s="8"/>
    </row>
    <row r="207" spans="1:12" ht="24" customHeight="1" x14ac:dyDescent="0.2">
      <c r="A207"/>
      <c r="B207"/>
      <c r="C207"/>
      <c r="D207"/>
      <c r="E207"/>
      <c r="F207"/>
      <c r="G207"/>
      <c r="H207"/>
      <c r="I207"/>
      <c r="J207"/>
      <c r="K207"/>
      <c r="L207" s="8"/>
    </row>
    <row r="208" spans="1:12" ht="24" customHeight="1" x14ac:dyDescent="0.2">
      <c r="A208"/>
      <c r="B208"/>
      <c r="C208"/>
      <c r="D208"/>
      <c r="E208"/>
      <c r="F208"/>
      <c r="G208"/>
      <c r="H208"/>
      <c r="I208"/>
      <c r="J208"/>
      <c r="K208"/>
      <c r="L208" s="8"/>
    </row>
    <row r="209" spans="1:12" ht="24" customHeight="1" x14ac:dyDescent="0.2">
      <c r="A209"/>
      <c r="B209"/>
      <c r="C209"/>
      <c r="D209"/>
      <c r="E209"/>
      <c r="F209"/>
      <c r="G209"/>
      <c r="H209"/>
      <c r="I209"/>
      <c r="J209"/>
      <c r="K209"/>
      <c r="L209" s="8"/>
    </row>
    <row r="210" spans="1:12" ht="24" customHeight="1" x14ac:dyDescent="0.2">
      <c r="A210"/>
      <c r="B210"/>
      <c r="C210"/>
      <c r="D210"/>
      <c r="E210"/>
      <c r="F210"/>
      <c r="G210"/>
      <c r="H210"/>
      <c r="I210"/>
      <c r="J210"/>
      <c r="K210"/>
      <c r="L210" s="8"/>
    </row>
    <row r="211" spans="1:12" ht="24" customHeight="1" x14ac:dyDescent="0.2">
      <c r="A211"/>
      <c r="B211"/>
      <c r="C211"/>
      <c r="D211"/>
      <c r="E211"/>
      <c r="F211"/>
      <c r="G211"/>
      <c r="H211"/>
      <c r="I211"/>
      <c r="J211"/>
      <c r="K211"/>
      <c r="L211" s="8"/>
    </row>
    <row r="212" spans="1:12" ht="24" customHeight="1" x14ac:dyDescent="0.2">
      <c r="A212"/>
      <c r="B212"/>
      <c r="C212"/>
      <c r="D212"/>
      <c r="E212"/>
      <c r="F212"/>
      <c r="G212"/>
      <c r="H212"/>
      <c r="I212"/>
      <c r="J212"/>
      <c r="K212"/>
      <c r="L212" s="8"/>
    </row>
    <row r="213" spans="1:12" ht="24" customHeight="1" x14ac:dyDescent="0.2">
      <c r="A213"/>
      <c r="B213"/>
      <c r="C213"/>
      <c r="D213"/>
      <c r="E213"/>
      <c r="F213"/>
      <c r="G213"/>
      <c r="H213"/>
      <c r="I213"/>
      <c r="J213"/>
      <c r="K213"/>
      <c r="L213" s="8"/>
    </row>
    <row r="214" spans="1:12" ht="24" customHeight="1" x14ac:dyDescent="0.2">
      <c r="A214"/>
      <c r="B214"/>
      <c r="C214"/>
      <c r="D214"/>
      <c r="E214"/>
      <c r="F214"/>
      <c r="G214"/>
      <c r="H214"/>
      <c r="I214"/>
      <c r="J214"/>
      <c r="K214"/>
      <c r="L214" s="8"/>
    </row>
    <row r="215" spans="1:12" ht="24" customHeight="1" x14ac:dyDescent="0.2">
      <c r="A215"/>
      <c r="B215"/>
      <c r="C215"/>
      <c r="D215"/>
      <c r="E215"/>
      <c r="F215"/>
      <c r="G215"/>
      <c r="H215"/>
      <c r="I215"/>
      <c r="J215"/>
      <c r="K215"/>
      <c r="L215" s="8"/>
    </row>
    <row r="216" spans="1:12" ht="24" customHeight="1" x14ac:dyDescent="0.2">
      <c r="A216"/>
      <c r="B216"/>
      <c r="C216"/>
      <c r="D216"/>
      <c r="E216"/>
      <c r="F216"/>
      <c r="G216"/>
      <c r="H216"/>
      <c r="I216"/>
      <c r="J216"/>
      <c r="K216"/>
      <c r="L216" s="8"/>
    </row>
    <row r="217" spans="1:12" ht="24" customHeight="1" x14ac:dyDescent="0.2">
      <c r="A217"/>
      <c r="B217"/>
      <c r="C217"/>
      <c r="D217"/>
      <c r="E217"/>
      <c r="F217"/>
      <c r="G217"/>
      <c r="H217"/>
      <c r="I217"/>
      <c r="J217"/>
      <c r="K217"/>
      <c r="L217" s="8"/>
    </row>
    <row r="218" spans="1:12" ht="24" customHeight="1" x14ac:dyDescent="0.2">
      <c r="A218"/>
      <c r="B218"/>
      <c r="C218"/>
      <c r="D218"/>
      <c r="E218"/>
      <c r="F218"/>
      <c r="G218"/>
      <c r="H218"/>
      <c r="I218"/>
      <c r="J218"/>
      <c r="K218"/>
      <c r="L218" s="8"/>
    </row>
    <row r="219" spans="1:12" ht="24" customHeight="1" x14ac:dyDescent="0.2">
      <c r="A219"/>
      <c r="B219"/>
      <c r="C219"/>
      <c r="D219"/>
      <c r="E219"/>
      <c r="F219"/>
      <c r="G219"/>
      <c r="H219"/>
      <c r="I219"/>
      <c r="J219"/>
      <c r="K219"/>
      <c r="L219" s="8"/>
    </row>
    <row r="220" spans="1:12" ht="24" customHeight="1" x14ac:dyDescent="0.2">
      <c r="A220"/>
      <c r="B220"/>
      <c r="C220"/>
      <c r="D220"/>
      <c r="E220"/>
      <c r="F220"/>
      <c r="G220"/>
      <c r="H220"/>
      <c r="I220"/>
      <c r="J220"/>
      <c r="K220"/>
      <c r="L220" s="8"/>
    </row>
    <row r="221" spans="1:12" ht="24" customHeight="1" x14ac:dyDescent="0.2">
      <c r="A221"/>
      <c r="B221"/>
      <c r="C221"/>
      <c r="D221"/>
      <c r="E221"/>
      <c r="F221"/>
      <c r="G221"/>
      <c r="H221"/>
      <c r="I221"/>
      <c r="J221"/>
      <c r="K221"/>
      <c r="L221" s="8"/>
    </row>
    <row r="222" spans="1:12" ht="24" customHeight="1" x14ac:dyDescent="0.2">
      <c r="A222"/>
      <c r="B222"/>
      <c r="C222"/>
      <c r="D222"/>
      <c r="E222"/>
      <c r="F222"/>
      <c r="G222"/>
      <c r="H222"/>
      <c r="I222"/>
      <c r="J222"/>
      <c r="K222"/>
      <c r="L222" s="8"/>
    </row>
    <row r="223" spans="1:12" ht="24" customHeight="1" x14ac:dyDescent="0.2">
      <c r="A223"/>
      <c r="B223"/>
      <c r="C223"/>
      <c r="D223"/>
      <c r="E223"/>
      <c r="F223"/>
      <c r="G223"/>
      <c r="H223"/>
      <c r="I223"/>
      <c r="J223"/>
      <c r="K223"/>
      <c r="L223" s="8"/>
    </row>
    <row r="224" spans="1:12" ht="24" customHeight="1" x14ac:dyDescent="0.2">
      <c r="A224"/>
      <c r="B224"/>
      <c r="C224"/>
      <c r="D224"/>
      <c r="E224"/>
      <c r="F224"/>
      <c r="G224"/>
      <c r="H224"/>
      <c r="I224"/>
      <c r="J224"/>
      <c r="K224"/>
      <c r="L224" s="8"/>
    </row>
    <row r="225" spans="1:12" ht="24" customHeight="1" x14ac:dyDescent="0.2">
      <c r="A225"/>
      <c r="B225"/>
      <c r="C225"/>
      <c r="D225"/>
      <c r="E225"/>
      <c r="F225"/>
      <c r="G225"/>
      <c r="H225"/>
      <c r="I225"/>
      <c r="J225"/>
      <c r="K225"/>
      <c r="L225" s="8"/>
    </row>
    <row r="226" spans="1:12" ht="24" customHeight="1" x14ac:dyDescent="0.2">
      <c r="A226"/>
      <c r="B226"/>
      <c r="C226"/>
      <c r="D226"/>
      <c r="E226"/>
      <c r="F226"/>
      <c r="G226"/>
      <c r="H226"/>
      <c r="I226"/>
      <c r="J226"/>
      <c r="K226"/>
      <c r="L226" s="8"/>
    </row>
    <row r="227" spans="1:12" ht="24" customHeight="1" x14ac:dyDescent="0.2">
      <c r="A227"/>
      <c r="B227"/>
      <c r="C227"/>
      <c r="D227"/>
      <c r="E227"/>
      <c r="F227"/>
      <c r="G227"/>
      <c r="H227"/>
      <c r="I227"/>
      <c r="J227"/>
      <c r="K227"/>
      <c r="L227" s="8"/>
    </row>
    <row r="228" spans="1:12" ht="24" customHeight="1" x14ac:dyDescent="0.2">
      <c r="A228"/>
      <c r="B228"/>
      <c r="C228"/>
      <c r="D228"/>
      <c r="E228"/>
      <c r="F228"/>
      <c r="G228"/>
      <c r="H228"/>
      <c r="I228"/>
      <c r="J228"/>
      <c r="K228"/>
      <c r="L228" s="8"/>
    </row>
    <row r="229" spans="1:12" ht="24" customHeight="1" x14ac:dyDescent="0.2">
      <c r="A229"/>
      <c r="B229"/>
      <c r="C229"/>
      <c r="D229"/>
      <c r="E229"/>
      <c r="F229"/>
      <c r="G229"/>
      <c r="H229"/>
      <c r="I229"/>
      <c r="J229"/>
      <c r="K229"/>
      <c r="L229" s="8"/>
    </row>
    <row r="230" spans="1:12" ht="24" customHeight="1" x14ac:dyDescent="0.2">
      <c r="A230"/>
      <c r="B230"/>
      <c r="C230"/>
      <c r="D230"/>
      <c r="E230"/>
      <c r="F230"/>
      <c r="G230"/>
      <c r="H230"/>
      <c r="I230"/>
      <c r="J230"/>
      <c r="K230"/>
      <c r="L230" s="8"/>
    </row>
    <row r="231" spans="1:12" ht="24" customHeight="1" x14ac:dyDescent="0.2">
      <c r="A231"/>
      <c r="B231"/>
      <c r="C231"/>
      <c r="D231"/>
      <c r="E231"/>
      <c r="F231"/>
      <c r="G231"/>
      <c r="H231"/>
      <c r="I231"/>
      <c r="J231"/>
      <c r="K231"/>
      <c r="L231" s="8"/>
    </row>
    <row r="232" spans="1:12" ht="24" customHeight="1" x14ac:dyDescent="0.2">
      <c r="A232"/>
      <c r="B232"/>
      <c r="C232"/>
      <c r="D232"/>
      <c r="E232"/>
      <c r="F232"/>
      <c r="G232"/>
      <c r="H232"/>
      <c r="I232"/>
      <c r="J232"/>
      <c r="K232"/>
      <c r="L232" s="8"/>
    </row>
    <row r="233" spans="1:12" ht="24" customHeight="1" x14ac:dyDescent="0.2">
      <c r="A233"/>
      <c r="B233"/>
      <c r="C233"/>
      <c r="D233"/>
      <c r="E233"/>
      <c r="F233"/>
      <c r="G233"/>
      <c r="H233"/>
      <c r="I233"/>
      <c r="J233"/>
      <c r="K233"/>
      <c r="L233" s="8"/>
    </row>
    <row r="234" spans="1:12" ht="24" customHeight="1" x14ac:dyDescent="0.2">
      <c r="A234"/>
      <c r="B234"/>
      <c r="C234"/>
      <c r="D234"/>
      <c r="E234"/>
      <c r="F234"/>
      <c r="G234"/>
      <c r="H234"/>
      <c r="I234"/>
      <c r="J234"/>
      <c r="K234"/>
      <c r="L234" s="8"/>
    </row>
    <row r="235" spans="1:12" ht="24" customHeight="1" x14ac:dyDescent="0.2">
      <c r="A235"/>
      <c r="B235"/>
      <c r="C235"/>
      <c r="D235"/>
      <c r="E235"/>
      <c r="F235"/>
      <c r="G235"/>
      <c r="H235"/>
      <c r="I235"/>
      <c r="J235"/>
      <c r="K235"/>
      <c r="L235" s="8"/>
    </row>
    <row r="236" spans="1:12" ht="24" customHeight="1" x14ac:dyDescent="0.2">
      <c r="A236"/>
      <c r="B236"/>
      <c r="C236"/>
      <c r="D236"/>
      <c r="E236"/>
      <c r="F236"/>
      <c r="G236"/>
      <c r="H236"/>
      <c r="I236"/>
      <c r="J236"/>
      <c r="K236"/>
      <c r="L236" s="8"/>
    </row>
    <row r="237" spans="1:12" ht="24" customHeight="1" x14ac:dyDescent="0.2">
      <c r="A237"/>
      <c r="B237"/>
      <c r="C237"/>
      <c r="D237"/>
      <c r="E237"/>
      <c r="F237"/>
      <c r="G237"/>
      <c r="H237"/>
      <c r="I237"/>
      <c r="J237"/>
      <c r="K237"/>
      <c r="L237" s="8"/>
    </row>
    <row r="238" spans="1:12" ht="24" customHeight="1" x14ac:dyDescent="0.2">
      <c r="A238"/>
      <c r="B238"/>
      <c r="C238"/>
      <c r="D238"/>
      <c r="E238"/>
      <c r="F238"/>
      <c r="G238"/>
      <c r="H238"/>
      <c r="I238"/>
      <c r="J238"/>
      <c r="K238"/>
      <c r="L238" s="8"/>
    </row>
    <row r="239" spans="1:12" ht="24" customHeight="1" x14ac:dyDescent="0.2">
      <c r="A239"/>
      <c r="B239"/>
      <c r="C239"/>
      <c r="D239"/>
      <c r="E239"/>
      <c r="F239"/>
      <c r="G239"/>
      <c r="H239"/>
      <c r="I239"/>
      <c r="J239"/>
      <c r="K239"/>
      <c r="L239" s="8"/>
    </row>
    <row r="240" spans="1:12" ht="24" customHeight="1" x14ac:dyDescent="0.2">
      <c r="A240"/>
      <c r="B240"/>
      <c r="C240"/>
      <c r="D240"/>
      <c r="E240"/>
      <c r="F240"/>
      <c r="G240"/>
      <c r="H240"/>
      <c r="I240"/>
      <c r="J240"/>
      <c r="K240"/>
      <c r="L240" s="8"/>
    </row>
    <row r="241" spans="1:12" ht="24" customHeight="1" x14ac:dyDescent="0.2">
      <c r="A241"/>
      <c r="B241"/>
      <c r="C241"/>
      <c r="D241"/>
      <c r="E241"/>
      <c r="F241"/>
      <c r="G241"/>
      <c r="H241"/>
      <c r="I241"/>
      <c r="J241"/>
      <c r="K241"/>
      <c r="L241" s="8"/>
    </row>
    <row r="242" spans="1:12" ht="24" customHeight="1" x14ac:dyDescent="0.2">
      <c r="A242"/>
      <c r="B242"/>
      <c r="C242"/>
      <c r="D242"/>
      <c r="E242"/>
      <c r="F242"/>
      <c r="G242"/>
      <c r="H242"/>
      <c r="I242"/>
      <c r="J242"/>
      <c r="K242"/>
      <c r="L242" s="8"/>
    </row>
    <row r="243" spans="1:12" ht="24" customHeight="1" x14ac:dyDescent="0.2">
      <c r="A243"/>
      <c r="B243"/>
      <c r="C243"/>
      <c r="D243"/>
      <c r="E243"/>
      <c r="F243"/>
      <c r="G243"/>
      <c r="H243"/>
      <c r="I243"/>
      <c r="J243"/>
      <c r="K243"/>
      <c r="L243" s="8"/>
    </row>
    <row r="244" spans="1:12" ht="24" customHeight="1" x14ac:dyDescent="0.2">
      <c r="A244"/>
      <c r="B244"/>
      <c r="C244"/>
      <c r="D244"/>
      <c r="E244"/>
      <c r="F244"/>
      <c r="G244"/>
      <c r="H244"/>
      <c r="I244"/>
      <c r="J244"/>
      <c r="K244"/>
      <c r="L244" s="8"/>
    </row>
    <row r="245" spans="1:12" ht="24" customHeight="1" x14ac:dyDescent="0.2">
      <c r="A245"/>
      <c r="B245"/>
      <c r="C245"/>
      <c r="D245"/>
      <c r="E245"/>
      <c r="F245"/>
      <c r="G245"/>
      <c r="H245"/>
      <c r="I245"/>
      <c r="J245"/>
      <c r="K245"/>
      <c r="L245" s="8"/>
    </row>
    <row r="246" spans="1:12" ht="24" customHeight="1" x14ac:dyDescent="0.2">
      <c r="A246"/>
      <c r="B246"/>
      <c r="C246"/>
      <c r="D246"/>
      <c r="E246"/>
      <c r="F246"/>
      <c r="G246"/>
      <c r="H246"/>
      <c r="I246"/>
      <c r="J246"/>
      <c r="K246"/>
      <c r="L246" s="8"/>
    </row>
    <row r="247" spans="1:12" ht="24" customHeight="1" x14ac:dyDescent="0.2">
      <c r="A247"/>
      <c r="B247"/>
      <c r="C247"/>
      <c r="D247"/>
      <c r="E247"/>
      <c r="F247"/>
      <c r="G247"/>
      <c r="H247"/>
      <c r="I247"/>
      <c r="J247"/>
      <c r="K247"/>
      <c r="L247" s="8"/>
    </row>
    <row r="248" spans="1:12" ht="24" customHeight="1" x14ac:dyDescent="0.2">
      <c r="A248"/>
      <c r="B248"/>
      <c r="C248"/>
      <c r="D248"/>
      <c r="E248"/>
      <c r="F248"/>
      <c r="G248"/>
      <c r="H248"/>
      <c r="I248"/>
      <c r="J248"/>
      <c r="K248"/>
      <c r="L248" s="8"/>
    </row>
    <row r="249" spans="1:12" ht="24" customHeight="1" x14ac:dyDescent="0.2">
      <c r="A249"/>
      <c r="B249"/>
      <c r="C249"/>
      <c r="D249"/>
      <c r="E249"/>
      <c r="F249"/>
      <c r="G249"/>
      <c r="H249"/>
      <c r="I249"/>
      <c r="J249"/>
      <c r="K249"/>
      <c r="L249" s="8"/>
    </row>
    <row r="250" spans="1:12" ht="24" customHeight="1" x14ac:dyDescent="0.2">
      <c r="A250"/>
      <c r="B250"/>
      <c r="C250"/>
      <c r="D250"/>
      <c r="E250"/>
      <c r="F250"/>
      <c r="G250"/>
      <c r="H250"/>
      <c r="I250"/>
      <c r="J250"/>
      <c r="K250"/>
      <c r="L250" s="8"/>
    </row>
    <row r="251" spans="1:12" ht="24" customHeight="1" x14ac:dyDescent="0.2">
      <c r="A251"/>
      <c r="B251"/>
      <c r="C251"/>
      <c r="D251"/>
      <c r="E251"/>
      <c r="F251"/>
      <c r="G251"/>
      <c r="H251"/>
      <c r="I251"/>
      <c r="J251"/>
      <c r="K251"/>
      <c r="L251" s="8"/>
    </row>
    <row r="252" spans="1:12" ht="24" customHeight="1" x14ac:dyDescent="0.2">
      <c r="A252"/>
      <c r="B252"/>
      <c r="C252"/>
      <c r="D252"/>
      <c r="E252"/>
      <c r="F252"/>
      <c r="G252"/>
      <c r="H252"/>
      <c r="I252"/>
      <c r="J252"/>
      <c r="K252"/>
      <c r="L252" s="8"/>
    </row>
    <row r="253" spans="1:12" ht="24" customHeight="1" x14ac:dyDescent="0.2">
      <c r="A253"/>
      <c r="B253"/>
      <c r="C253"/>
      <c r="D253"/>
      <c r="E253"/>
      <c r="F253"/>
      <c r="G253"/>
      <c r="H253"/>
      <c r="I253"/>
      <c r="J253"/>
      <c r="K253"/>
      <c r="L253" s="8"/>
    </row>
    <row r="254" spans="1:12" ht="24" customHeight="1" x14ac:dyDescent="0.2">
      <c r="A254"/>
      <c r="B254"/>
      <c r="C254"/>
      <c r="D254"/>
      <c r="E254"/>
      <c r="F254"/>
      <c r="G254"/>
      <c r="H254"/>
      <c r="I254"/>
      <c r="J254"/>
      <c r="K254"/>
      <c r="L254" s="8"/>
    </row>
    <row r="255" spans="1:12" ht="24" customHeight="1" x14ac:dyDescent="0.2">
      <c r="A255"/>
      <c r="B255"/>
      <c r="C255"/>
      <c r="D255"/>
      <c r="E255"/>
      <c r="F255"/>
      <c r="G255"/>
      <c r="H255"/>
      <c r="I255"/>
      <c r="J255"/>
      <c r="K255"/>
      <c r="L255" s="8"/>
    </row>
    <row r="256" spans="1:12" ht="24" customHeight="1" x14ac:dyDescent="0.2">
      <c r="A256"/>
      <c r="B256"/>
      <c r="C256"/>
      <c r="D256"/>
      <c r="E256"/>
      <c r="F256"/>
      <c r="G256"/>
      <c r="H256"/>
      <c r="I256"/>
      <c r="J256"/>
      <c r="K256"/>
      <c r="L256" s="8"/>
    </row>
    <row r="257" spans="1:12" ht="24" customHeight="1" x14ac:dyDescent="0.2">
      <c r="A257"/>
      <c r="B257"/>
      <c r="C257"/>
      <c r="D257"/>
      <c r="E257"/>
      <c r="F257"/>
      <c r="G257"/>
      <c r="H257"/>
      <c r="I257"/>
      <c r="J257"/>
      <c r="K257"/>
      <c r="L257" s="8"/>
    </row>
    <row r="258" spans="1:12" ht="24" customHeight="1" x14ac:dyDescent="0.2">
      <c r="A258"/>
      <c r="B258"/>
      <c r="C258"/>
      <c r="D258"/>
      <c r="E258"/>
      <c r="F258"/>
      <c r="G258"/>
      <c r="H258"/>
      <c r="I258"/>
      <c r="J258"/>
      <c r="K258"/>
      <c r="L258" s="8"/>
    </row>
    <row r="259" spans="1:12" ht="24" customHeight="1" x14ac:dyDescent="0.2">
      <c r="A259"/>
      <c r="B259"/>
      <c r="C259"/>
      <c r="D259"/>
      <c r="E259"/>
      <c r="F259"/>
      <c r="G259"/>
      <c r="H259"/>
      <c r="I259"/>
      <c r="J259"/>
      <c r="K259"/>
      <c r="L259" s="8"/>
    </row>
    <row r="260" spans="1:12" ht="24" customHeight="1" x14ac:dyDescent="0.2">
      <c r="A260"/>
      <c r="B260"/>
      <c r="C260"/>
      <c r="D260"/>
      <c r="E260"/>
      <c r="F260"/>
      <c r="G260"/>
      <c r="H260"/>
      <c r="I260"/>
      <c r="J260"/>
      <c r="K260"/>
      <c r="L260" s="8"/>
    </row>
    <row r="261" spans="1:12" ht="24" customHeight="1" x14ac:dyDescent="0.2">
      <c r="A261"/>
      <c r="B261"/>
      <c r="C261"/>
      <c r="D261"/>
      <c r="E261"/>
      <c r="F261"/>
      <c r="G261"/>
      <c r="H261"/>
      <c r="I261"/>
      <c r="J261"/>
      <c r="K261"/>
      <c r="L261" s="8"/>
    </row>
    <row r="262" spans="1:12" ht="24" customHeight="1" x14ac:dyDescent="0.2">
      <c r="A262"/>
      <c r="B262"/>
      <c r="C262"/>
      <c r="D262"/>
      <c r="E262"/>
      <c r="F262"/>
      <c r="G262"/>
      <c r="H262"/>
      <c r="I262"/>
      <c r="J262"/>
      <c r="K262"/>
      <c r="L262" s="8"/>
    </row>
    <row r="263" spans="1:12" ht="24" customHeight="1" x14ac:dyDescent="0.2">
      <c r="A263"/>
      <c r="B263"/>
      <c r="C263"/>
      <c r="D263"/>
      <c r="E263"/>
      <c r="F263"/>
      <c r="G263"/>
      <c r="H263"/>
      <c r="I263"/>
      <c r="J263"/>
      <c r="K263"/>
      <c r="L263" s="8"/>
    </row>
    <row r="264" spans="1:12" ht="24" customHeight="1" x14ac:dyDescent="0.2">
      <c r="A264"/>
      <c r="B264"/>
      <c r="C264"/>
      <c r="D264"/>
      <c r="E264"/>
      <c r="F264"/>
      <c r="G264"/>
      <c r="H264"/>
      <c r="I264"/>
      <c r="J264"/>
      <c r="K264"/>
      <c r="L264" s="8"/>
    </row>
    <row r="265" spans="1:12" ht="24" customHeight="1" x14ac:dyDescent="0.2">
      <c r="A265"/>
      <c r="B265"/>
      <c r="C265"/>
      <c r="D265"/>
      <c r="E265"/>
      <c r="F265"/>
      <c r="G265"/>
      <c r="H265"/>
      <c r="I265"/>
      <c r="J265"/>
      <c r="K265"/>
      <c r="L265" s="8"/>
    </row>
    <row r="266" spans="1:12" ht="24" customHeight="1" x14ac:dyDescent="0.2">
      <c r="A266"/>
      <c r="B266"/>
      <c r="C266"/>
      <c r="D266"/>
      <c r="E266"/>
      <c r="F266"/>
      <c r="G266"/>
      <c r="H266"/>
      <c r="I266"/>
      <c r="J266"/>
      <c r="K266"/>
      <c r="L266" s="8"/>
    </row>
    <row r="267" spans="1:12" ht="24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3"/>
    </row>
    <row r="268" spans="1:12" ht="24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3"/>
    </row>
    <row r="269" spans="1:12" ht="24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3"/>
    </row>
    <row r="270" spans="1:12" ht="24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3"/>
    </row>
    <row r="271" spans="1:12" ht="24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3"/>
    </row>
    <row r="272" spans="1:12" ht="24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3"/>
    </row>
    <row r="273" spans="1:12" ht="24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3"/>
    </row>
    <row r="274" spans="1:12" ht="24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3"/>
    </row>
    <row r="275" spans="1:12" ht="24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3"/>
    </row>
    <row r="276" spans="1:12" ht="24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3"/>
    </row>
    <row r="277" spans="1:12" ht="24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3"/>
    </row>
    <row r="278" spans="1:12" ht="24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3"/>
    </row>
    <row r="279" spans="1:12" ht="24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3"/>
    </row>
    <row r="280" spans="1:12" ht="24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3"/>
    </row>
    <row r="281" spans="1:12" ht="24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3"/>
    </row>
    <row r="282" spans="1:12" ht="24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3"/>
    </row>
    <row r="283" spans="1:12" ht="24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3"/>
    </row>
    <row r="284" spans="1:12" ht="24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3"/>
    </row>
    <row r="285" spans="1:12" ht="24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3"/>
    </row>
    <row r="286" spans="1:12" ht="24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3"/>
    </row>
    <row r="287" spans="1:12" ht="24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3"/>
    </row>
    <row r="288" spans="1:12" ht="24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3"/>
    </row>
    <row r="289" spans="1:12" ht="24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3"/>
    </row>
    <row r="290" spans="1:12" ht="24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3"/>
    </row>
    <row r="291" spans="1:12" ht="24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3"/>
    </row>
    <row r="292" spans="1:12" ht="24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3"/>
    </row>
    <row r="293" spans="1:12" ht="24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3"/>
    </row>
    <row r="294" spans="1:12" ht="24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3"/>
    </row>
    <row r="295" spans="1:12" ht="24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3"/>
    </row>
    <row r="296" spans="1:12" ht="24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3"/>
    </row>
    <row r="297" spans="1:12" ht="24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3"/>
    </row>
    <row r="298" spans="1:12" ht="24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3"/>
    </row>
    <row r="299" spans="1:12" ht="24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3"/>
    </row>
    <row r="300" spans="1:12" ht="24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3"/>
    </row>
    <row r="301" spans="1:12" ht="24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3"/>
    </row>
    <row r="302" spans="1:12" ht="24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3"/>
    </row>
    <row r="303" spans="1:12" ht="24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3"/>
    </row>
    <row r="304" spans="1:12" ht="24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3"/>
    </row>
    <row r="305" spans="1:12" ht="24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3"/>
    </row>
    <row r="306" spans="1:12" ht="24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3"/>
    </row>
    <row r="307" spans="1:12" ht="24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3"/>
    </row>
    <row r="308" spans="1:12" ht="24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3"/>
    </row>
    <row r="309" spans="1:12" ht="24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3"/>
    </row>
    <row r="310" spans="1:12" ht="24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3"/>
    </row>
    <row r="311" spans="1:12" ht="24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3"/>
    </row>
    <row r="312" spans="1:12" ht="24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3"/>
    </row>
    <row r="313" spans="1:12" ht="24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3"/>
    </row>
    <row r="314" spans="1:12" ht="24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3"/>
    </row>
    <row r="315" spans="1:12" ht="24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3"/>
    </row>
    <row r="316" spans="1:12" ht="24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3"/>
    </row>
    <row r="317" spans="1:12" ht="24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3"/>
    </row>
    <row r="318" spans="1:12" ht="24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3"/>
    </row>
    <row r="319" spans="1:12" ht="24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3"/>
    </row>
    <row r="320" spans="1:12" ht="24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3"/>
    </row>
    <row r="321" spans="1:12" ht="24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3"/>
    </row>
    <row r="322" spans="1:12" ht="24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3"/>
    </row>
    <row r="323" spans="1:12" ht="24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3"/>
    </row>
    <row r="324" spans="1:12" ht="24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3"/>
    </row>
    <row r="325" spans="1:12" ht="24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3"/>
    </row>
    <row r="326" spans="1:12" ht="24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3"/>
    </row>
    <row r="327" spans="1:12" ht="24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3"/>
    </row>
    <row r="328" spans="1:12" ht="24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3"/>
    </row>
    <row r="329" spans="1:12" ht="24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3"/>
    </row>
    <row r="330" spans="1:12" ht="24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3"/>
    </row>
    <row r="331" spans="1:12" ht="24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3"/>
    </row>
    <row r="332" spans="1:12" ht="24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3"/>
    </row>
    <row r="333" spans="1:12" ht="24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3"/>
    </row>
    <row r="334" spans="1:12" ht="24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3"/>
    </row>
    <row r="335" spans="1:12" ht="24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3"/>
    </row>
    <row r="336" spans="1:12" ht="24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3"/>
    </row>
    <row r="337" spans="1:12" ht="24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3"/>
    </row>
    <row r="338" spans="1:12" ht="24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3"/>
    </row>
    <row r="339" spans="1:12" ht="24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3"/>
    </row>
    <row r="340" spans="1:12" ht="24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3"/>
    </row>
    <row r="341" spans="1:12" ht="24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3"/>
    </row>
    <row r="342" spans="1:12" ht="24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3"/>
    </row>
    <row r="343" spans="1:12" ht="24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3"/>
    </row>
    <row r="344" spans="1:12" ht="24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3"/>
    </row>
    <row r="345" spans="1:12" ht="24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3"/>
    </row>
    <row r="346" spans="1:12" ht="24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3"/>
    </row>
    <row r="347" spans="1:12" ht="24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3"/>
    </row>
    <row r="348" spans="1:12" ht="24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3"/>
    </row>
    <row r="349" spans="1:12" ht="24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3"/>
    </row>
    <row r="350" spans="1:12" ht="24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3"/>
    </row>
    <row r="351" spans="1:12" ht="24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3"/>
    </row>
    <row r="352" spans="1:12" ht="24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3"/>
    </row>
    <row r="353" spans="1:12" ht="24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3"/>
    </row>
    <row r="354" spans="1:12" ht="24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3"/>
    </row>
    <row r="355" spans="1:12" ht="24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3"/>
    </row>
    <row r="356" spans="1:12" ht="24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3"/>
    </row>
    <row r="357" spans="1:12" ht="24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3"/>
    </row>
    <row r="358" spans="1:12" ht="24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3"/>
    </row>
    <row r="359" spans="1:12" ht="24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3"/>
    </row>
    <row r="360" spans="1:12" ht="24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3"/>
    </row>
    <row r="361" spans="1:12" ht="24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3"/>
    </row>
    <row r="362" spans="1:12" ht="24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3"/>
    </row>
    <row r="363" spans="1:12" ht="24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3"/>
    </row>
    <row r="364" spans="1:12" ht="24" customHeight="1" x14ac:dyDescent="0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3"/>
    </row>
    <row r="365" spans="1:12" ht="24" customHeight="1" x14ac:dyDescent="0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3"/>
    </row>
    <row r="366" spans="1:12" ht="24" customHeight="1" x14ac:dyDescent="0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3"/>
    </row>
    <row r="367" spans="1:12" ht="24" customHeight="1" x14ac:dyDescent="0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3"/>
    </row>
    <row r="368" spans="1:12" ht="24" customHeight="1" x14ac:dyDescent="0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3"/>
    </row>
    <row r="369" spans="1:12" ht="24" customHeight="1" x14ac:dyDescent="0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3"/>
    </row>
    <row r="370" spans="1:12" ht="24" customHeight="1" x14ac:dyDescent="0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3"/>
    </row>
    <row r="371" spans="1:12" ht="24" customHeight="1" x14ac:dyDescent="0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3"/>
    </row>
    <row r="372" spans="1:12" ht="24" customHeight="1" x14ac:dyDescent="0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3"/>
    </row>
    <row r="373" spans="1:12" ht="24" customHeight="1" x14ac:dyDescent="0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3"/>
    </row>
    <row r="374" spans="1:12" ht="24" customHeight="1" x14ac:dyDescent="0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3"/>
    </row>
    <row r="375" spans="1:12" ht="24" customHeight="1" x14ac:dyDescent="0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3"/>
    </row>
    <row r="376" spans="1:12" ht="24" customHeight="1" x14ac:dyDescent="0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3"/>
    </row>
    <row r="377" spans="1:12" ht="24" customHeight="1" x14ac:dyDescent="0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3"/>
    </row>
    <row r="378" spans="1:12" ht="24" customHeight="1" x14ac:dyDescent="0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3"/>
    </row>
    <row r="379" spans="1:12" ht="24" customHeight="1" x14ac:dyDescent="0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3"/>
    </row>
    <row r="380" spans="1:12" ht="24" customHeight="1" x14ac:dyDescent="0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3"/>
    </row>
    <row r="381" spans="1:12" ht="24" customHeight="1" x14ac:dyDescent="0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3"/>
    </row>
    <row r="382" spans="1:12" ht="24" customHeight="1" x14ac:dyDescent="0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3"/>
    </row>
    <row r="383" spans="1:12" ht="24" customHeight="1" x14ac:dyDescent="0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3"/>
    </row>
    <row r="384" spans="1:12" ht="24" customHeight="1" x14ac:dyDescent="0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3"/>
    </row>
    <row r="385" spans="1:12" ht="24" customHeight="1" x14ac:dyDescent="0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3"/>
    </row>
    <row r="386" spans="1:12" ht="24" customHeight="1" x14ac:dyDescent="0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3"/>
    </row>
    <row r="387" spans="1:12" ht="24" customHeight="1" x14ac:dyDescent="0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3"/>
    </row>
    <row r="388" spans="1:12" ht="24" customHeight="1" x14ac:dyDescent="0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3"/>
    </row>
    <row r="389" spans="1:12" ht="24" customHeight="1" x14ac:dyDescent="0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3"/>
    </row>
    <row r="390" spans="1:12" ht="24" customHeight="1" x14ac:dyDescent="0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3"/>
    </row>
    <row r="391" spans="1:12" ht="24" customHeight="1" x14ac:dyDescent="0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3"/>
    </row>
    <row r="392" spans="1:12" ht="24" customHeight="1" x14ac:dyDescent="0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3"/>
    </row>
    <row r="393" spans="1:12" ht="24" customHeight="1" x14ac:dyDescent="0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3"/>
    </row>
    <row r="394" spans="1:12" ht="24" customHeight="1" x14ac:dyDescent="0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3"/>
    </row>
    <row r="395" spans="1:12" ht="24" customHeight="1" x14ac:dyDescent="0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3"/>
    </row>
    <row r="396" spans="1:12" ht="24" customHeight="1" x14ac:dyDescent="0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3"/>
    </row>
    <row r="397" spans="1:12" ht="24" customHeight="1" x14ac:dyDescent="0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3"/>
    </row>
    <row r="398" spans="1:12" ht="24" customHeight="1" x14ac:dyDescent="0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3"/>
    </row>
    <row r="399" spans="1:12" ht="24" customHeight="1" x14ac:dyDescent="0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3"/>
    </row>
    <row r="400" spans="1:12" ht="24" customHeight="1" x14ac:dyDescent="0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3"/>
    </row>
    <row r="401" spans="1:12" ht="24" customHeight="1" x14ac:dyDescent="0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3"/>
    </row>
    <row r="402" spans="1:12" ht="24" customHeight="1" x14ac:dyDescent="0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3"/>
    </row>
    <row r="403" spans="1:12" ht="24" customHeight="1" x14ac:dyDescent="0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3"/>
    </row>
    <row r="404" spans="1:12" ht="24" customHeight="1" x14ac:dyDescent="0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3"/>
    </row>
    <row r="405" spans="1:12" ht="24" customHeight="1" x14ac:dyDescent="0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3"/>
    </row>
    <row r="406" spans="1:12" ht="24" customHeight="1" x14ac:dyDescent="0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3"/>
    </row>
    <row r="407" spans="1:12" ht="24" customHeight="1" x14ac:dyDescent="0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3"/>
    </row>
    <row r="408" spans="1:12" ht="24" customHeight="1" x14ac:dyDescent="0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3"/>
    </row>
    <row r="409" spans="1:12" ht="24" customHeight="1" x14ac:dyDescent="0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3"/>
    </row>
    <row r="410" spans="1:12" ht="24" customHeight="1" x14ac:dyDescent="0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3"/>
    </row>
    <row r="411" spans="1:12" ht="24" customHeight="1" x14ac:dyDescent="0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3"/>
    </row>
    <row r="412" spans="1:12" ht="24" customHeight="1" x14ac:dyDescent="0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3"/>
    </row>
    <row r="413" spans="1:12" ht="24" customHeight="1" x14ac:dyDescent="0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3"/>
    </row>
    <row r="414" spans="1:12" ht="24" customHeight="1" x14ac:dyDescent="0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3"/>
    </row>
    <row r="415" spans="1:12" ht="24" customHeight="1" x14ac:dyDescent="0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3"/>
    </row>
    <row r="416" spans="1:12" ht="24" customHeight="1" x14ac:dyDescent="0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3"/>
    </row>
    <row r="417" spans="1:12" ht="24" customHeight="1" x14ac:dyDescent="0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3"/>
    </row>
    <row r="418" spans="1:12" ht="24" customHeight="1" x14ac:dyDescent="0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3"/>
    </row>
    <row r="419" spans="1:12" ht="24" customHeight="1" x14ac:dyDescent="0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3"/>
    </row>
    <row r="420" spans="1:12" ht="24" customHeight="1" x14ac:dyDescent="0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3"/>
    </row>
    <row r="421" spans="1:12" ht="24" customHeight="1" x14ac:dyDescent="0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3"/>
    </row>
    <row r="422" spans="1:12" ht="24" customHeight="1" x14ac:dyDescent="0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3"/>
    </row>
    <row r="423" spans="1:12" ht="24" customHeight="1" x14ac:dyDescent="0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3"/>
    </row>
    <row r="424" spans="1:12" ht="24" customHeight="1" x14ac:dyDescent="0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3"/>
    </row>
    <row r="425" spans="1:12" ht="24" customHeight="1" x14ac:dyDescent="0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3"/>
    </row>
    <row r="426" spans="1:12" ht="24" customHeight="1" x14ac:dyDescent="0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3"/>
    </row>
    <row r="427" spans="1:12" ht="24" customHeight="1" x14ac:dyDescent="0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3"/>
    </row>
    <row r="428" spans="1:12" ht="24" customHeight="1" x14ac:dyDescent="0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3"/>
    </row>
    <row r="429" spans="1:12" ht="24" customHeight="1" x14ac:dyDescent="0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3"/>
    </row>
    <row r="430" spans="1:12" ht="24" customHeight="1" x14ac:dyDescent="0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3"/>
    </row>
    <row r="431" spans="1:12" ht="24" customHeight="1" x14ac:dyDescent="0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3"/>
    </row>
    <row r="432" spans="1:12" ht="24" customHeight="1" x14ac:dyDescent="0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3"/>
    </row>
    <row r="433" spans="1:12" ht="24" customHeight="1" x14ac:dyDescent="0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3"/>
    </row>
    <row r="434" spans="1:12" ht="24" customHeight="1" x14ac:dyDescent="0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3"/>
    </row>
    <row r="435" spans="1:12" ht="24" customHeight="1" x14ac:dyDescent="0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3"/>
    </row>
    <row r="436" spans="1:12" ht="24" customHeight="1" x14ac:dyDescent="0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3"/>
    </row>
    <row r="437" spans="1:12" ht="24" customHeight="1" x14ac:dyDescent="0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3"/>
    </row>
    <row r="438" spans="1:12" ht="24" customHeight="1" x14ac:dyDescent="0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3"/>
    </row>
    <row r="439" spans="1:12" ht="24" customHeight="1" x14ac:dyDescent="0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3"/>
    </row>
    <row r="440" spans="1:12" ht="24" customHeight="1" x14ac:dyDescent="0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3"/>
    </row>
    <row r="441" spans="1:12" ht="24" customHeight="1" x14ac:dyDescent="0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3"/>
    </row>
    <row r="442" spans="1:12" ht="24" customHeight="1" x14ac:dyDescent="0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3"/>
    </row>
    <row r="443" spans="1:12" ht="24" customHeight="1" x14ac:dyDescent="0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3"/>
    </row>
    <row r="444" spans="1:12" ht="24" customHeight="1" x14ac:dyDescent="0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3"/>
    </row>
    <row r="445" spans="1:12" ht="24" customHeight="1" x14ac:dyDescent="0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3"/>
    </row>
    <row r="446" spans="1:12" ht="24" customHeight="1" x14ac:dyDescent="0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3"/>
    </row>
    <row r="447" spans="1:12" ht="24" customHeight="1" x14ac:dyDescent="0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3"/>
    </row>
    <row r="448" spans="1:12" ht="24" customHeight="1" x14ac:dyDescent="0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3"/>
    </row>
    <row r="449" spans="1:12" ht="24" customHeight="1" x14ac:dyDescent="0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3"/>
    </row>
    <row r="450" spans="1:12" ht="24" customHeight="1" x14ac:dyDescent="0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3"/>
    </row>
    <row r="451" spans="1:12" ht="24" customHeight="1" x14ac:dyDescent="0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3"/>
    </row>
    <row r="452" spans="1:12" ht="24" customHeight="1" x14ac:dyDescent="0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3"/>
    </row>
    <row r="453" spans="1:12" ht="24" customHeight="1" x14ac:dyDescent="0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3"/>
    </row>
    <row r="454" spans="1:12" ht="24" customHeight="1" x14ac:dyDescent="0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3"/>
    </row>
  </sheetData>
  <conditionalFormatting sqref="J1:J1048576">
    <cfRule type="cellIs" dxfId="5" priority="10" operator="equal">
      <formula>"&gt;PENDIENTE&lt;"</formula>
    </cfRule>
  </conditionalFormatting>
  <conditionalFormatting pivot="1" sqref="L2 L4 L6 L8 L10 L12:L24 L26:L27 L29 L31 L33 L35 L37 L39 L41 L43 L45 L47 L49 L51 L53:L55 L57 L59 L61 L63:L65 L67:L76 L78:L87 L89:L100 L102:L121 L123:L134 L136:L146 L148:L150 L152:L154">
    <cfRule type="cellIs" dxfId="4" priority="19" operator="equal">
      <formula>1</formula>
    </cfRule>
  </conditionalFormatting>
  <conditionalFormatting sqref="H1:H1048576">
    <cfRule type="cellIs" dxfId="3" priority="8" operator="equal">
      <formula>"Color"</formula>
    </cfRule>
  </conditionalFormatting>
  <conditionalFormatting sqref="E1:E1048576">
    <cfRule type="cellIs" dxfId="2" priority="1" operator="equal">
      <formula>"Faltante"</formula>
    </cfRule>
  </conditionalFormatting>
  <conditionalFormatting sqref="F1:F1048576">
    <cfRule type="cellIs" dxfId="1" priority="3" operator="equal">
      <formula>"&gt;DIFIERE&lt;"</formula>
    </cfRule>
  </conditionalFormatting>
  <conditionalFormatting sqref="G1:G1048576">
    <cfRule type="expression" dxfId="0" priority="5">
      <formula>IF(_xlfn.NUMBERVALUE(LEFT(G1,1))&gt;1,TRUE,FALSE)</formula>
    </cfRule>
  </conditionalFormatting>
  <pageMargins left="0.39370078740157483" right="0.39370078740157483" top="0.78740157480314965" bottom="0.39370078740157483" header="0.39370078740157483" footer="0"/>
  <pageSetup paperSize="9" scale="93" fitToHeight="0" orientation="portrait" cellComments="atEnd" r:id="rId2"/>
  <headerFooter alignWithMargins="0">
    <oddHeader>&amp;L44 PAGES&amp;C122 ADS&amp;RSÁBADO 15 FEBRERO 2020</oddHeader>
    <oddFooter>&amp;L&amp;8&amp;KFF0000
© 2011 GERARDO TORDOYA&amp;C&amp;8&amp;KFF0000
FECHA: &amp;D || HORA: &amp;T&amp;R&amp;8&amp;KFF0000
PAGINA &amp;P DE &amp;N</oddFooter>
  </headerFooter>
</worksheet>
</file>

<file path=customUI/customUI14.xml><?xml version="1.0" encoding="utf-8"?>
<customUI xmlns="http://schemas.microsoft.com/office/2009/07/customui">
  <ribbon>
    <tabs>
      <tab idMso="TabHome">
        <group id="Carga" label="Carga" insertAfterMso="GroupEditingExcel">
          <button id="Agrupar" label="Agrup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Manager/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Gerardo Tordoya</dc:creator>
  <cp:keywords/>
  <dc:description/>
  <cp:lastModifiedBy>Gerardo Tordoya</cp:lastModifiedBy>
  <cp:revision/>
  <dcterms:created xsi:type="dcterms:W3CDTF">2015-10-29T20:42:16Z</dcterms:created>
  <dcterms:modified xsi:type="dcterms:W3CDTF">2020-04-29T14:16:35Z</dcterms:modified>
  <cp:category/>
  <cp:contentStatus/>
</cp:coreProperties>
</file>